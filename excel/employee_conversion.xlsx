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919ec29ae483162/Desktop/"/>
    </mc:Choice>
  </mc:AlternateContent>
  <xr:revisionPtr revIDLastSave="357" documentId="8_{95AE52DF-49DC-4626-B4A8-219C7027C0D8}" xr6:coauthVersionLast="47" xr6:coauthVersionMax="47" xr10:uidLastSave="{C2025478-1838-4EFB-A23C-7D1AE6DB6851}"/>
  <bookViews>
    <workbookView xWindow="-108" yWindow="-108" windowWidth="23256" windowHeight="12456" activeTab="1" xr2:uid="{2C2C7528-65E4-40B2-B627-3298009123B0}"/>
  </bookViews>
  <sheets>
    <sheet name="data_map" sheetId="1" r:id="rId1"/>
    <sheet name="cleaned_data" sheetId="4" r:id="rId2"/>
    <sheet name="QA" sheetId="5" r:id="rId3"/>
    <sheet name="employee_dataset" sheetId="2" r:id="rId4"/>
  </sheets>
  <definedNames>
    <definedName name="ExternalData_1" localSheetId="3" hidden="1">employee_dataset!$A$1:$L$1021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J2" i="4" l="1"/>
  <c r="J8" i="5"/>
  <c r="G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G301" i="5"/>
  <c r="G302" i="5"/>
  <c r="G303" i="5"/>
  <c r="G304" i="5"/>
  <c r="G305" i="5"/>
  <c r="G306" i="5"/>
  <c r="G307" i="5"/>
  <c r="G308" i="5"/>
  <c r="G309" i="5"/>
  <c r="G310" i="5"/>
  <c r="G311" i="5"/>
  <c r="G312" i="5"/>
  <c r="G313" i="5"/>
  <c r="G314" i="5"/>
  <c r="G315" i="5"/>
  <c r="G316" i="5"/>
  <c r="G317" i="5"/>
  <c r="G318" i="5"/>
  <c r="G319" i="5"/>
  <c r="G320" i="5"/>
  <c r="G321" i="5"/>
  <c r="G322" i="5"/>
  <c r="G323" i="5"/>
  <c r="G324" i="5"/>
  <c r="G325" i="5"/>
  <c r="G326" i="5"/>
  <c r="G327" i="5"/>
  <c r="G328" i="5"/>
  <c r="G329" i="5"/>
  <c r="G330" i="5"/>
  <c r="G331" i="5"/>
  <c r="G332" i="5"/>
  <c r="G333" i="5"/>
  <c r="G334" i="5"/>
  <c r="G335" i="5"/>
  <c r="G336" i="5"/>
  <c r="G337" i="5"/>
  <c r="G338" i="5"/>
  <c r="G339" i="5"/>
  <c r="G340" i="5"/>
  <c r="G341" i="5"/>
  <c r="G342" i="5"/>
  <c r="G343" i="5"/>
  <c r="G344" i="5"/>
  <c r="G345" i="5"/>
  <c r="G346" i="5"/>
  <c r="G347" i="5"/>
  <c r="G348" i="5"/>
  <c r="G349" i="5"/>
  <c r="G350" i="5"/>
  <c r="G351" i="5"/>
  <c r="G352" i="5"/>
  <c r="G353" i="5"/>
  <c r="G354" i="5"/>
  <c r="G355" i="5"/>
  <c r="G356" i="5"/>
  <c r="G357" i="5"/>
  <c r="G358" i="5"/>
  <c r="G359" i="5"/>
  <c r="G360" i="5"/>
  <c r="G361" i="5"/>
  <c r="G362" i="5"/>
  <c r="G363" i="5"/>
  <c r="G364" i="5"/>
  <c r="G365" i="5"/>
  <c r="G366" i="5"/>
  <c r="G367" i="5"/>
  <c r="G368" i="5"/>
  <c r="G369" i="5"/>
  <c r="G370" i="5"/>
  <c r="G371" i="5"/>
  <c r="G372" i="5"/>
  <c r="G373" i="5"/>
  <c r="G374" i="5"/>
  <c r="G375" i="5"/>
  <c r="G376" i="5"/>
  <c r="G377" i="5"/>
  <c r="G378" i="5"/>
  <c r="G379" i="5"/>
  <c r="G380" i="5"/>
  <c r="G381" i="5"/>
  <c r="G382" i="5"/>
  <c r="G383" i="5"/>
  <c r="G384" i="5"/>
  <c r="G385" i="5"/>
  <c r="G386" i="5"/>
  <c r="G387" i="5"/>
  <c r="G388" i="5"/>
  <c r="G389" i="5"/>
  <c r="G390" i="5"/>
  <c r="G391" i="5"/>
  <c r="G392" i="5"/>
  <c r="G393" i="5"/>
  <c r="G394" i="5"/>
  <c r="G395" i="5"/>
  <c r="G396" i="5"/>
  <c r="G397" i="5"/>
  <c r="G398" i="5"/>
  <c r="G399" i="5"/>
  <c r="G400" i="5"/>
  <c r="G401" i="5"/>
  <c r="G402" i="5"/>
  <c r="G403" i="5"/>
  <c r="G404" i="5"/>
  <c r="G405" i="5"/>
  <c r="G406" i="5"/>
  <c r="G407" i="5"/>
  <c r="G408" i="5"/>
  <c r="G409" i="5"/>
  <c r="G410" i="5"/>
  <c r="G411" i="5"/>
  <c r="G412" i="5"/>
  <c r="G413" i="5"/>
  <c r="G414" i="5"/>
  <c r="G415" i="5"/>
  <c r="G416" i="5"/>
  <c r="G417" i="5"/>
  <c r="G418" i="5"/>
  <c r="G419" i="5"/>
  <c r="G420" i="5"/>
  <c r="G421" i="5"/>
  <c r="G422" i="5"/>
  <c r="G423" i="5"/>
  <c r="G424" i="5"/>
  <c r="G425" i="5"/>
  <c r="G426" i="5"/>
  <c r="G427" i="5"/>
  <c r="G428" i="5"/>
  <c r="G429" i="5"/>
  <c r="G430" i="5"/>
  <c r="G431" i="5"/>
  <c r="G432" i="5"/>
  <c r="G433" i="5"/>
  <c r="G434" i="5"/>
  <c r="G435" i="5"/>
  <c r="G436" i="5"/>
  <c r="G437" i="5"/>
  <c r="G438" i="5"/>
  <c r="G439" i="5"/>
  <c r="G440" i="5"/>
  <c r="G441" i="5"/>
  <c r="G442" i="5"/>
  <c r="G443" i="5"/>
  <c r="G444" i="5"/>
  <c r="G445" i="5"/>
  <c r="G446" i="5"/>
  <c r="G447" i="5"/>
  <c r="G448" i="5"/>
  <c r="G449" i="5"/>
  <c r="G450" i="5"/>
  <c r="G451" i="5"/>
  <c r="G452" i="5"/>
  <c r="G453" i="5"/>
  <c r="G454" i="5"/>
  <c r="G455" i="5"/>
  <c r="G456" i="5"/>
  <c r="G457" i="5"/>
  <c r="G458" i="5"/>
  <c r="G459" i="5"/>
  <c r="G460" i="5"/>
  <c r="G461" i="5"/>
  <c r="G462" i="5"/>
  <c r="G463" i="5"/>
  <c r="G464" i="5"/>
  <c r="G465" i="5"/>
  <c r="G466" i="5"/>
  <c r="G467" i="5"/>
  <c r="G468" i="5"/>
  <c r="G469" i="5"/>
  <c r="G470" i="5"/>
  <c r="G471" i="5"/>
  <c r="G472" i="5"/>
  <c r="G473" i="5"/>
  <c r="G474" i="5"/>
  <c r="G475" i="5"/>
  <c r="G476" i="5"/>
  <c r="G477" i="5"/>
  <c r="G478" i="5"/>
  <c r="G479" i="5"/>
  <c r="G480" i="5"/>
  <c r="G481" i="5"/>
  <c r="G482" i="5"/>
  <c r="G483" i="5"/>
  <c r="G484" i="5"/>
  <c r="G485" i="5"/>
  <c r="G486" i="5"/>
  <c r="G487" i="5"/>
  <c r="G488" i="5"/>
  <c r="G489" i="5"/>
  <c r="G490" i="5"/>
  <c r="G491" i="5"/>
  <c r="G492" i="5"/>
  <c r="G493" i="5"/>
  <c r="G494" i="5"/>
  <c r="G495" i="5"/>
  <c r="G496" i="5"/>
  <c r="G497" i="5"/>
  <c r="G498" i="5"/>
  <c r="G499" i="5"/>
  <c r="G500" i="5"/>
  <c r="G501" i="5"/>
  <c r="G502" i="5"/>
  <c r="G503" i="5"/>
  <c r="G504" i="5"/>
  <c r="G505" i="5"/>
  <c r="G506" i="5"/>
  <c r="G507" i="5"/>
  <c r="G508" i="5"/>
  <c r="G509" i="5"/>
  <c r="G510" i="5"/>
  <c r="G511" i="5"/>
  <c r="G512" i="5"/>
  <c r="G513" i="5"/>
  <c r="G514" i="5"/>
  <c r="G515" i="5"/>
  <c r="G516" i="5"/>
  <c r="G517" i="5"/>
  <c r="G518" i="5"/>
  <c r="G519" i="5"/>
  <c r="G520" i="5"/>
  <c r="G521" i="5"/>
  <c r="G522" i="5"/>
  <c r="G523" i="5"/>
  <c r="G524" i="5"/>
  <c r="G525" i="5"/>
  <c r="G526" i="5"/>
  <c r="G527" i="5"/>
  <c r="G528" i="5"/>
  <c r="G529" i="5"/>
  <c r="G530" i="5"/>
  <c r="G531" i="5"/>
  <c r="G532" i="5"/>
  <c r="G533" i="5"/>
  <c r="G534" i="5"/>
  <c r="G535" i="5"/>
  <c r="G536" i="5"/>
  <c r="G537" i="5"/>
  <c r="G538" i="5"/>
  <c r="G539" i="5"/>
  <c r="G540" i="5"/>
  <c r="G541" i="5"/>
  <c r="G542" i="5"/>
  <c r="G543" i="5"/>
  <c r="G544" i="5"/>
  <c r="G545" i="5"/>
  <c r="G546" i="5"/>
  <c r="G547" i="5"/>
  <c r="G548" i="5"/>
  <c r="G549" i="5"/>
  <c r="G550" i="5"/>
  <c r="G551" i="5"/>
  <c r="G552" i="5"/>
  <c r="G553" i="5"/>
  <c r="G554" i="5"/>
  <c r="G555" i="5"/>
  <c r="G556" i="5"/>
  <c r="G557" i="5"/>
  <c r="G558" i="5"/>
  <c r="G559" i="5"/>
  <c r="G560" i="5"/>
  <c r="G561" i="5"/>
  <c r="G562" i="5"/>
  <c r="G563" i="5"/>
  <c r="G564" i="5"/>
  <c r="G565" i="5"/>
  <c r="G566" i="5"/>
  <c r="G567" i="5"/>
  <c r="G568" i="5"/>
  <c r="G569" i="5"/>
  <c r="G570" i="5"/>
  <c r="G571" i="5"/>
  <c r="G572" i="5"/>
  <c r="G573" i="5"/>
  <c r="G574" i="5"/>
  <c r="G575" i="5"/>
  <c r="G576" i="5"/>
  <c r="G577" i="5"/>
  <c r="G578" i="5"/>
  <c r="G579" i="5"/>
  <c r="G580" i="5"/>
  <c r="G581" i="5"/>
  <c r="G582" i="5"/>
  <c r="G583" i="5"/>
  <c r="G584" i="5"/>
  <c r="G585" i="5"/>
  <c r="G586" i="5"/>
  <c r="G587" i="5"/>
  <c r="G588" i="5"/>
  <c r="G589" i="5"/>
  <c r="G590" i="5"/>
  <c r="G591" i="5"/>
  <c r="G592" i="5"/>
  <c r="G593" i="5"/>
  <c r="G594" i="5"/>
  <c r="G595" i="5"/>
  <c r="G596" i="5"/>
  <c r="G597" i="5"/>
  <c r="G598" i="5"/>
  <c r="G599" i="5"/>
  <c r="G600" i="5"/>
  <c r="G601" i="5"/>
  <c r="G602" i="5"/>
  <c r="G603" i="5"/>
  <c r="G604" i="5"/>
  <c r="G605" i="5"/>
  <c r="G606" i="5"/>
  <c r="G607" i="5"/>
  <c r="G608" i="5"/>
  <c r="G609" i="5"/>
  <c r="G610" i="5"/>
  <c r="G611" i="5"/>
  <c r="G612" i="5"/>
  <c r="G613" i="5"/>
  <c r="G614" i="5"/>
  <c r="G615" i="5"/>
  <c r="G616" i="5"/>
  <c r="G617" i="5"/>
  <c r="G618" i="5"/>
  <c r="G619" i="5"/>
  <c r="G620" i="5"/>
  <c r="G621" i="5"/>
  <c r="G622" i="5"/>
  <c r="G623" i="5"/>
  <c r="G624" i="5"/>
  <c r="G625" i="5"/>
  <c r="G626" i="5"/>
  <c r="G627" i="5"/>
  <c r="G628" i="5"/>
  <c r="G629" i="5"/>
  <c r="G630" i="5"/>
  <c r="G631" i="5"/>
  <c r="G632" i="5"/>
  <c r="G633" i="5"/>
  <c r="G634" i="5"/>
  <c r="G635" i="5"/>
  <c r="G636" i="5"/>
  <c r="G637" i="5"/>
  <c r="G638" i="5"/>
  <c r="G639" i="5"/>
  <c r="G640" i="5"/>
  <c r="G641" i="5"/>
  <c r="G642" i="5"/>
  <c r="G643" i="5"/>
  <c r="G644" i="5"/>
  <c r="G645" i="5"/>
  <c r="G646" i="5"/>
  <c r="G647" i="5"/>
  <c r="G648" i="5"/>
  <c r="G649" i="5"/>
  <c r="G650" i="5"/>
  <c r="G651" i="5"/>
  <c r="G652" i="5"/>
  <c r="G653" i="5"/>
  <c r="G654" i="5"/>
  <c r="G655" i="5"/>
  <c r="G656" i="5"/>
  <c r="G657" i="5"/>
  <c r="G658" i="5"/>
  <c r="G659" i="5"/>
  <c r="G660" i="5"/>
  <c r="G661" i="5"/>
  <c r="G662" i="5"/>
  <c r="G663" i="5"/>
  <c r="G664" i="5"/>
  <c r="G665" i="5"/>
  <c r="G666" i="5"/>
  <c r="G667" i="5"/>
  <c r="G668" i="5"/>
  <c r="G669" i="5"/>
  <c r="G670" i="5"/>
  <c r="G671" i="5"/>
  <c r="G672" i="5"/>
  <c r="G673" i="5"/>
  <c r="G674" i="5"/>
  <c r="G675" i="5"/>
  <c r="G676" i="5"/>
  <c r="G677" i="5"/>
  <c r="G678" i="5"/>
  <c r="G679" i="5"/>
  <c r="G680" i="5"/>
  <c r="G681" i="5"/>
  <c r="G682" i="5"/>
  <c r="G683" i="5"/>
  <c r="G684" i="5"/>
  <c r="G685" i="5"/>
  <c r="G686" i="5"/>
  <c r="G687" i="5"/>
  <c r="G688" i="5"/>
  <c r="G689" i="5"/>
  <c r="G690" i="5"/>
  <c r="G691" i="5"/>
  <c r="G692" i="5"/>
  <c r="G693" i="5"/>
  <c r="G694" i="5"/>
  <c r="G695" i="5"/>
  <c r="G696" i="5"/>
  <c r="G697" i="5"/>
  <c r="G698" i="5"/>
  <c r="G699" i="5"/>
  <c r="G700" i="5"/>
  <c r="G701" i="5"/>
  <c r="G702" i="5"/>
  <c r="G703" i="5"/>
  <c r="G704" i="5"/>
  <c r="G705" i="5"/>
  <c r="G706" i="5"/>
  <c r="G707" i="5"/>
  <c r="G708" i="5"/>
  <c r="G709" i="5"/>
  <c r="G710" i="5"/>
  <c r="G711" i="5"/>
  <c r="G712" i="5"/>
  <c r="G713" i="5"/>
  <c r="G714" i="5"/>
  <c r="G715" i="5"/>
  <c r="G716" i="5"/>
  <c r="G717" i="5"/>
  <c r="G718" i="5"/>
  <c r="G719" i="5"/>
  <c r="G720" i="5"/>
  <c r="G721" i="5"/>
  <c r="G722" i="5"/>
  <c r="G723" i="5"/>
  <c r="G724" i="5"/>
  <c r="G725" i="5"/>
  <c r="G726" i="5"/>
  <c r="G727" i="5"/>
  <c r="G728" i="5"/>
  <c r="G729" i="5"/>
  <c r="G730" i="5"/>
  <c r="G731" i="5"/>
  <c r="G732" i="5"/>
  <c r="G733" i="5"/>
  <c r="G734" i="5"/>
  <c r="G735" i="5"/>
  <c r="G736" i="5"/>
  <c r="G737" i="5"/>
  <c r="G738" i="5"/>
  <c r="G739" i="5"/>
  <c r="G740" i="5"/>
  <c r="G741" i="5"/>
  <c r="G742" i="5"/>
  <c r="G743" i="5"/>
  <c r="G744" i="5"/>
  <c r="G745" i="5"/>
  <c r="G746" i="5"/>
  <c r="G747" i="5"/>
  <c r="G748" i="5"/>
  <c r="G749" i="5"/>
  <c r="G750" i="5"/>
  <c r="G751" i="5"/>
  <c r="G752" i="5"/>
  <c r="G753" i="5"/>
  <c r="G754" i="5"/>
  <c r="G755" i="5"/>
  <c r="G756" i="5"/>
  <c r="G757" i="5"/>
  <c r="G758" i="5"/>
  <c r="G759" i="5"/>
  <c r="G760" i="5"/>
  <c r="G761" i="5"/>
  <c r="G762" i="5"/>
  <c r="G763" i="5"/>
  <c r="G764" i="5"/>
  <c r="G765" i="5"/>
  <c r="G766" i="5"/>
  <c r="G767" i="5"/>
  <c r="G768" i="5"/>
  <c r="G769" i="5"/>
  <c r="G770" i="5"/>
  <c r="G771" i="5"/>
  <c r="G772" i="5"/>
  <c r="G773" i="5"/>
  <c r="G774" i="5"/>
  <c r="G775" i="5"/>
  <c r="G776" i="5"/>
  <c r="G777" i="5"/>
  <c r="G778" i="5"/>
  <c r="G779" i="5"/>
  <c r="G780" i="5"/>
  <c r="G781" i="5"/>
  <c r="G782" i="5"/>
  <c r="G783" i="5"/>
  <c r="G784" i="5"/>
  <c r="G785" i="5"/>
  <c r="G786" i="5"/>
  <c r="G787" i="5"/>
  <c r="G788" i="5"/>
  <c r="G789" i="5"/>
  <c r="G790" i="5"/>
  <c r="G791" i="5"/>
  <c r="G792" i="5"/>
  <c r="G793" i="5"/>
  <c r="G794" i="5"/>
  <c r="G795" i="5"/>
  <c r="G796" i="5"/>
  <c r="G797" i="5"/>
  <c r="G798" i="5"/>
  <c r="G799" i="5"/>
  <c r="G800" i="5"/>
  <c r="G801" i="5"/>
  <c r="G802" i="5"/>
  <c r="G803" i="5"/>
  <c r="G804" i="5"/>
  <c r="G805" i="5"/>
  <c r="G806" i="5"/>
  <c r="G807" i="5"/>
  <c r="G808" i="5"/>
  <c r="G809" i="5"/>
  <c r="G810" i="5"/>
  <c r="G811" i="5"/>
  <c r="G812" i="5"/>
  <c r="G813" i="5"/>
  <c r="G814" i="5"/>
  <c r="G815" i="5"/>
  <c r="G816" i="5"/>
  <c r="G817" i="5"/>
  <c r="G818" i="5"/>
  <c r="G819" i="5"/>
  <c r="G820" i="5"/>
  <c r="G821" i="5"/>
  <c r="G822" i="5"/>
  <c r="G823" i="5"/>
  <c r="G824" i="5"/>
  <c r="G825" i="5"/>
  <c r="G826" i="5"/>
  <c r="G827" i="5"/>
  <c r="G828" i="5"/>
  <c r="G829" i="5"/>
  <c r="G830" i="5"/>
  <c r="G831" i="5"/>
  <c r="G832" i="5"/>
  <c r="G833" i="5"/>
  <c r="G834" i="5"/>
  <c r="G835" i="5"/>
  <c r="G836" i="5"/>
  <c r="G837" i="5"/>
  <c r="G838" i="5"/>
  <c r="G839" i="5"/>
  <c r="G840" i="5"/>
  <c r="G841" i="5"/>
  <c r="G842" i="5"/>
  <c r="G843" i="5"/>
  <c r="G844" i="5"/>
  <c r="G845" i="5"/>
  <c r="G846" i="5"/>
  <c r="G847" i="5"/>
  <c r="G848" i="5"/>
  <c r="G849" i="5"/>
  <c r="G850" i="5"/>
  <c r="G851" i="5"/>
  <c r="G852" i="5"/>
  <c r="G853" i="5"/>
  <c r="G854" i="5"/>
  <c r="G855" i="5"/>
  <c r="G856" i="5"/>
  <c r="G857" i="5"/>
  <c r="G858" i="5"/>
  <c r="G859" i="5"/>
  <c r="G860" i="5"/>
  <c r="G861" i="5"/>
  <c r="G862" i="5"/>
  <c r="G863" i="5"/>
  <c r="G864" i="5"/>
  <c r="G865" i="5"/>
  <c r="G866" i="5"/>
  <c r="G867" i="5"/>
  <c r="G868" i="5"/>
  <c r="G869" i="5"/>
  <c r="G870" i="5"/>
  <c r="G871" i="5"/>
  <c r="G872" i="5"/>
  <c r="G873" i="5"/>
  <c r="G874" i="5"/>
  <c r="G875" i="5"/>
  <c r="G876" i="5"/>
  <c r="G877" i="5"/>
  <c r="G878" i="5"/>
  <c r="G879" i="5"/>
  <c r="G880" i="5"/>
  <c r="G881" i="5"/>
  <c r="G882" i="5"/>
  <c r="G883" i="5"/>
  <c r="G884" i="5"/>
  <c r="G885" i="5"/>
  <c r="G886" i="5"/>
  <c r="G887" i="5"/>
  <c r="G888" i="5"/>
  <c r="G889" i="5"/>
  <c r="G890" i="5"/>
  <c r="G891" i="5"/>
  <c r="G892" i="5"/>
  <c r="G893" i="5"/>
  <c r="G894" i="5"/>
  <c r="G895" i="5"/>
  <c r="G896" i="5"/>
  <c r="G897" i="5"/>
  <c r="G898" i="5"/>
  <c r="G899" i="5"/>
  <c r="G900" i="5"/>
  <c r="G901" i="5"/>
  <c r="G902" i="5"/>
  <c r="G903" i="5"/>
  <c r="G904" i="5"/>
  <c r="G905" i="5"/>
  <c r="G906" i="5"/>
  <c r="G907" i="5"/>
  <c r="G908" i="5"/>
  <c r="G909" i="5"/>
  <c r="G910" i="5"/>
  <c r="G911" i="5"/>
  <c r="G912" i="5"/>
  <c r="G913" i="5"/>
  <c r="G914" i="5"/>
  <c r="G915" i="5"/>
  <c r="G916" i="5"/>
  <c r="G917" i="5"/>
  <c r="G918" i="5"/>
  <c r="G919" i="5"/>
  <c r="G920" i="5"/>
  <c r="G921" i="5"/>
  <c r="G922" i="5"/>
  <c r="G923" i="5"/>
  <c r="G924" i="5"/>
  <c r="G925" i="5"/>
  <c r="G926" i="5"/>
  <c r="G927" i="5"/>
  <c r="G928" i="5"/>
  <c r="G929" i="5"/>
  <c r="G930" i="5"/>
  <c r="G931" i="5"/>
  <c r="G932" i="5"/>
  <c r="G933" i="5"/>
  <c r="G934" i="5"/>
  <c r="G935" i="5"/>
  <c r="G936" i="5"/>
  <c r="G937" i="5"/>
  <c r="G938" i="5"/>
  <c r="G939" i="5"/>
  <c r="G940" i="5"/>
  <c r="G941" i="5"/>
  <c r="G942" i="5"/>
  <c r="G943" i="5"/>
  <c r="G944" i="5"/>
  <c r="G945" i="5"/>
  <c r="G946" i="5"/>
  <c r="G947" i="5"/>
  <c r="G948" i="5"/>
  <c r="G949" i="5"/>
  <c r="G950" i="5"/>
  <c r="G951" i="5"/>
  <c r="G952" i="5"/>
  <c r="G953" i="5"/>
  <c r="G954" i="5"/>
  <c r="G955" i="5"/>
  <c r="G956" i="5"/>
  <c r="G957" i="5"/>
  <c r="G958" i="5"/>
  <c r="G959" i="5"/>
  <c r="G960" i="5"/>
  <c r="G961" i="5"/>
  <c r="G962" i="5"/>
  <c r="G963" i="5"/>
  <c r="G964" i="5"/>
  <c r="G965" i="5"/>
  <c r="G966" i="5"/>
  <c r="G967" i="5"/>
  <c r="G968" i="5"/>
  <c r="G969" i="5"/>
  <c r="G970" i="5"/>
  <c r="G971" i="5"/>
  <c r="G972" i="5"/>
  <c r="G973" i="5"/>
  <c r="G974" i="5"/>
  <c r="G975" i="5"/>
  <c r="G976" i="5"/>
  <c r="G977" i="5"/>
  <c r="G978" i="5"/>
  <c r="G979" i="5"/>
  <c r="G980" i="5"/>
  <c r="G981" i="5"/>
  <c r="G982" i="5"/>
  <c r="G983" i="5"/>
  <c r="G984" i="5"/>
  <c r="G985" i="5"/>
  <c r="G986" i="5"/>
  <c r="G987" i="5"/>
  <c r="G988" i="5"/>
  <c r="G989" i="5"/>
  <c r="G990" i="5"/>
  <c r="G991" i="5"/>
  <c r="G992" i="5"/>
  <c r="G993" i="5"/>
  <c r="G994" i="5"/>
  <c r="G995" i="5"/>
  <c r="G996" i="5"/>
  <c r="G997" i="5"/>
  <c r="G998" i="5"/>
  <c r="G999" i="5"/>
  <c r="G1000" i="5"/>
  <c r="G1001" i="5"/>
  <c r="G1002" i="5"/>
  <c r="G1003" i="5"/>
  <c r="G1004" i="5"/>
  <c r="G1005" i="5"/>
  <c r="G1006" i="5"/>
  <c r="G1007" i="5"/>
  <c r="G1008" i="5"/>
  <c r="G1009" i="5"/>
  <c r="G1010" i="5"/>
  <c r="G1011" i="5"/>
  <c r="G1012" i="5"/>
  <c r="G1013" i="5"/>
  <c r="G1014" i="5"/>
  <c r="G1015" i="5"/>
  <c r="G1016" i="5"/>
  <c r="G1017" i="5"/>
  <c r="G1018" i="5"/>
  <c r="G1019" i="5"/>
  <c r="G1020" i="5"/>
  <c r="G1021" i="5"/>
  <c r="A3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/>
  <c r="A119" i="5"/>
  <c r="A120" i="5"/>
  <c r="A121" i="5"/>
  <c r="A122" i="5"/>
  <c r="A123" i="5"/>
  <c r="A124" i="5"/>
  <c r="A125" i="5"/>
  <c r="A126" i="5"/>
  <c r="A127" i="5"/>
  <c r="A128" i="5"/>
  <c r="A129" i="5"/>
  <c r="A130" i="5"/>
  <c r="A131" i="5"/>
  <c r="A132" i="5"/>
  <c r="A133" i="5"/>
  <c r="A134" i="5"/>
  <c r="A135" i="5"/>
  <c r="A136" i="5"/>
  <c r="A137" i="5"/>
  <c r="A138" i="5"/>
  <c r="A139" i="5"/>
  <c r="A140" i="5"/>
  <c r="A141" i="5"/>
  <c r="A142" i="5"/>
  <c r="A143" i="5"/>
  <c r="A144" i="5"/>
  <c r="A145" i="5"/>
  <c r="A146" i="5"/>
  <c r="A147" i="5"/>
  <c r="A148" i="5"/>
  <c r="A149" i="5"/>
  <c r="A150" i="5"/>
  <c r="A151" i="5"/>
  <c r="A152" i="5"/>
  <c r="A153" i="5"/>
  <c r="A154" i="5"/>
  <c r="A155" i="5"/>
  <c r="A156" i="5"/>
  <c r="A157" i="5"/>
  <c r="A158" i="5"/>
  <c r="A159" i="5"/>
  <c r="A160" i="5"/>
  <c r="A161" i="5"/>
  <c r="A162" i="5"/>
  <c r="A163" i="5"/>
  <c r="A164" i="5"/>
  <c r="A165" i="5"/>
  <c r="A166" i="5"/>
  <c r="A167" i="5"/>
  <c r="A168" i="5"/>
  <c r="A169" i="5"/>
  <c r="A170" i="5"/>
  <c r="A171" i="5"/>
  <c r="A172" i="5"/>
  <c r="A173" i="5"/>
  <c r="A174" i="5"/>
  <c r="A175" i="5"/>
  <c r="A176" i="5"/>
  <c r="A177" i="5"/>
  <c r="A178" i="5"/>
  <c r="A179" i="5"/>
  <c r="A180" i="5"/>
  <c r="A181" i="5"/>
  <c r="A182" i="5"/>
  <c r="A183" i="5"/>
  <c r="A184" i="5"/>
  <c r="A185" i="5"/>
  <c r="A186" i="5"/>
  <c r="A187" i="5"/>
  <c r="A188" i="5"/>
  <c r="A189" i="5"/>
  <c r="A190" i="5"/>
  <c r="A191" i="5"/>
  <c r="A192" i="5"/>
  <c r="A193" i="5"/>
  <c r="A194" i="5"/>
  <c r="A195" i="5"/>
  <c r="A196" i="5"/>
  <c r="A197" i="5"/>
  <c r="A198" i="5"/>
  <c r="A199" i="5"/>
  <c r="A200" i="5"/>
  <c r="A201" i="5"/>
  <c r="A202" i="5"/>
  <c r="A203" i="5"/>
  <c r="A204" i="5"/>
  <c r="A205" i="5"/>
  <c r="A206" i="5"/>
  <c r="A207" i="5"/>
  <c r="A208" i="5"/>
  <c r="A209" i="5"/>
  <c r="A210" i="5"/>
  <c r="A211" i="5"/>
  <c r="A212" i="5"/>
  <c r="A213" i="5"/>
  <c r="A214" i="5"/>
  <c r="A215" i="5"/>
  <c r="A216" i="5"/>
  <c r="A217" i="5"/>
  <c r="A218" i="5"/>
  <c r="A219" i="5"/>
  <c r="A220" i="5"/>
  <c r="A221" i="5"/>
  <c r="A222" i="5"/>
  <c r="A223" i="5"/>
  <c r="A224" i="5"/>
  <c r="A225" i="5"/>
  <c r="A226" i="5"/>
  <c r="A227" i="5"/>
  <c r="A228" i="5"/>
  <c r="A229" i="5"/>
  <c r="A230" i="5"/>
  <c r="A231" i="5"/>
  <c r="A232" i="5"/>
  <c r="A233" i="5"/>
  <c r="A234" i="5"/>
  <c r="A235" i="5"/>
  <c r="A236" i="5"/>
  <c r="A237" i="5"/>
  <c r="A238" i="5"/>
  <c r="A239" i="5"/>
  <c r="A240" i="5"/>
  <c r="A241" i="5"/>
  <c r="A242" i="5"/>
  <c r="A243" i="5"/>
  <c r="A244" i="5"/>
  <c r="A245" i="5"/>
  <c r="A246" i="5"/>
  <c r="A247" i="5"/>
  <c r="A248" i="5"/>
  <c r="A249" i="5"/>
  <c r="A250" i="5"/>
  <c r="A251" i="5"/>
  <c r="A252" i="5"/>
  <c r="A253" i="5"/>
  <c r="A254" i="5"/>
  <c r="A255" i="5"/>
  <c r="A256" i="5"/>
  <c r="A257" i="5"/>
  <c r="A258" i="5"/>
  <c r="A259" i="5"/>
  <c r="A260" i="5"/>
  <c r="A261" i="5"/>
  <c r="A262" i="5"/>
  <c r="A263" i="5"/>
  <c r="A264" i="5"/>
  <c r="A265" i="5"/>
  <c r="A266" i="5"/>
  <c r="A267" i="5"/>
  <c r="A268" i="5"/>
  <c r="A269" i="5"/>
  <c r="A270" i="5"/>
  <c r="A271" i="5"/>
  <c r="A272" i="5"/>
  <c r="A273" i="5"/>
  <c r="A274" i="5"/>
  <c r="A275" i="5"/>
  <c r="A276" i="5"/>
  <c r="A277" i="5"/>
  <c r="A278" i="5"/>
  <c r="A279" i="5"/>
  <c r="A280" i="5"/>
  <c r="A281" i="5"/>
  <c r="A282" i="5"/>
  <c r="A283" i="5"/>
  <c r="A284" i="5"/>
  <c r="A285" i="5"/>
  <c r="A286" i="5"/>
  <c r="A287" i="5"/>
  <c r="A288" i="5"/>
  <c r="A289" i="5"/>
  <c r="A290" i="5"/>
  <c r="A291" i="5"/>
  <c r="A292" i="5"/>
  <c r="A293" i="5"/>
  <c r="A294" i="5"/>
  <c r="A295" i="5"/>
  <c r="A296" i="5"/>
  <c r="A297" i="5"/>
  <c r="A298" i="5"/>
  <c r="A299" i="5"/>
  <c r="A300" i="5"/>
  <c r="A301" i="5"/>
  <c r="A302" i="5"/>
  <c r="A303" i="5"/>
  <c r="A304" i="5"/>
  <c r="A305" i="5"/>
  <c r="A306" i="5"/>
  <c r="A307" i="5"/>
  <c r="A308" i="5"/>
  <c r="A309" i="5"/>
  <c r="A310" i="5"/>
  <c r="A311" i="5"/>
  <c r="A312" i="5"/>
  <c r="A313" i="5"/>
  <c r="A314" i="5"/>
  <c r="A315" i="5"/>
  <c r="A316" i="5"/>
  <c r="A317" i="5"/>
  <c r="A318" i="5"/>
  <c r="A319" i="5"/>
  <c r="A320" i="5"/>
  <c r="A321" i="5"/>
  <c r="A322" i="5"/>
  <c r="A323" i="5"/>
  <c r="A324" i="5"/>
  <c r="A325" i="5"/>
  <c r="A326" i="5"/>
  <c r="A327" i="5"/>
  <c r="A328" i="5"/>
  <c r="A329" i="5"/>
  <c r="A330" i="5"/>
  <c r="A331" i="5"/>
  <c r="A332" i="5"/>
  <c r="A333" i="5"/>
  <c r="A334" i="5"/>
  <c r="A335" i="5"/>
  <c r="A336" i="5"/>
  <c r="A337" i="5"/>
  <c r="A338" i="5"/>
  <c r="A339" i="5"/>
  <c r="A340" i="5"/>
  <c r="A341" i="5"/>
  <c r="A342" i="5"/>
  <c r="A343" i="5"/>
  <c r="A344" i="5"/>
  <c r="A345" i="5"/>
  <c r="A346" i="5"/>
  <c r="A347" i="5"/>
  <c r="A348" i="5"/>
  <c r="A349" i="5"/>
  <c r="A350" i="5"/>
  <c r="A351" i="5"/>
  <c r="A352" i="5"/>
  <c r="A353" i="5"/>
  <c r="A354" i="5"/>
  <c r="A355" i="5"/>
  <c r="A356" i="5"/>
  <c r="A357" i="5"/>
  <c r="A358" i="5"/>
  <c r="A359" i="5"/>
  <c r="A360" i="5"/>
  <c r="A361" i="5"/>
  <c r="A362" i="5"/>
  <c r="A363" i="5"/>
  <c r="A364" i="5"/>
  <c r="A365" i="5"/>
  <c r="A366" i="5"/>
  <c r="A367" i="5"/>
  <c r="A368" i="5"/>
  <c r="A369" i="5"/>
  <c r="A370" i="5"/>
  <c r="A371" i="5"/>
  <c r="A372" i="5"/>
  <c r="A373" i="5"/>
  <c r="A374" i="5"/>
  <c r="A375" i="5"/>
  <c r="A376" i="5"/>
  <c r="A377" i="5"/>
  <c r="A378" i="5"/>
  <c r="A379" i="5"/>
  <c r="A380" i="5"/>
  <c r="A381" i="5"/>
  <c r="A382" i="5"/>
  <c r="A383" i="5"/>
  <c r="A384" i="5"/>
  <c r="A385" i="5"/>
  <c r="A386" i="5"/>
  <c r="A387" i="5"/>
  <c r="A388" i="5"/>
  <c r="A389" i="5"/>
  <c r="A390" i="5"/>
  <c r="A391" i="5"/>
  <c r="A392" i="5"/>
  <c r="A393" i="5"/>
  <c r="A394" i="5"/>
  <c r="A395" i="5"/>
  <c r="A396" i="5"/>
  <c r="A397" i="5"/>
  <c r="A398" i="5"/>
  <c r="A399" i="5"/>
  <c r="A400" i="5"/>
  <c r="A401" i="5"/>
  <c r="A402" i="5"/>
  <c r="A403" i="5"/>
  <c r="A404" i="5"/>
  <c r="A405" i="5"/>
  <c r="A406" i="5"/>
  <c r="A407" i="5"/>
  <c r="A408" i="5"/>
  <c r="A409" i="5"/>
  <c r="A410" i="5"/>
  <c r="A411" i="5"/>
  <c r="A412" i="5"/>
  <c r="A413" i="5"/>
  <c r="A414" i="5"/>
  <c r="A415" i="5"/>
  <c r="A416" i="5"/>
  <c r="A417" i="5"/>
  <c r="A418" i="5"/>
  <c r="A419" i="5"/>
  <c r="A420" i="5"/>
  <c r="A421" i="5"/>
  <c r="A422" i="5"/>
  <c r="A423" i="5"/>
  <c r="A424" i="5"/>
  <c r="A425" i="5"/>
  <c r="A426" i="5"/>
  <c r="A427" i="5"/>
  <c r="A428" i="5"/>
  <c r="A429" i="5"/>
  <c r="A430" i="5"/>
  <c r="A431" i="5"/>
  <c r="A432" i="5"/>
  <c r="A433" i="5"/>
  <c r="A434" i="5"/>
  <c r="A435" i="5"/>
  <c r="A436" i="5"/>
  <c r="A437" i="5"/>
  <c r="A438" i="5"/>
  <c r="A439" i="5"/>
  <c r="A440" i="5"/>
  <c r="A441" i="5"/>
  <c r="A442" i="5"/>
  <c r="A443" i="5"/>
  <c r="A444" i="5"/>
  <c r="A445" i="5"/>
  <c r="A446" i="5"/>
  <c r="A447" i="5"/>
  <c r="A448" i="5"/>
  <c r="A449" i="5"/>
  <c r="A450" i="5"/>
  <c r="A451" i="5"/>
  <c r="A452" i="5"/>
  <c r="A453" i="5"/>
  <c r="A454" i="5"/>
  <c r="A455" i="5"/>
  <c r="A456" i="5"/>
  <c r="A457" i="5"/>
  <c r="A458" i="5"/>
  <c r="A459" i="5"/>
  <c r="A460" i="5"/>
  <c r="A461" i="5"/>
  <c r="A462" i="5"/>
  <c r="A463" i="5"/>
  <c r="A464" i="5"/>
  <c r="A465" i="5"/>
  <c r="A466" i="5"/>
  <c r="A467" i="5"/>
  <c r="A468" i="5"/>
  <c r="A469" i="5"/>
  <c r="A470" i="5"/>
  <c r="A471" i="5"/>
  <c r="A472" i="5"/>
  <c r="A473" i="5"/>
  <c r="A474" i="5"/>
  <c r="A475" i="5"/>
  <c r="A476" i="5"/>
  <c r="A477" i="5"/>
  <c r="A478" i="5"/>
  <c r="A479" i="5"/>
  <c r="A480" i="5"/>
  <c r="A481" i="5"/>
  <c r="A482" i="5"/>
  <c r="A483" i="5"/>
  <c r="A484" i="5"/>
  <c r="A485" i="5"/>
  <c r="A486" i="5"/>
  <c r="A487" i="5"/>
  <c r="A488" i="5"/>
  <c r="A489" i="5"/>
  <c r="A490" i="5"/>
  <c r="A491" i="5"/>
  <c r="A492" i="5"/>
  <c r="A493" i="5"/>
  <c r="A494" i="5"/>
  <c r="A495" i="5"/>
  <c r="A496" i="5"/>
  <c r="A497" i="5"/>
  <c r="A498" i="5"/>
  <c r="A499" i="5"/>
  <c r="A500" i="5"/>
  <c r="A501" i="5"/>
  <c r="A502" i="5"/>
  <c r="A503" i="5"/>
  <c r="A504" i="5"/>
  <c r="A505" i="5"/>
  <c r="A506" i="5"/>
  <c r="A507" i="5"/>
  <c r="A508" i="5"/>
  <c r="A509" i="5"/>
  <c r="A510" i="5"/>
  <c r="A511" i="5"/>
  <c r="A512" i="5"/>
  <c r="A513" i="5"/>
  <c r="A514" i="5"/>
  <c r="A515" i="5"/>
  <c r="A516" i="5"/>
  <c r="A517" i="5"/>
  <c r="A518" i="5"/>
  <c r="A519" i="5"/>
  <c r="A520" i="5"/>
  <c r="A521" i="5"/>
  <c r="A522" i="5"/>
  <c r="A523" i="5"/>
  <c r="A524" i="5"/>
  <c r="A525" i="5"/>
  <c r="A526" i="5"/>
  <c r="A527" i="5"/>
  <c r="A528" i="5"/>
  <c r="A529" i="5"/>
  <c r="A530" i="5"/>
  <c r="A531" i="5"/>
  <c r="A532" i="5"/>
  <c r="A533" i="5"/>
  <c r="A534" i="5"/>
  <c r="A535" i="5"/>
  <c r="A536" i="5"/>
  <c r="A537" i="5"/>
  <c r="A538" i="5"/>
  <c r="A539" i="5"/>
  <c r="A540" i="5"/>
  <c r="A541" i="5"/>
  <c r="A542" i="5"/>
  <c r="A543" i="5"/>
  <c r="A544" i="5"/>
  <c r="A545" i="5"/>
  <c r="A546" i="5"/>
  <c r="A547" i="5"/>
  <c r="A548" i="5"/>
  <c r="A549" i="5"/>
  <c r="A550" i="5"/>
  <c r="A551" i="5"/>
  <c r="A552" i="5"/>
  <c r="A553" i="5"/>
  <c r="A554" i="5"/>
  <c r="A555" i="5"/>
  <c r="A556" i="5"/>
  <c r="A557" i="5"/>
  <c r="A558" i="5"/>
  <c r="A559" i="5"/>
  <c r="A560" i="5"/>
  <c r="A561" i="5"/>
  <c r="A562" i="5"/>
  <c r="A563" i="5"/>
  <c r="A564" i="5"/>
  <c r="A565" i="5"/>
  <c r="A566" i="5"/>
  <c r="A567" i="5"/>
  <c r="A568" i="5"/>
  <c r="A569" i="5"/>
  <c r="A570" i="5"/>
  <c r="A571" i="5"/>
  <c r="A572" i="5"/>
  <c r="A573" i="5"/>
  <c r="A574" i="5"/>
  <c r="A575" i="5"/>
  <c r="A576" i="5"/>
  <c r="A577" i="5"/>
  <c r="A578" i="5"/>
  <c r="A579" i="5"/>
  <c r="A580" i="5"/>
  <c r="A581" i="5"/>
  <c r="A582" i="5"/>
  <c r="A583" i="5"/>
  <c r="A584" i="5"/>
  <c r="A585" i="5"/>
  <c r="A586" i="5"/>
  <c r="A587" i="5"/>
  <c r="A588" i="5"/>
  <c r="A589" i="5"/>
  <c r="A590" i="5"/>
  <c r="A591" i="5"/>
  <c r="A592" i="5"/>
  <c r="A593" i="5"/>
  <c r="A594" i="5"/>
  <c r="A595" i="5"/>
  <c r="A596" i="5"/>
  <c r="A597" i="5"/>
  <c r="A598" i="5"/>
  <c r="A599" i="5"/>
  <c r="A600" i="5"/>
  <c r="A601" i="5"/>
  <c r="A602" i="5"/>
  <c r="A603" i="5"/>
  <c r="A604" i="5"/>
  <c r="A605" i="5"/>
  <c r="A606" i="5"/>
  <c r="A607" i="5"/>
  <c r="A608" i="5"/>
  <c r="A609" i="5"/>
  <c r="A610" i="5"/>
  <c r="A611" i="5"/>
  <c r="A612" i="5"/>
  <c r="A613" i="5"/>
  <c r="A614" i="5"/>
  <c r="A615" i="5"/>
  <c r="A616" i="5"/>
  <c r="A617" i="5"/>
  <c r="A618" i="5"/>
  <c r="A619" i="5"/>
  <c r="A620" i="5"/>
  <c r="A621" i="5"/>
  <c r="A622" i="5"/>
  <c r="A623" i="5"/>
  <c r="A624" i="5"/>
  <c r="A625" i="5"/>
  <c r="A626" i="5"/>
  <c r="A627" i="5"/>
  <c r="A628" i="5"/>
  <c r="A629" i="5"/>
  <c r="A630" i="5"/>
  <c r="A631" i="5"/>
  <c r="A632" i="5"/>
  <c r="A633" i="5"/>
  <c r="A634" i="5"/>
  <c r="A635" i="5"/>
  <c r="A636" i="5"/>
  <c r="A637" i="5"/>
  <c r="A638" i="5"/>
  <c r="A639" i="5"/>
  <c r="A640" i="5"/>
  <c r="A641" i="5"/>
  <c r="A642" i="5"/>
  <c r="A643" i="5"/>
  <c r="A644" i="5"/>
  <c r="A645" i="5"/>
  <c r="A646" i="5"/>
  <c r="A647" i="5"/>
  <c r="A648" i="5"/>
  <c r="A649" i="5"/>
  <c r="A650" i="5"/>
  <c r="A651" i="5"/>
  <c r="A652" i="5"/>
  <c r="A653" i="5"/>
  <c r="A654" i="5"/>
  <c r="A655" i="5"/>
  <c r="A656" i="5"/>
  <c r="A657" i="5"/>
  <c r="A658" i="5"/>
  <c r="A659" i="5"/>
  <c r="A660" i="5"/>
  <c r="A661" i="5"/>
  <c r="A662" i="5"/>
  <c r="A663" i="5"/>
  <c r="A664" i="5"/>
  <c r="A665" i="5"/>
  <c r="A666" i="5"/>
  <c r="A667" i="5"/>
  <c r="A668" i="5"/>
  <c r="A669" i="5"/>
  <c r="A670" i="5"/>
  <c r="A671" i="5"/>
  <c r="A672" i="5"/>
  <c r="A673" i="5"/>
  <c r="A674" i="5"/>
  <c r="A675" i="5"/>
  <c r="A676" i="5"/>
  <c r="A677" i="5"/>
  <c r="A678" i="5"/>
  <c r="A679" i="5"/>
  <c r="A680" i="5"/>
  <c r="A681" i="5"/>
  <c r="A682" i="5"/>
  <c r="A683" i="5"/>
  <c r="A684" i="5"/>
  <c r="A685" i="5"/>
  <c r="A686" i="5"/>
  <c r="A687" i="5"/>
  <c r="A688" i="5"/>
  <c r="A689" i="5"/>
  <c r="A690" i="5"/>
  <c r="A691" i="5"/>
  <c r="A692" i="5"/>
  <c r="A693" i="5"/>
  <c r="A694" i="5"/>
  <c r="A695" i="5"/>
  <c r="A696" i="5"/>
  <c r="A697" i="5"/>
  <c r="A698" i="5"/>
  <c r="A699" i="5"/>
  <c r="A700" i="5"/>
  <c r="A701" i="5"/>
  <c r="A702" i="5"/>
  <c r="A703" i="5"/>
  <c r="A704" i="5"/>
  <c r="A705" i="5"/>
  <c r="A706" i="5"/>
  <c r="A707" i="5"/>
  <c r="A708" i="5"/>
  <c r="A709" i="5"/>
  <c r="A710" i="5"/>
  <c r="A711" i="5"/>
  <c r="A712" i="5"/>
  <c r="A713" i="5"/>
  <c r="A714" i="5"/>
  <c r="A715" i="5"/>
  <c r="A716" i="5"/>
  <c r="A717" i="5"/>
  <c r="A718" i="5"/>
  <c r="A719" i="5"/>
  <c r="A720" i="5"/>
  <c r="A721" i="5"/>
  <c r="A722" i="5"/>
  <c r="A723" i="5"/>
  <c r="A724" i="5"/>
  <c r="A725" i="5"/>
  <c r="A726" i="5"/>
  <c r="A727" i="5"/>
  <c r="A728" i="5"/>
  <c r="A729" i="5"/>
  <c r="A730" i="5"/>
  <c r="A731" i="5"/>
  <c r="A732" i="5"/>
  <c r="A733" i="5"/>
  <c r="A734" i="5"/>
  <c r="A735" i="5"/>
  <c r="A736" i="5"/>
  <c r="A737" i="5"/>
  <c r="A738" i="5"/>
  <c r="A739" i="5"/>
  <c r="A740" i="5"/>
  <c r="A741" i="5"/>
  <c r="A742" i="5"/>
  <c r="A743" i="5"/>
  <c r="A744" i="5"/>
  <c r="A745" i="5"/>
  <c r="A746" i="5"/>
  <c r="A747" i="5"/>
  <c r="A748" i="5"/>
  <c r="A749" i="5"/>
  <c r="A750" i="5"/>
  <c r="A751" i="5"/>
  <c r="A752" i="5"/>
  <c r="A753" i="5"/>
  <c r="A754" i="5"/>
  <c r="A755" i="5"/>
  <c r="A756" i="5"/>
  <c r="A757" i="5"/>
  <c r="A758" i="5"/>
  <c r="A759" i="5"/>
  <c r="A760" i="5"/>
  <c r="A761" i="5"/>
  <c r="A762" i="5"/>
  <c r="A763" i="5"/>
  <c r="A764" i="5"/>
  <c r="A765" i="5"/>
  <c r="A766" i="5"/>
  <c r="A767" i="5"/>
  <c r="A768" i="5"/>
  <c r="A769" i="5"/>
  <c r="A770" i="5"/>
  <c r="A771" i="5"/>
  <c r="A772" i="5"/>
  <c r="A773" i="5"/>
  <c r="A774" i="5"/>
  <c r="A775" i="5"/>
  <c r="A776" i="5"/>
  <c r="A777" i="5"/>
  <c r="A778" i="5"/>
  <c r="A779" i="5"/>
  <c r="A780" i="5"/>
  <c r="A781" i="5"/>
  <c r="A782" i="5"/>
  <c r="A783" i="5"/>
  <c r="A784" i="5"/>
  <c r="A785" i="5"/>
  <c r="A786" i="5"/>
  <c r="A787" i="5"/>
  <c r="A788" i="5"/>
  <c r="A789" i="5"/>
  <c r="A790" i="5"/>
  <c r="A791" i="5"/>
  <c r="A792" i="5"/>
  <c r="A793" i="5"/>
  <c r="A794" i="5"/>
  <c r="A795" i="5"/>
  <c r="A796" i="5"/>
  <c r="A797" i="5"/>
  <c r="A798" i="5"/>
  <c r="A799" i="5"/>
  <c r="A800" i="5"/>
  <c r="A801" i="5"/>
  <c r="A802" i="5"/>
  <c r="A803" i="5"/>
  <c r="A804" i="5"/>
  <c r="A805" i="5"/>
  <c r="A806" i="5"/>
  <c r="A807" i="5"/>
  <c r="A808" i="5"/>
  <c r="A809" i="5"/>
  <c r="A810" i="5"/>
  <c r="A811" i="5"/>
  <c r="A812" i="5"/>
  <c r="A813" i="5"/>
  <c r="A814" i="5"/>
  <c r="A815" i="5"/>
  <c r="A816" i="5"/>
  <c r="A817" i="5"/>
  <c r="A818" i="5"/>
  <c r="A819" i="5"/>
  <c r="A820" i="5"/>
  <c r="A821" i="5"/>
  <c r="A822" i="5"/>
  <c r="A823" i="5"/>
  <c r="A824" i="5"/>
  <c r="A825" i="5"/>
  <c r="A826" i="5"/>
  <c r="A827" i="5"/>
  <c r="A828" i="5"/>
  <c r="A829" i="5"/>
  <c r="A830" i="5"/>
  <c r="A831" i="5"/>
  <c r="A832" i="5"/>
  <c r="A833" i="5"/>
  <c r="A834" i="5"/>
  <c r="A835" i="5"/>
  <c r="A836" i="5"/>
  <c r="A837" i="5"/>
  <c r="A838" i="5"/>
  <c r="A839" i="5"/>
  <c r="A840" i="5"/>
  <c r="A841" i="5"/>
  <c r="A842" i="5"/>
  <c r="A843" i="5"/>
  <c r="A844" i="5"/>
  <c r="A845" i="5"/>
  <c r="A846" i="5"/>
  <c r="A847" i="5"/>
  <c r="A848" i="5"/>
  <c r="A849" i="5"/>
  <c r="A850" i="5"/>
  <c r="A851" i="5"/>
  <c r="A852" i="5"/>
  <c r="A853" i="5"/>
  <c r="A854" i="5"/>
  <c r="A855" i="5"/>
  <c r="A856" i="5"/>
  <c r="A857" i="5"/>
  <c r="A858" i="5"/>
  <c r="A859" i="5"/>
  <c r="A860" i="5"/>
  <c r="A861" i="5"/>
  <c r="A862" i="5"/>
  <c r="A863" i="5"/>
  <c r="A864" i="5"/>
  <c r="A865" i="5"/>
  <c r="A866" i="5"/>
  <c r="A867" i="5"/>
  <c r="A868" i="5"/>
  <c r="A869" i="5"/>
  <c r="A870" i="5"/>
  <c r="A871" i="5"/>
  <c r="A872" i="5"/>
  <c r="A873" i="5"/>
  <c r="A874" i="5"/>
  <c r="A875" i="5"/>
  <c r="A876" i="5"/>
  <c r="A877" i="5"/>
  <c r="A878" i="5"/>
  <c r="A879" i="5"/>
  <c r="A880" i="5"/>
  <c r="A881" i="5"/>
  <c r="A882" i="5"/>
  <c r="A883" i="5"/>
  <c r="A884" i="5"/>
  <c r="A885" i="5"/>
  <c r="A886" i="5"/>
  <c r="A887" i="5"/>
  <c r="A888" i="5"/>
  <c r="A889" i="5"/>
  <c r="A890" i="5"/>
  <c r="A891" i="5"/>
  <c r="A892" i="5"/>
  <c r="A893" i="5"/>
  <c r="A894" i="5"/>
  <c r="A895" i="5"/>
  <c r="A896" i="5"/>
  <c r="A897" i="5"/>
  <c r="A898" i="5"/>
  <c r="A899" i="5"/>
  <c r="A900" i="5"/>
  <c r="A901" i="5"/>
  <c r="A902" i="5"/>
  <c r="A903" i="5"/>
  <c r="A904" i="5"/>
  <c r="A905" i="5"/>
  <c r="A906" i="5"/>
  <c r="A907" i="5"/>
  <c r="A908" i="5"/>
  <c r="A909" i="5"/>
  <c r="A910" i="5"/>
  <c r="A911" i="5"/>
  <c r="A912" i="5"/>
  <c r="A913" i="5"/>
  <c r="A914" i="5"/>
  <c r="A915" i="5"/>
  <c r="A916" i="5"/>
  <c r="A917" i="5"/>
  <c r="A918" i="5"/>
  <c r="A919" i="5"/>
  <c r="A920" i="5"/>
  <c r="A921" i="5"/>
  <c r="A922" i="5"/>
  <c r="A923" i="5"/>
  <c r="A924" i="5"/>
  <c r="A925" i="5"/>
  <c r="A926" i="5"/>
  <c r="A927" i="5"/>
  <c r="A928" i="5"/>
  <c r="A929" i="5"/>
  <c r="A930" i="5"/>
  <c r="A931" i="5"/>
  <c r="A932" i="5"/>
  <c r="A933" i="5"/>
  <c r="A934" i="5"/>
  <c r="A935" i="5"/>
  <c r="A936" i="5"/>
  <c r="A937" i="5"/>
  <c r="A938" i="5"/>
  <c r="A939" i="5"/>
  <c r="A940" i="5"/>
  <c r="A941" i="5"/>
  <c r="A942" i="5"/>
  <c r="A943" i="5"/>
  <c r="A944" i="5"/>
  <c r="A945" i="5"/>
  <c r="A946" i="5"/>
  <c r="A947" i="5"/>
  <c r="A948" i="5"/>
  <c r="A949" i="5"/>
  <c r="A950" i="5"/>
  <c r="A951" i="5"/>
  <c r="A952" i="5"/>
  <c r="A953" i="5"/>
  <c r="A954" i="5"/>
  <c r="A955" i="5"/>
  <c r="A956" i="5"/>
  <c r="A957" i="5"/>
  <c r="A958" i="5"/>
  <c r="A959" i="5"/>
  <c r="A960" i="5"/>
  <c r="A961" i="5"/>
  <c r="A962" i="5"/>
  <c r="A963" i="5"/>
  <c r="A964" i="5"/>
  <c r="A965" i="5"/>
  <c r="A966" i="5"/>
  <c r="A967" i="5"/>
  <c r="A968" i="5"/>
  <c r="A969" i="5"/>
  <c r="A970" i="5"/>
  <c r="A971" i="5"/>
  <c r="A972" i="5"/>
  <c r="A973" i="5"/>
  <c r="A974" i="5"/>
  <c r="A975" i="5"/>
  <c r="A976" i="5"/>
  <c r="A977" i="5"/>
  <c r="A978" i="5"/>
  <c r="A979" i="5"/>
  <c r="A980" i="5"/>
  <c r="A981" i="5"/>
  <c r="A982" i="5"/>
  <c r="A983" i="5"/>
  <c r="A984" i="5"/>
  <c r="A985" i="5"/>
  <c r="A986" i="5"/>
  <c r="A987" i="5"/>
  <c r="A988" i="5"/>
  <c r="A989" i="5"/>
  <c r="A990" i="5"/>
  <c r="A991" i="5"/>
  <c r="A992" i="5"/>
  <c r="A993" i="5"/>
  <c r="A994" i="5"/>
  <c r="A995" i="5"/>
  <c r="A996" i="5"/>
  <c r="A997" i="5"/>
  <c r="A998" i="5"/>
  <c r="A999" i="5"/>
  <c r="A1000" i="5"/>
  <c r="A1001" i="5"/>
  <c r="A1002" i="5"/>
  <c r="A1003" i="5"/>
  <c r="A1004" i="5"/>
  <c r="A1005" i="5"/>
  <c r="A1006" i="5"/>
  <c r="A1007" i="5"/>
  <c r="A1008" i="5"/>
  <c r="A1009" i="5"/>
  <c r="A1010" i="5"/>
  <c r="A1011" i="5"/>
  <c r="A1012" i="5"/>
  <c r="A1013" i="5"/>
  <c r="A1014" i="5"/>
  <c r="A1015" i="5"/>
  <c r="A1016" i="5"/>
  <c r="A1017" i="5"/>
  <c r="A1018" i="5"/>
  <c r="A1019" i="5"/>
  <c r="A1020" i="5"/>
  <c r="A1021" i="5"/>
  <c r="A2" i="5"/>
  <c r="E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E302" i="5"/>
  <c r="E303" i="5"/>
  <c r="E304" i="5"/>
  <c r="E305" i="5"/>
  <c r="E306" i="5"/>
  <c r="E307" i="5"/>
  <c r="E308" i="5"/>
  <c r="E309" i="5"/>
  <c r="E310" i="5"/>
  <c r="E311" i="5"/>
  <c r="E312" i="5"/>
  <c r="E313" i="5"/>
  <c r="E314" i="5"/>
  <c r="E315" i="5"/>
  <c r="E316" i="5"/>
  <c r="E317" i="5"/>
  <c r="E318" i="5"/>
  <c r="E319" i="5"/>
  <c r="E320" i="5"/>
  <c r="E321" i="5"/>
  <c r="E322" i="5"/>
  <c r="E323" i="5"/>
  <c r="E324" i="5"/>
  <c r="E325" i="5"/>
  <c r="E326" i="5"/>
  <c r="E327" i="5"/>
  <c r="E328" i="5"/>
  <c r="E329" i="5"/>
  <c r="E330" i="5"/>
  <c r="E331" i="5"/>
  <c r="E332" i="5"/>
  <c r="E333" i="5"/>
  <c r="E334" i="5"/>
  <c r="E335" i="5"/>
  <c r="E336" i="5"/>
  <c r="E337" i="5"/>
  <c r="E338" i="5"/>
  <c r="E339" i="5"/>
  <c r="E340" i="5"/>
  <c r="E341" i="5"/>
  <c r="E342" i="5"/>
  <c r="E343" i="5"/>
  <c r="E344" i="5"/>
  <c r="E345" i="5"/>
  <c r="E346" i="5"/>
  <c r="E347" i="5"/>
  <c r="E348" i="5"/>
  <c r="E349" i="5"/>
  <c r="E350" i="5"/>
  <c r="E351" i="5"/>
  <c r="E352" i="5"/>
  <c r="E353" i="5"/>
  <c r="E354" i="5"/>
  <c r="E355" i="5"/>
  <c r="E356" i="5"/>
  <c r="E357" i="5"/>
  <c r="E358" i="5"/>
  <c r="E359" i="5"/>
  <c r="E360" i="5"/>
  <c r="E361" i="5"/>
  <c r="E362" i="5"/>
  <c r="E363" i="5"/>
  <c r="E364" i="5"/>
  <c r="E365" i="5"/>
  <c r="E366" i="5"/>
  <c r="E367" i="5"/>
  <c r="E368" i="5"/>
  <c r="E369" i="5"/>
  <c r="E370" i="5"/>
  <c r="E371" i="5"/>
  <c r="E372" i="5"/>
  <c r="E373" i="5"/>
  <c r="E374" i="5"/>
  <c r="E375" i="5"/>
  <c r="E376" i="5"/>
  <c r="E377" i="5"/>
  <c r="E378" i="5"/>
  <c r="E379" i="5"/>
  <c r="E380" i="5"/>
  <c r="E381" i="5"/>
  <c r="E382" i="5"/>
  <c r="E383" i="5"/>
  <c r="E384" i="5"/>
  <c r="E385" i="5"/>
  <c r="E386" i="5"/>
  <c r="E387" i="5"/>
  <c r="E388" i="5"/>
  <c r="E389" i="5"/>
  <c r="E390" i="5"/>
  <c r="E391" i="5"/>
  <c r="E392" i="5"/>
  <c r="E393" i="5"/>
  <c r="E394" i="5"/>
  <c r="E395" i="5"/>
  <c r="E396" i="5"/>
  <c r="E397" i="5"/>
  <c r="E398" i="5"/>
  <c r="E399" i="5"/>
  <c r="E400" i="5"/>
  <c r="E401" i="5"/>
  <c r="E402" i="5"/>
  <c r="E403" i="5"/>
  <c r="E404" i="5"/>
  <c r="E405" i="5"/>
  <c r="E406" i="5"/>
  <c r="E407" i="5"/>
  <c r="E408" i="5"/>
  <c r="E409" i="5"/>
  <c r="E410" i="5"/>
  <c r="E411" i="5"/>
  <c r="E412" i="5"/>
  <c r="E413" i="5"/>
  <c r="E414" i="5"/>
  <c r="E415" i="5"/>
  <c r="E416" i="5"/>
  <c r="E417" i="5"/>
  <c r="E418" i="5"/>
  <c r="E419" i="5"/>
  <c r="E420" i="5"/>
  <c r="E421" i="5"/>
  <c r="E422" i="5"/>
  <c r="E423" i="5"/>
  <c r="E424" i="5"/>
  <c r="E425" i="5"/>
  <c r="E426" i="5"/>
  <c r="E427" i="5"/>
  <c r="E428" i="5"/>
  <c r="E429" i="5"/>
  <c r="E430" i="5"/>
  <c r="E431" i="5"/>
  <c r="E432" i="5"/>
  <c r="E433" i="5"/>
  <c r="E434" i="5"/>
  <c r="E435" i="5"/>
  <c r="E436" i="5"/>
  <c r="E437" i="5"/>
  <c r="E438" i="5"/>
  <c r="E439" i="5"/>
  <c r="E440" i="5"/>
  <c r="E441" i="5"/>
  <c r="E442" i="5"/>
  <c r="E443" i="5"/>
  <c r="E444" i="5"/>
  <c r="E445" i="5"/>
  <c r="E446" i="5"/>
  <c r="E447" i="5"/>
  <c r="E448" i="5"/>
  <c r="E449" i="5"/>
  <c r="E450" i="5"/>
  <c r="E451" i="5"/>
  <c r="E452" i="5"/>
  <c r="E453" i="5"/>
  <c r="E454" i="5"/>
  <c r="E455" i="5"/>
  <c r="E456" i="5"/>
  <c r="E457" i="5"/>
  <c r="E458" i="5"/>
  <c r="E459" i="5"/>
  <c r="E460" i="5"/>
  <c r="E461" i="5"/>
  <c r="E462" i="5"/>
  <c r="E463" i="5"/>
  <c r="E464" i="5"/>
  <c r="E465" i="5"/>
  <c r="E466" i="5"/>
  <c r="E467" i="5"/>
  <c r="E468" i="5"/>
  <c r="E469" i="5"/>
  <c r="E470" i="5"/>
  <c r="E471" i="5"/>
  <c r="E472" i="5"/>
  <c r="E473" i="5"/>
  <c r="E474" i="5"/>
  <c r="E475" i="5"/>
  <c r="E476" i="5"/>
  <c r="E477" i="5"/>
  <c r="E478" i="5"/>
  <c r="E479" i="5"/>
  <c r="E480" i="5"/>
  <c r="E481" i="5"/>
  <c r="E482" i="5"/>
  <c r="E483" i="5"/>
  <c r="E484" i="5"/>
  <c r="E485" i="5"/>
  <c r="E486" i="5"/>
  <c r="E487" i="5"/>
  <c r="E488" i="5"/>
  <c r="E489" i="5"/>
  <c r="E490" i="5"/>
  <c r="E491" i="5"/>
  <c r="E492" i="5"/>
  <c r="E493" i="5"/>
  <c r="E494" i="5"/>
  <c r="E495" i="5"/>
  <c r="E496" i="5"/>
  <c r="E497" i="5"/>
  <c r="E498" i="5"/>
  <c r="E499" i="5"/>
  <c r="E500" i="5"/>
  <c r="E501" i="5"/>
  <c r="E502" i="5"/>
  <c r="E503" i="5"/>
  <c r="E504" i="5"/>
  <c r="E505" i="5"/>
  <c r="E506" i="5"/>
  <c r="E507" i="5"/>
  <c r="E508" i="5"/>
  <c r="E509" i="5"/>
  <c r="E510" i="5"/>
  <c r="E511" i="5"/>
  <c r="E512" i="5"/>
  <c r="E513" i="5"/>
  <c r="E514" i="5"/>
  <c r="E515" i="5"/>
  <c r="E516" i="5"/>
  <c r="E517" i="5"/>
  <c r="E518" i="5"/>
  <c r="E519" i="5"/>
  <c r="E520" i="5"/>
  <c r="E521" i="5"/>
  <c r="E522" i="5"/>
  <c r="E523" i="5"/>
  <c r="E524" i="5"/>
  <c r="E525" i="5"/>
  <c r="E526" i="5"/>
  <c r="E527" i="5"/>
  <c r="E528" i="5"/>
  <c r="E529" i="5"/>
  <c r="E530" i="5"/>
  <c r="E531" i="5"/>
  <c r="E532" i="5"/>
  <c r="E533" i="5"/>
  <c r="E534" i="5"/>
  <c r="E535" i="5"/>
  <c r="E536" i="5"/>
  <c r="E537" i="5"/>
  <c r="E538" i="5"/>
  <c r="E539" i="5"/>
  <c r="E540" i="5"/>
  <c r="E541" i="5"/>
  <c r="E542" i="5"/>
  <c r="E543" i="5"/>
  <c r="E544" i="5"/>
  <c r="E545" i="5"/>
  <c r="E546" i="5"/>
  <c r="E547" i="5"/>
  <c r="E548" i="5"/>
  <c r="E549" i="5"/>
  <c r="E550" i="5"/>
  <c r="E551" i="5"/>
  <c r="E552" i="5"/>
  <c r="E553" i="5"/>
  <c r="E554" i="5"/>
  <c r="E555" i="5"/>
  <c r="E556" i="5"/>
  <c r="E557" i="5"/>
  <c r="E558" i="5"/>
  <c r="E559" i="5"/>
  <c r="E560" i="5"/>
  <c r="E561" i="5"/>
  <c r="E562" i="5"/>
  <c r="E563" i="5"/>
  <c r="E564" i="5"/>
  <c r="E565" i="5"/>
  <c r="E566" i="5"/>
  <c r="E567" i="5"/>
  <c r="E568" i="5"/>
  <c r="E569" i="5"/>
  <c r="E570" i="5"/>
  <c r="E571" i="5"/>
  <c r="E572" i="5"/>
  <c r="E573" i="5"/>
  <c r="E574" i="5"/>
  <c r="E575" i="5"/>
  <c r="E576" i="5"/>
  <c r="E577" i="5"/>
  <c r="E578" i="5"/>
  <c r="E579" i="5"/>
  <c r="E580" i="5"/>
  <c r="E581" i="5"/>
  <c r="E582" i="5"/>
  <c r="E583" i="5"/>
  <c r="E584" i="5"/>
  <c r="E585" i="5"/>
  <c r="E586" i="5"/>
  <c r="E587" i="5"/>
  <c r="E588" i="5"/>
  <c r="E589" i="5"/>
  <c r="E590" i="5"/>
  <c r="E591" i="5"/>
  <c r="E592" i="5"/>
  <c r="E593" i="5"/>
  <c r="E594" i="5"/>
  <c r="E595" i="5"/>
  <c r="E596" i="5"/>
  <c r="E597" i="5"/>
  <c r="E598" i="5"/>
  <c r="E599" i="5"/>
  <c r="E600" i="5"/>
  <c r="E601" i="5"/>
  <c r="E602" i="5"/>
  <c r="E603" i="5"/>
  <c r="E604" i="5"/>
  <c r="E605" i="5"/>
  <c r="E606" i="5"/>
  <c r="E607" i="5"/>
  <c r="E608" i="5"/>
  <c r="E609" i="5"/>
  <c r="E610" i="5"/>
  <c r="E611" i="5"/>
  <c r="E612" i="5"/>
  <c r="E613" i="5"/>
  <c r="E614" i="5"/>
  <c r="E615" i="5"/>
  <c r="E616" i="5"/>
  <c r="E617" i="5"/>
  <c r="E618" i="5"/>
  <c r="E619" i="5"/>
  <c r="E620" i="5"/>
  <c r="E621" i="5"/>
  <c r="E622" i="5"/>
  <c r="E623" i="5"/>
  <c r="E624" i="5"/>
  <c r="E625" i="5"/>
  <c r="E626" i="5"/>
  <c r="E627" i="5"/>
  <c r="E628" i="5"/>
  <c r="E629" i="5"/>
  <c r="E630" i="5"/>
  <c r="E631" i="5"/>
  <c r="E632" i="5"/>
  <c r="E633" i="5"/>
  <c r="E634" i="5"/>
  <c r="E635" i="5"/>
  <c r="E636" i="5"/>
  <c r="E637" i="5"/>
  <c r="E638" i="5"/>
  <c r="E639" i="5"/>
  <c r="E640" i="5"/>
  <c r="E641" i="5"/>
  <c r="E642" i="5"/>
  <c r="E643" i="5"/>
  <c r="E644" i="5"/>
  <c r="E645" i="5"/>
  <c r="E646" i="5"/>
  <c r="E647" i="5"/>
  <c r="E648" i="5"/>
  <c r="E649" i="5"/>
  <c r="E650" i="5"/>
  <c r="E651" i="5"/>
  <c r="E652" i="5"/>
  <c r="E653" i="5"/>
  <c r="E654" i="5"/>
  <c r="E655" i="5"/>
  <c r="E656" i="5"/>
  <c r="E657" i="5"/>
  <c r="E658" i="5"/>
  <c r="E659" i="5"/>
  <c r="E660" i="5"/>
  <c r="E661" i="5"/>
  <c r="E662" i="5"/>
  <c r="E663" i="5"/>
  <c r="E664" i="5"/>
  <c r="E665" i="5"/>
  <c r="E666" i="5"/>
  <c r="E667" i="5"/>
  <c r="E668" i="5"/>
  <c r="E669" i="5"/>
  <c r="E670" i="5"/>
  <c r="E671" i="5"/>
  <c r="E672" i="5"/>
  <c r="E673" i="5"/>
  <c r="E674" i="5"/>
  <c r="E675" i="5"/>
  <c r="E676" i="5"/>
  <c r="E677" i="5"/>
  <c r="E678" i="5"/>
  <c r="E679" i="5"/>
  <c r="E680" i="5"/>
  <c r="E681" i="5"/>
  <c r="E682" i="5"/>
  <c r="E683" i="5"/>
  <c r="E684" i="5"/>
  <c r="E685" i="5"/>
  <c r="E686" i="5"/>
  <c r="E687" i="5"/>
  <c r="E688" i="5"/>
  <c r="E689" i="5"/>
  <c r="E690" i="5"/>
  <c r="E691" i="5"/>
  <c r="E692" i="5"/>
  <c r="E693" i="5"/>
  <c r="E694" i="5"/>
  <c r="E695" i="5"/>
  <c r="E696" i="5"/>
  <c r="E697" i="5"/>
  <c r="E698" i="5"/>
  <c r="E699" i="5"/>
  <c r="E700" i="5"/>
  <c r="E701" i="5"/>
  <c r="E702" i="5"/>
  <c r="E703" i="5"/>
  <c r="E704" i="5"/>
  <c r="E705" i="5"/>
  <c r="E706" i="5"/>
  <c r="E707" i="5"/>
  <c r="E708" i="5"/>
  <c r="E709" i="5"/>
  <c r="E710" i="5"/>
  <c r="E711" i="5"/>
  <c r="E712" i="5"/>
  <c r="E713" i="5"/>
  <c r="E714" i="5"/>
  <c r="E715" i="5"/>
  <c r="E716" i="5"/>
  <c r="E717" i="5"/>
  <c r="E718" i="5"/>
  <c r="E719" i="5"/>
  <c r="E720" i="5"/>
  <c r="E721" i="5"/>
  <c r="E722" i="5"/>
  <c r="E723" i="5"/>
  <c r="E724" i="5"/>
  <c r="E725" i="5"/>
  <c r="E726" i="5"/>
  <c r="E727" i="5"/>
  <c r="E728" i="5"/>
  <c r="E729" i="5"/>
  <c r="E730" i="5"/>
  <c r="E731" i="5"/>
  <c r="E732" i="5"/>
  <c r="E733" i="5"/>
  <c r="E734" i="5"/>
  <c r="E735" i="5"/>
  <c r="E736" i="5"/>
  <c r="E737" i="5"/>
  <c r="E738" i="5"/>
  <c r="E739" i="5"/>
  <c r="E740" i="5"/>
  <c r="E741" i="5"/>
  <c r="E742" i="5"/>
  <c r="E743" i="5"/>
  <c r="E744" i="5"/>
  <c r="E745" i="5"/>
  <c r="E746" i="5"/>
  <c r="E747" i="5"/>
  <c r="E748" i="5"/>
  <c r="E749" i="5"/>
  <c r="E750" i="5"/>
  <c r="E751" i="5"/>
  <c r="E752" i="5"/>
  <c r="E753" i="5"/>
  <c r="E754" i="5"/>
  <c r="E755" i="5"/>
  <c r="E756" i="5"/>
  <c r="E757" i="5"/>
  <c r="E758" i="5"/>
  <c r="E759" i="5"/>
  <c r="E760" i="5"/>
  <c r="E761" i="5"/>
  <c r="E762" i="5"/>
  <c r="E763" i="5"/>
  <c r="E764" i="5"/>
  <c r="E765" i="5"/>
  <c r="E766" i="5"/>
  <c r="E767" i="5"/>
  <c r="E768" i="5"/>
  <c r="E769" i="5"/>
  <c r="E770" i="5"/>
  <c r="E771" i="5"/>
  <c r="E772" i="5"/>
  <c r="E773" i="5"/>
  <c r="E774" i="5"/>
  <c r="E775" i="5"/>
  <c r="E776" i="5"/>
  <c r="E777" i="5"/>
  <c r="E778" i="5"/>
  <c r="E779" i="5"/>
  <c r="E780" i="5"/>
  <c r="E781" i="5"/>
  <c r="E782" i="5"/>
  <c r="E783" i="5"/>
  <c r="E784" i="5"/>
  <c r="E785" i="5"/>
  <c r="E786" i="5"/>
  <c r="E787" i="5"/>
  <c r="E788" i="5"/>
  <c r="E789" i="5"/>
  <c r="E790" i="5"/>
  <c r="E791" i="5"/>
  <c r="E792" i="5"/>
  <c r="E793" i="5"/>
  <c r="E794" i="5"/>
  <c r="E795" i="5"/>
  <c r="E796" i="5"/>
  <c r="E797" i="5"/>
  <c r="E798" i="5"/>
  <c r="E799" i="5"/>
  <c r="E800" i="5"/>
  <c r="E801" i="5"/>
  <c r="E802" i="5"/>
  <c r="E803" i="5"/>
  <c r="E804" i="5"/>
  <c r="E805" i="5"/>
  <c r="E806" i="5"/>
  <c r="E807" i="5"/>
  <c r="E808" i="5"/>
  <c r="E809" i="5"/>
  <c r="E810" i="5"/>
  <c r="E811" i="5"/>
  <c r="E812" i="5"/>
  <c r="E813" i="5"/>
  <c r="E814" i="5"/>
  <c r="E815" i="5"/>
  <c r="E816" i="5"/>
  <c r="E817" i="5"/>
  <c r="E818" i="5"/>
  <c r="E819" i="5"/>
  <c r="E820" i="5"/>
  <c r="E821" i="5"/>
  <c r="E822" i="5"/>
  <c r="E823" i="5"/>
  <c r="E824" i="5"/>
  <c r="E825" i="5"/>
  <c r="E826" i="5"/>
  <c r="E827" i="5"/>
  <c r="E828" i="5"/>
  <c r="E829" i="5"/>
  <c r="E830" i="5"/>
  <c r="E831" i="5"/>
  <c r="E832" i="5"/>
  <c r="E833" i="5"/>
  <c r="E834" i="5"/>
  <c r="E835" i="5"/>
  <c r="E836" i="5"/>
  <c r="E837" i="5"/>
  <c r="E838" i="5"/>
  <c r="E839" i="5"/>
  <c r="E840" i="5"/>
  <c r="E841" i="5"/>
  <c r="E842" i="5"/>
  <c r="E843" i="5"/>
  <c r="E844" i="5"/>
  <c r="E845" i="5"/>
  <c r="E846" i="5"/>
  <c r="E847" i="5"/>
  <c r="E848" i="5"/>
  <c r="E849" i="5"/>
  <c r="E850" i="5"/>
  <c r="E851" i="5"/>
  <c r="E852" i="5"/>
  <c r="E853" i="5"/>
  <c r="E854" i="5"/>
  <c r="E855" i="5"/>
  <c r="E856" i="5"/>
  <c r="E857" i="5"/>
  <c r="E858" i="5"/>
  <c r="E859" i="5"/>
  <c r="E860" i="5"/>
  <c r="E861" i="5"/>
  <c r="E862" i="5"/>
  <c r="E863" i="5"/>
  <c r="E864" i="5"/>
  <c r="E865" i="5"/>
  <c r="E866" i="5"/>
  <c r="E867" i="5"/>
  <c r="E868" i="5"/>
  <c r="E869" i="5"/>
  <c r="E870" i="5"/>
  <c r="E871" i="5"/>
  <c r="E872" i="5"/>
  <c r="E873" i="5"/>
  <c r="E874" i="5"/>
  <c r="E875" i="5"/>
  <c r="E876" i="5"/>
  <c r="E877" i="5"/>
  <c r="E878" i="5"/>
  <c r="E879" i="5"/>
  <c r="E880" i="5"/>
  <c r="E881" i="5"/>
  <c r="E882" i="5"/>
  <c r="E883" i="5"/>
  <c r="E884" i="5"/>
  <c r="E885" i="5"/>
  <c r="E886" i="5"/>
  <c r="E887" i="5"/>
  <c r="E888" i="5"/>
  <c r="E889" i="5"/>
  <c r="E890" i="5"/>
  <c r="E891" i="5"/>
  <c r="E892" i="5"/>
  <c r="E893" i="5"/>
  <c r="E894" i="5"/>
  <c r="E895" i="5"/>
  <c r="E896" i="5"/>
  <c r="E897" i="5"/>
  <c r="E898" i="5"/>
  <c r="E899" i="5"/>
  <c r="E900" i="5"/>
  <c r="E901" i="5"/>
  <c r="E902" i="5"/>
  <c r="E903" i="5"/>
  <c r="E904" i="5"/>
  <c r="E905" i="5"/>
  <c r="E906" i="5"/>
  <c r="E907" i="5"/>
  <c r="E908" i="5"/>
  <c r="E909" i="5"/>
  <c r="E910" i="5"/>
  <c r="E911" i="5"/>
  <c r="E912" i="5"/>
  <c r="E913" i="5"/>
  <c r="E914" i="5"/>
  <c r="E915" i="5"/>
  <c r="E916" i="5"/>
  <c r="E917" i="5"/>
  <c r="E918" i="5"/>
  <c r="E919" i="5"/>
  <c r="E920" i="5"/>
  <c r="E921" i="5"/>
  <c r="E922" i="5"/>
  <c r="E923" i="5"/>
  <c r="E924" i="5"/>
  <c r="E925" i="5"/>
  <c r="E926" i="5"/>
  <c r="E927" i="5"/>
  <c r="E928" i="5"/>
  <c r="E929" i="5"/>
  <c r="E930" i="5"/>
  <c r="E931" i="5"/>
  <c r="E932" i="5"/>
  <c r="E933" i="5"/>
  <c r="E934" i="5"/>
  <c r="E935" i="5"/>
  <c r="E936" i="5"/>
  <c r="E937" i="5"/>
  <c r="E938" i="5"/>
  <c r="E939" i="5"/>
  <c r="E940" i="5"/>
  <c r="E941" i="5"/>
  <c r="E942" i="5"/>
  <c r="E943" i="5"/>
  <c r="E944" i="5"/>
  <c r="E945" i="5"/>
  <c r="E946" i="5"/>
  <c r="E947" i="5"/>
  <c r="E948" i="5"/>
  <c r="E949" i="5"/>
  <c r="E950" i="5"/>
  <c r="E951" i="5"/>
  <c r="E952" i="5"/>
  <c r="E953" i="5"/>
  <c r="E954" i="5"/>
  <c r="E955" i="5"/>
  <c r="E956" i="5"/>
  <c r="E957" i="5"/>
  <c r="E958" i="5"/>
  <c r="E959" i="5"/>
  <c r="E960" i="5"/>
  <c r="E961" i="5"/>
  <c r="E962" i="5"/>
  <c r="E963" i="5"/>
  <c r="E964" i="5"/>
  <c r="E965" i="5"/>
  <c r="E966" i="5"/>
  <c r="E967" i="5"/>
  <c r="E968" i="5"/>
  <c r="E969" i="5"/>
  <c r="E970" i="5"/>
  <c r="E971" i="5"/>
  <c r="E972" i="5"/>
  <c r="E973" i="5"/>
  <c r="E974" i="5"/>
  <c r="E975" i="5"/>
  <c r="E976" i="5"/>
  <c r="E977" i="5"/>
  <c r="E978" i="5"/>
  <c r="E979" i="5"/>
  <c r="E980" i="5"/>
  <c r="E981" i="5"/>
  <c r="E982" i="5"/>
  <c r="E983" i="5"/>
  <c r="E984" i="5"/>
  <c r="E985" i="5"/>
  <c r="E986" i="5"/>
  <c r="E987" i="5"/>
  <c r="E988" i="5"/>
  <c r="E989" i="5"/>
  <c r="E990" i="5"/>
  <c r="E991" i="5"/>
  <c r="E992" i="5"/>
  <c r="E993" i="5"/>
  <c r="E994" i="5"/>
  <c r="E995" i="5"/>
  <c r="E996" i="5"/>
  <c r="E997" i="5"/>
  <c r="E998" i="5"/>
  <c r="E999" i="5"/>
  <c r="E1000" i="5"/>
  <c r="E1001" i="5"/>
  <c r="E1002" i="5"/>
  <c r="E1003" i="5"/>
  <c r="E1004" i="5"/>
  <c r="E1005" i="5"/>
  <c r="E1006" i="5"/>
  <c r="E1007" i="5"/>
  <c r="E1008" i="5"/>
  <c r="E1009" i="5"/>
  <c r="E1010" i="5"/>
  <c r="E1011" i="5"/>
  <c r="E1012" i="5"/>
  <c r="E1013" i="5"/>
  <c r="E1014" i="5"/>
  <c r="E1015" i="5"/>
  <c r="E1016" i="5"/>
  <c r="E1017" i="5"/>
  <c r="E1018" i="5"/>
  <c r="E1019" i="5"/>
  <c r="E1020" i="5"/>
  <c r="E1021" i="5"/>
  <c r="D1021" i="5"/>
  <c r="D1020" i="5"/>
  <c r="D1019" i="5"/>
  <c r="D1018" i="5"/>
  <c r="D1017" i="5"/>
  <c r="D1016" i="5"/>
  <c r="D1015" i="5"/>
  <c r="D1014" i="5"/>
  <c r="D1013" i="5"/>
  <c r="D1012" i="5"/>
  <c r="D1011" i="5"/>
  <c r="D1010" i="5"/>
  <c r="D1009" i="5"/>
  <c r="D1008" i="5"/>
  <c r="D1007" i="5"/>
  <c r="D1006" i="5"/>
  <c r="D1005" i="5"/>
  <c r="D1004" i="5"/>
  <c r="D1003" i="5"/>
  <c r="D1002" i="5"/>
  <c r="D1001" i="5"/>
  <c r="D1000" i="5"/>
  <c r="D999" i="5"/>
  <c r="D998" i="5"/>
  <c r="D997" i="5"/>
  <c r="D996" i="5"/>
  <c r="D995" i="5"/>
  <c r="D994" i="5"/>
  <c r="D993" i="5"/>
  <c r="D992" i="5"/>
  <c r="D991" i="5"/>
  <c r="D990" i="5"/>
  <c r="D989" i="5"/>
  <c r="D988" i="5"/>
  <c r="D987" i="5"/>
  <c r="D986" i="5"/>
  <c r="D985" i="5"/>
  <c r="D984" i="5"/>
  <c r="D983" i="5"/>
  <c r="D982" i="5"/>
  <c r="D981" i="5"/>
  <c r="D980" i="5"/>
  <c r="D979" i="5"/>
  <c r="D978" i="5"/>
  <c r="D977" i="5"/>
  <c r="D976" i="5"/>
  <c r="D975" i="5"/>
  <c r="D974" i="5"/>
  <c r="D973" i="5"/>
  <c r="D972" i="5"/>
  <c r="D971" i="5"/>
  <c r="D970" i="5"/>
  <c r="D969" i="5"/>
  <c r="D968" i="5"/>
  <c r="D967" i="5"/>
  <c r="D966" i="5"/>
  <c r="D965" i="5"/>
  <c r="D964" i="5"/>
  <c r="D963" i="5"/>
  <c r="D962" i="5"/>
  <c r="D961" i="5"/>
  <c r="D960" i="5"/>
  <c r="D959" i="5"/>
  <c r="D958" i="5"/>
  <c r="D957" i="5"/>
  <c r="D956" i="5"/>
  <c r="D955" i="5"/>
  <c r="D954" i="5"/>
  <c r="D953" i="5"/>
  <c r="D952" i="5"/>
  <c r="D951" i="5"/>
  <c r="D950" i="5"/>
  <c r="D949" i="5"/>
  <c r="D948" i="5"/>
  <c r="D947" i="5"/>
  <c r="D946" i="5"/>
  <c r="D945" i="5"/>
  <c r="D944" i="5"/>
  <c r="D943" i="5"/>
  <c r="D942" i="5"/>
  <c r="D941" i="5"/>
  <c r="D940" i="5"/>
  <c r="D939" i="5"/>
  <c r="D938" i="5"/>
  <c r="D937" i="5"/>
  <c r="D936" i="5"/>
  <c r="D935" i="5"/>
  <c r="D934" i="5"/>
  <c r="D933" i="5"/>
  <c r="D932" i="5"/>
  <c r="D931" i="5"/>
  <c r="D930" i="5"/>
  <c r="D929" i="5"/>
  <c r="D928" i="5"/>
  <c r="D927" i="5"/>
  <c r="D926" i="5"/>
  <c r="D925" i="5"/>
  <c r="D924" i="5"/>
  <c r="D923" i="5"/>
  <c r="D922" i="5"/>
  <c r="D921" i="5"/>
  <c r="D920" i="5"/>
  <c r="D919" i="5"/>
  <c r="D918" i="5"/>
  <c r="D917" i="5"/>
  <c r="D916" i="5"/>
  <c r="D915" i="5"/>
  <c r="D914" i="5"/>
  <c r="D913" i="5"/>
  <c r="D912" i="5"/>
  <c r="D911" i="5"/>
  <c r="D910" i="5"/>
  <c r="D909" i="5"/>
  <c r="D908" i="5"/>
  <c r="D907" i="5"/>
  <c r="D906" i="5"/>
  <c r="D905" i="5"/>
  <c r="D904" i="5"/>
  <c r="D903" i="5"/>
  <c r="D902" i="5"/>
  <c r="D901" i="5"/>
  <c r="D900" i="5"/>
  <c r="D899" i="5"/>
  <c r="D898" i="5"/>
  <c r="D897" i="5"/>
  <c r="D896" i="5"/>
  <c r="D895" i="5"/>
  <c r="D894" i="5"/>
  <c r="D893" i="5"/>
  <c r="D892" i="5"/>
  <c r="D891" i="5"/>
  <c r="D890" i="5"/>
  <c r="D889" i="5"/>
  <c r="D888" i="5"/>
  <c r="D887" i="5"/>
  <c r="D886" i="5"/>
  <c r="D885" i="5"/>
  <c r="D884" i="5"/>
  <c r="D883" i="5"/>
  <c r="D882" i="5"/>
  <c r="D881" i="5"/>
  <c r="D880" i="5"/>
  <c r="D879" i="5"/>
  <c r="D878" i="5"/>
  <c r="D877" i="5"/>
  <c r="D876" i="5"/>
  <c r="D875" i="5"/>
  <c r="D874" i="5"/>
  <c r="D873" i="5"/>
  <c r="D872" i="5"/>
  <c r="D871" i="5"/>
  <c r="D870" i="5"/>
  <c r="D869" i="5"/>
  <c r="D868" i="5"/>
  <c r="D867" i="5"/>
  <c r="D866" i="5"/>
  <c r="D865" i="5"/>
  <c r="D864" i="5"/>
  <c r="D863" i="5"/>
  <c r="D862" i="5"/>
  <c r="D861" i="5"/>
  <c r="D860" i="5"/>
  <c r="D859" i="5"/>
  <c r="D858" i="5"/>
  <c r="D857" i="5"/>
  <c r="D856" i="5"/>
  <c r="D855" i="5"/>
  <c r="D854" i="5"/>
  <c r="D853" i="5"/>
  <c r="D852" i="5"/>
  <c r="D851" i="5"/>
  <c r="D850" i="5"/>
  <c r="D849" i="5"/>
  <c r="D848" i="5"/>
  <c r="D847" i="5"/>
  <c r="D846" i="5"/>
  <c r="D845" i="5"/>
  <c r="D844" i="5"/>
  <c r="D843" i="5"/>
  <c r="D842" i="5"/>
  <c r="D841" i="5"/>
  <c r="D840" i="5"/>
  <c r="D839" i="5"/>
  <c r="D838" i="5"/>
  <c r="D837" i="5"/>
  <c r="D836" i="5"/>
  <c r="D835" i="5"/>
  <c r="D834" i="5"/>
  <c r="D833" i="5"/>
  <c r="D832" i="5"/>
  <c r="D831" i="5"/>
  <c r="D830" i="5"/>
  <c r="D829" i="5"/>
  <c r="D828" i="5"/>
  <c r="D827" i="5"/>
  <c r="D826" i="5"/>
  <c r="D825" i="5"/>
  <c r="D824" i="5"/>
  <c r="D823" i="5"/>
  <c r="D822" i="5"/>
  <c r="D821" i="5"/>
  <c r="D820" i="5"/>
  <c r="D819" i="5"/>
  <c r="D818" i="5"/>
  <c r="D817" i="5"/>
  <c r="D816" i="5"/>
  <c r="D815" i="5"/>
  <c r="D814" i="5"/>
  <c r="D813" i="5"/>
  <c r="D812" i="5"/>
  <c r="D811" i="5"/>
  <c r="D810" i="5"/>
  <c r="D809" i="5"/>
  <c r="D808" i="5"/>
  <c r="D807" i="5"/>
  <c r="D806" i="5"/>
  <c r="D805" i="5"/>
  <c r="D804" i="5"/>
  <c r="D803" i="5"/>
  <c r="D802" i="5"/>
  <c r="D801" i="5"/>
  <c r="D800" i="5"/>
  <c r="D799" i="5"/>
  <c r="D798" i="5"/>
  <c r="D797" i="5"/>
  <c r="D796" i="5"/>
  <c r="D795" i="5"/>
  <c r="D794" i="5"/>
  <c r="D793" i="5"/>
  <c r="D792" i="5"/>
  <c r="D791" i="5"/>
  <c r="D790" i="5"/>
  <c r="D789" i="5"/>
  <c r="D788" i="5"/>
  <c r="D787" i="5"/>
  <c r="D786" i="5"/>
  <c r="D785" i="5"/>
  <c r="D784" i="5"/>
  <c r="D783" i="5"/>
  <c r="D782" i="5"/>
  <c r="D781" i="5"/>
  <c r="D780" i="5"/>
  <c r="D779" i="5"/>
  <c r="D778" i="5"/>
  <c r="D777" i="5"/>
  <c r="D776" i="5"/>
  <c r="D775" i="5"/>
  <c r="D774" i="5"/>
  <c r="D773" i="5"/>
  <c r="D772" i="5"/>
  <c r="D771" i="5"/>
  <c r="D770" i="5"/>
  <c r="D769" i="5"/>
  <c r="D768" i="5"/>
  <c r="D767" i="5"/>
  <c r="D766" i="5"/>
  <c r="D765" i="5"/>
  <c r="D764" i="5"/>
  <c r="D763" i="5"/>
  <c r="D762" i="5"/>
  <c r="D761" i="5"/>
  <c r="D760" i="5"/>
  <c r="D759" i="5"/>
  <c r="D758" i="5"/>
  <c r="D757" i="5"/>
  <c r="D756" i="5"/>
  <c r="D755" i="5"/>
  <c r="D754" i="5"/>
  <c r="D753" i="5"/>
  <c r="D752" i="5"/>
  <c r="D751" i="5"/>
  <c r="D750" i="5"/>
  <c r="D749" i="5"/>
  <c r="D748" i="5"/>
  <c r="D747" i="5"/>
  <c r="D746" i="5"/>
  <c r="D745" i="5"/>
  <c r="D744" i="5"/>
  <c r="D743" i="5"/>
  <c r="D742" i="5"/>
  <c r="D741" i="5"/>
  <c r="D740" i="5"/>
  <c r="D739" i="5"/>
  <c r="D738" i="5"/>
  <c r="D737" i="5"/>
  <c r="D736" i="5"/>
  <c r="D735" i="5"/>
  <c r="D734" i="5"/>
  <c r="D733" i="5"/>
  <c r="D732" i="5"/>
  <c r="D731" i="5"/>
  <c r="D730" i="5"/>
  <c r="D729" i="5"/>
  <c r="D728" i="5"/>
  <c r="D727" i="5"/>
  <c r="D726" i="5"/>
  <c r="D725" i="5"/>
  <c r="D724" i="5"/>
  <c r="D723" i="5"/>
  <c r="D722" i="5"/>
  <c r="D721" i="5"/>
  <c r="D720" i="5"/>
  <c r="D719" i="5"/>
  <c r="D718" i="5"/>
  <c r="D717" i="5"/>
  <c r="D716" i="5"/>
  <c r="D715" i="5"/>
  <c r="D714" i="5"/>
  <c r="D713" i="5"/>
  <c r="D712" i="5"/>
  <c r="D711" i="5"/>
  <c r="D710" i="5"/>
  <c r="D709" i="5"/>
  <c r="D708" i="5"/>
  <c r="D707" i="5"/>
  <c r="D706" i="5"/>
  <c r="D705" i="5"/>
  <c r="D704" i="5"/>
  <c r="D703" i="5"/>
  <c r="D702" i="5"/>
  <c r="D701" i="5"/>
  <c r="D700" i="5"/>
  <c r="D699" i="5"/>
  <c r="D698" i="5"/>
  <c r="D697" i="5"/>
  <c r="D696" i="5"/>
  <c r="D695" i="5"/>
  <c r="D694" i="5"/>
  <c r="D693" i="5"/>
  <c r="D692" i="5"/>
  <c r="D691" i="5"/>
  <c r="D690" i="5"/>
  <c r="D689" i="5"/>
  <c r="D688" i="5"/>
  <c r="D687" i="5"/>
  <c r="D686" i="5"/>
  <c r="D685" i="5"/>
  <c r="D684" i="5"/>
  <c r="D683" i="5"/>
  <c r="D682" i="5"/>
  <c r="D681" i="5"/>
  <c r="D680" i="5"/>
  <c r="D679" i="5"/>
  <c r="D678" i="5"/>
  <c r="D677" i="5"/>
  <c r="D676" i="5"/>
  <c r="D675" i="5"/>
  <c r="D674" i="5"/>
  <c r="D673" i="5"/>
  <c r="D672" i="5"/>
  <c r="D671" i="5"/>
  <c r="D670" i="5"/>
  <c r="D669" i="5"/>
  <c r="D668" i="5"/>
  <c r="D667" i="5"/>
  <c r="D666" i="5"/>
  <c r="D665" i="5"/>
  <c r="D664" i="5"/>
  <c r="D663" i="5"/>
  <c r="D662" i="5"/>
  <c r="D661" i="5"/>
  <c r="D660" i="5"/>
  <c r="D659" i="5"/>
  <c r="D658" i="5"/>
  <c r="D657" i="5"/>
  <c r="D656" i="5"/>
  <c r="D655" i="5"/>
  <c r="D654" i="5"/>
  <c r="D653" i="5"/>
  <c r="D652" i="5"/>
  <c r="D651" i="5"/>
  <c r="D650" i="5"/>
  <c r="D649" i="5"/>
  <c r="D648" i="5"/>
  <c r="D647" i="5"/>
  <c r="D646" i="5"/>
  <c r="D645" i="5"/>
  <c r="D644" i="5"/>
  <c r="D643" i="5"/>
  <c r="D642" i="5"/>
  <c r="D641" i="5"/>
  <c r="D640" i="5"/>
  <c r="D639" i="5"/>
  <c r="D638" i="5"/>
  <c r="D637" i="5"/>
  <c r="D636" i="5"/>
  <c r="D635" i="5"/>
  <c r="D634" i="5"/>
  <c r="D633" i="5"/>
  <c r="D632" i="5"/>
  <c r="D631" i="5"/>
  <c r="D630" i="5"/>
  <c r="D629" i="5"/>
  <c r="D628" i="5"/>
  <c r="D627" i="5"/>
  <c r="D626" i="5"/>
  <c r="D625" i="5"/>
  <c r="D624" i="5"/>
  <c r="D623" i="5"/>
  <c r="D622" i="5"/>
  <c r="D621" i="5"/>
  <c r="D620" i="5"/>
  <c r="D619" i="5"/>
  <c r="D618" i="5"/>
  <c r="D617" i="5"/>
  <c r="D616" i="5"/>
  <c r="D615" i="5"/>
  <c r="D614" i="5"/>
  <c r="D613" i="5"/>
  <c r="D612" i="5"/>
  <c r="D611" i="5"/>
  <c r="D610" i="5"/>
  <c r="D609" i="5"/>
  <c r="D608" i="5"/>
  <c r="D607" i="5"/>
  <c r="D606" i="5"/>
  <c r="D605" i="5"/>
  <c r="D604" i="5"/>
  <c r="D603" i="5"/>
  <c r="D602" i="5"/>
  <c r="D601" i="5"/>
  <c r="D600" i="5"/>
  <c r="D599" i="5"/>
  <c r="D598" i="5"/>
  <c r="D597" i="5"/>
  <c r="D596" i="5"/>
  <c r="D595" i="5"/>
  <c r="D594" i="5"/>
  <c r="D593" i="5"/>
  <c r="D592" i="5"/>
  <c r="D591" i="5"/>
  <c r="D590" i="5"/>
  <c r="D589" i="5"/>
  <c r="D588" i="5"/>
  <c r="D587" i="5"/>
  <c r="D586" i="5"/>
  <c r="D585" i="5"/>
  <c r="D584" i="5"/>
  <c r="D583" i="5"/>
  <c r="D582" i="5"/>
  <c r="D581" i="5"/>
  <c r="D580" i="5"/>
  <c r="D579" i="5"/>
  <c r="D578" i="5"/>
  <c r="D577" i="5"/>
  <c r="D576" i="5"/>
  <c r="D575" i="5"/>
  <c r="D574" i="5"/>
  <c r="D573" i="5"/>
  <c r="D572" i="5"/>
  <c r="D571" i="5"/>
  <c r="D570" i="5"/>
  <c r="D569" i="5"/>
  <c r="D568" i="5"/>
  <c r="D567" i="5"/>
  <c r="D566" i="5"/>
  <c r="D565" i="5"/>
  <c r="D564" i="5"/>
  <c r="D563" i="5"/>
  <c r="D562" i="5"/>
  <c r="D561" i="5"/>
  <c r="D560" i="5"/>
  <c r="D559" i="5"/>
  <c r="D558" i="5"/>
  <c r="D557" i="5"/>
  <c r="D556" i="5"/>
  <c r="D555" i="5"/>
  <c r="D554" i="5"/>
  <c r="D553" i="5"/>
  <c r="D552" i="5"/>
  <c r="D551" i="5"/>
  <c r="D550" i="5"/>
  <c r="D549" i="5"/>
  <c r="D548" i="5"/>
  <c r="D547" i="5"/>
  <c r="D546" i="5"/>
  <c r="D545" i="5"/>
  <c r="D544" i="5"/>
  <c r="D543" i="5"/>
  <c r="D542" i="5"/>
  <c r="D541" i="5"/>
  <c r="D540" i="5"/>
  <c r="D539" i="5"/>
  <c r="D538" i="5"/>
  <c r="D537" i="5"/>
  <c r="D536" i="5"/>
  <c r="D535" i="5"/>
  <c r="D534" i="5"/>
  <c r="D533" i="5"/>
  <c r="D532" i="5"/>
  <c r="D531" i="5"/>
  <c r="D530" i="5"/>
  <c r="D529" i="5"/>
  <c r="D528" i="5"/>
  <c r="D527" i="5"/>
  <c r="D526" i="5"/>
  <c r="D525" i="5"/>
  <c r="D524" i="5"/>
  <c r="D523" i="5"/>
  <c r="D522" i="5"/>
  <c r="D521" i="5"/>
  <c r="D520" i="5"/>
  <c r="D519" i="5"/>
  <c r="D518" i="5"/>
  <c r="D517" i="5"/>
  <c r="D516" i="5"/>
  <c r="D515" i="5"/>
  <c r="D514" i="5"/>
  <c r="D513" i="5"/>
  <c r="D512" i="5"/>
  <c r="D511" i="5"/>
  <c r="D510" i="5"/>
  <c r="D509" i="5"/>
  <c r="D508" i="5"/>
  <c r="D507" i="5"/>
  <c r="D506" i="5"/>
  <c r="D505" i="5"/>
  <c r="D504" i="5"/>
  <c r="D503" i="5"/>
  <c r="D502" i="5"/>
  <c r="D501" i="5"/>
  <c r="D500" i="5"/>
  <c r="D499" i="5"/>
  <c r="D498" i="5"/>
  <c r="D497" i="5"/>
  <c r="D496" i="5"/>
  <c r="D495" i="5"/>
  <c r="D494" i="5"/>
  <c r="D493" i="5"/>
  <c r="D492" i="5"/>
  <c r="D491" i="5"/>
  <c r="D490" i="5"/>
  <c r="D489" i="5"/>
  <c r="D488" i="5"/>
  <c r="D487" i="5"/>
  <c r="D486" i="5"/>
  <c r="D485" i="5"/>
  <c r="D484" i="5"/>
  <c r="D483" i="5"/>
  <c r="D482" i="5"/>
  <c r="D481" i="5"/>
  <c r="D480" i="5"/>
  <c r="D479" i="5"/>
  <c r="D478" i="5"/>
  <c r="D477" i="5"/>
  <c r="D476" i="5"/>
  <c r="D475" i="5"/>
  <c r="D474" i="5"/>
  <c r="D473" i="5"/>
  <c r="D472" i="5"/>
  <c r="D471" i="5"/>
  <c r="D470" i="5"/>
  <c r="D469" i="5"/>
  <c r="D468" i="5"/>
  <c r="D467" i="5"/>
  <c r="D466" i="5"/>
  <c r="D465" i="5"/>
  <c r="D464" i="5"/>
  <c r="D463" i="5"/>
  <c r="D462" i="5"/>
  <c r="D461" i="5"/>
  <c r="D460" i="5"/>
  <c r="D459" i="5"/>
  <c r="D458" i="5"/>
  <c r="D457" i="5"/>
  <c r="D456" i="5"/>
  <c r="D455" i="5"/>
  <c r="D454" i="5"/>
  <c r="D453" i="5"/>
  <c r="D452" i="5"/>
  <c r="D451" i="5"/>
  <c r="D450" i="5"/>
  <c r="D449" i="5"/>
  <c r="D448" i="5"/>
  <c r="D447" i="5"/>
  <c r="D446" i="5"/>
  <c r="D445" i="5"/>
  <c r="D444" i="5"/>
  <c r="D443" i="5"/>
  <c r="D442" i="5"/>
  <c r="D441" i="5"/>
  <c r="D440" i="5"/>
  <c r="D439" i="5"/>
  <c r="D438" i="5"/>
  <c r="D437" i="5"/>
  <c r="D436" i="5"/>
  <c r="D435" i="5"/>
  <c r="D434" i="5"/>
  <c r="D433" i="5"/>
  <c r="D432" i="5"/>
  <c r="D431" i="5"/>
  <c r="D430" i="5"/>
  <c r="D429" i="5"/>
  <c r="D428" i="5"/>
  <c r="D427" i="5"/>
  <c r="D426" i="5"/>
  <c r="D425" i="5"/>
  <c r="D424" i="5"/>
  <c r="D423" i="5"/>
  <c r="D422" i="5"/>
  <c r="D421" i="5"/>
  <c r="D420" i="5"/>
  <c r="D419" i="5"/>
  <c r="D418" i="5"/>
  <c r="D417" i="5"/>
  <c r="D416" i="5"/>
  <c r="D415" i="5"/>
  <c r="D414" i="5"/>
  <c r="D413" i="5"/>
  <c r="D412" i="5"/>
  <c r="D411" i="5"/>
  <c r="D410" i="5"/>
  <c r="D409" i="5"/>
  <c r="D408" i="5"/>
  <c r="D407" i="5"/>
  <c r="D406" i="5"/>
  <c r="D405" i="5"/>
  <c r="D404" i="5"/>
  <c r="D403" i="5"/>
  <c r="D402" i="5"/>
  <c r="D401" i="5"/>
  <c r="D400" i="5"/>
  <c r="D399" i="5"/>
  <c r="D398" i="5"/>
  <c r="D397" i="5"/>
  <c r="D396" i="5"/>
  <c r="D395" i="5"/>
  <c r="D394" i="5"/>
  <c r="D393" i="5"/>
  <c r="D392" i="5"/>
  <c r="D391" i="5"/>
  <c r="D390" i="5"/>
  <c r="D389" i="5"/>
  <c r="D388" i="5"/>
  <c r="D387" i="5"/>
  <c r="D386" i="5"/>
  <c r="D385" i="5"/>
  <c r="D384" i="5"/>
  <c r="D383" i="5"/>
  <c r="D382" i="5"/>
  <c r="D381" i="5"/>
  <c r="D380" i="5"/>
  <c r="D379" i="5"/>
  <c r="D378" i="5"/>
  <c r="D377" i="5"/>
  <c r="D376" i="5"/>
  <c r="D375" i="5"/>
  <c r="D374" i="5"/>
  <c r="D373" i="5"/>
  <c r="D372" i="5"/>
  <c r="D371" i="5"/>
  <c r="D370" i="5"/>
  <c r="D369" i="5"/>
  <c r="D368" i="5"/>
  <c r="D367" i="5"/>
  <c r="D366" i="5"/>
  <c r="D365" i="5"/>
  <c r="D364" i="5"/>
  <c r="D363" i="5"/>
  <c r="D362" i="5"/>
  <c r="D361" i="5"/>
  <c r="D360" i="5"/>
  <c r="D359" i="5"/>
  <c r="D358" i="5"/>
  <c r="D357" i="5"/>
  <c r="D356" i="5"/>
  <c r="D355" i="5"/>
  <c r="D354" i="5"/>
  <c r="D353" i="5"/>
  <c r="D352" i="5"/>
  <c r="D351" i="5"/>
  <c r="D350" i="5"/>
  <c r="D349" i="5"/>
  <c r="D348" i="5"/>
  <c r="D347" i="5"/>
  <c r="D346" i="5"/>
  <c r="D345" i="5"/>
  <c r="D344" i="5"/>
  <c r="D343" i="5"/>
  <c r="D342" i="5"/>
  <c r="D341" i="5"/>
  <c r="D340" i="5"/>
  <c r="D339" i="5"/>
  <c r="D338" i="5"/>
  <c r="D337" i="5"/>
  <c r="D336" i="5"/>
  <c r="D335" i="5"/>
  <c r="D334" i="5"/>
  <c r="D333" i="5"/>
  <c r="D332" i="5"/>
  <c r="D331" i="5"/>
  <c r="D330" i="5"/>
  <c r="D329" i="5"/>
  <c r="D328" i="5"/>
  <c r="D327" i="5"/>
  <c r="D326" i="5"/>
  <c r="D325" i="5"/>
  <c r="D324" i="5"/>
  <c r="D323" i="5"/>
  <c r="D322" i="5"/>
  <c r="D321" i="5"/>
  <c r="D320" i="5"/>
  <c r="D319" i="5"/>
  <c r="D318" i="5"/>
  <c r="D317" i="5"/>
  <c r="D316" i="5"/>
  <c r="D315" i="5"/>
  <c r="D314" i="5"/>
  <c r="D313" i="5"/>
  <c r="D312" i="5"/>
  <c r="D311" i="5"/>
  <c r="D310" i="5"/>
  <c r="D309" i="5"/>
  <c r="D308" i="5"/>
  <c r="D307" i="5"/>
  <c r="D306" i="5"/>
  <c r="D305" i="5"/>
  <c r="D304" i="5"/>
  <c r="D303" i="5"/>
  <c r="D302" i="5"/>
  <c r="D301" i="5"/>
  <c r="D300" i="5"/>
  <c r="D299" i="5"/>
  <c r="D298" i="5"/>
  <c r="D297" i="5"/>
  <c r="D296" i="5"/>
  <c r="D295" i="5"/>
  <c r="D294" i="5"/>
  <c r="D293" i="5"/>
  <c r="D292" i="5"/>
  <c r="D291" i="5"/>
  <c r="D290" i="5"/>
  <c r="D289" i="5"/>
  <c r="D288" i="5"/>
  <c r="D287" i="5"/>
  <c r="D286" i="5"/>
  <c r="D285" i="5"/>
  <c r="D284" i="5"/>
  <c r="D283" i="5"/>
  <c r="D282" i="5"/>
  <c r="D281" i="5"/>
  <c r="D280" i="5"/>
  <c r="D279" i="5"/>
  <c r="D278" i="5"/>
  <c r="D277" i="5"/>
  <c r="D276" i="5"/>
  <c r="D275" i="5"/>
  <c r="D274" i="5"/>
  <c r="D273" i="5"/>
  <c r="D272" i="5"/>
  <c r="D271" i="5"/>
  <c r="D270" i="5"/>
  <c r="D269" i="5"/>
  <c r="D268" i="5"/>
  <c r="D267" i="5"/>
  <c r="D266" i="5"/>
  <c r="D265" i="5"/>
  <c r="D264" i="5"/>
  <c r="D263" i="5"/>
  <c r="D262" i="5"/>
  <c r="D261" i="5"/>
  <c r="D260" i="5"/>
  <c r="D259" i="5"/>
  <c r="D258" i="5"/>
  <c r="D257" i="5"/>
  <c r="D256" i="5"/>
  <c r="D255" i="5"/>
  <c r="D254" i="5"/>
  <c r="D253" i="5"/>
  <c r="D252" i="5"/>
  <c r="D251" i="5"/>
  <c r="D250" i="5"/>
  <c r="D249" i="5"/>
  <c r="D248" i="5"/>
  <c r="D247" i="5"/>
  <c r="D246" i="5"/>
  <c r="D245" i="5"/>
  <c r="D244" i="5"/>
  <c r="D243" i="5"/>
  <c r="D242" i="5"/>
  <c r="D241" i="5"/>
  <c r="D240" i="5"/>
  <c r="D239" i="5"/>
  <c r="D238" i="5"/>
  <c r="D237" i="5"/>
  <c r="D236" i="5"/>
  <c r="D235" i="5"/>
  <c r="D234" i="5"/>
  <c r="D233" i="5"/>
  <c r="D232" i="5"/>
  <c r="D231" i="5"/>
  <c r="D230" i="5"/>
  <c r="D229" i="5"/>
  <c r="D228" i="5"/>
  <c r="D227" i="5"/>
  <c r="D226" i="5"/>
  <c r="D225" i="5"/>
  <c r="D224" i="5"/>
  <c r="D223" i="5"/>
  <c r="D222" i="5"/>
  <c r="D221" i="5"/>
  <c r="D220" i="5"/>
  <c r="D219" i="5"/>
  <c r="D218" i="5"/>
  <c r="D217" i="5"/>
  <c r="D216" i="5"/>
  <c r="D215" i="5"/>
  <c r="D214" i="5"/>
  <c r="D213" i="5"/>
  <c r="D212" i="5"/>
  <c r="D211" i="5"/>
  <c r="D210" i="5"/>
  <c r="D209" i="5"/>
  <c r="D208" i="5"/>
  <c r="D207" i="5"/>
  <c r="D206" i="5"/>
  <c r="D205" i="5"/>
  <c r="D204" i="5"/>
  <c r="D203" i="5"/>
  <c r="D202" i="5"/>
  <c r="D201" i="5"/>
  <c r="D200" i="5"/>
  <c r="D199" i="5"/>
  <c r="D198" i="5"/>
  <c r="D197" i="5"/>
  <c r="D196" i="5"/>
  <c r="D195" i="5"/>
  <c r="D194" i="5"/>
  <c r="D193" i="5"/>
  <c r="D192" i="5"/>
  <c r="D191" i="5"/>
  <c r="D190" i="5"/>
  <c r="D189" i="5"/>
  <c r="D188" i="5"/>
  <c r="D187" i="5"/>
  <c r="D186" i="5"/>
  <c r="D185" i="5"/>
  <c r="D184" i="5"/>
  <c r="D183" i="5"/>
  <c r="D182" i="5"/>
  <c r="D181" i="5"/>
  <c r="D180" i="5"/>
  <c r="D179" i="5"/>
  <c r="D178" i="5"/>
  <c r="D177" i="5"/>
  <c r="D176" i="5"/>
  <c r="D175" i="5"/>
  <c r="D174" i="5"/>
  <c r="D173" i="5"/>
  <c r="D172" i="5"/>
  <c r="D171" i="5"/>
  <c r="D170" i="5"/>
  <c r="D169" i="5"/>
  <c r="D168" i="5"/>
  <c r="D167" i="5"/>
  <c r="D166" i="5"/>
  <c r="D165" i="5"/>
  <c r="D164" i="5"/>
  <c r="D163" i="5"/>
  <c r="D162" i="5"/>
  <c r="D161" i="5"/>
  <c r="D160" i="5"/>
  <c r="D159" i="5"/>
  <c r="D158" i="5"/>
  <c r="D157" i="5"/>
  <c r="D156" i="5"/>
  <c r="D155" i="5"/>
  <c r="D154" i="5"/>
  <c r="D153" i="5"/>
  <c r="D152" i="5"/>
  <c r="D151" i="5"/>
  <c r="D150" i="5"/>
  <c r="D149" i="5"/>
  <c r="D148" i="5"/>
  <c r="D147" i="5"/>
  <c r="D146" i="5"/>
  <c r="D145" i="5"/>
  <c r="D144" i="5"/>
  <c r="D143" i="5"/>
  <c r="D142" i="5"/>
  <c r="D141" i="5"/>
  <c r="D140" i="5"/>
  <c r="D139" i="5"/>
  <c r="D138" i="5"/>
  <c r="D137" i="5"/>
  <c r="D136" i="5"/>
  <c r="D135" i="5"/>
  <c r="D134" i="5"/>
  <c r="D133" i="5"/>
  <c r="D132" i="5"/>
  <c r="D131" i="5"/>
  <c r="D130" i="5"/>
  <c r="D129" i="5"/>
  <c r="D128" i="5"/>
  <c r="D127" i="5"/>
  <c r="D126" i="5"/>
  <c r="D125" i="5"/>
  <c r="D124" i="5"/>
  <c r="D123" i="5"/>
  <c r="D122" i="5"/>
  <c r="D121" i="5"/>
  <c r="D120" i="5"/>
  <c r="D119" i="5"/>
  <c r="D118" i="5"/>
  <c r="D117" i="5"/>
  <c r="D116" i="5"/>
  <c r="D115" i="5"/>
  <c r="D114" i="5"/>
  <c r="D113" i="5"/>
  <c r="D112" i="5"/>
  <c r="D111" i="5"/>
  <c r="D110" i="5"/>
  <c r="D109" i="5"/>
  <c r="D108" i="5"/>
  <c r="D107" i="5"/>
  <c r="D106" i="5"/>
  <c r="D105" i="5"/>
  <c r="D104" i="5"/>
  <c r="D103" i="5"/>
  <c r="D102" i="5"/>
  <c r="D101" i="5"/>
  <c r="D100" i="5"/>
  <c r="D99" i="5"/>
  <c r="D98" i="5"/>
  <c r="D97" i="5"/>
  <c r="D96" i="5"/>
  <c r="D95" i="5"/>
  <c r="D94" i="5"/>
  <c r="D93" i="5"/>
  <c r="D92" i="5"/>
  <c r="D91" i="5"/>
  <c r="D90" i="5"/>
  <c r="D89" i="5"/>
  <c r="D88" i="5"/>
  <c r="D87" i="5"/>
  <c r="D86" i="5"/>
  <c r="D85" i="5"/>
  <c r="D84" i="5"/>
  <c r="D83" i="5"/>
  <c r="D82" i="5"/>
  <c r="D81" i="5"/>
  <c r="D80" i="5"/>
  <c r="D79" i="5"/>
  <c r="D78" i="5"/>
  <c r="D77" i="5"/>
  <c r="D76" i="5"/>
  <c r="D75" i="5"/>
  <c r="D74" i="5"/>
  <c r="D73" i="5"/>
  <c r="D72" i="5"/>
  <c r="D71" i="5"/>
  <c r="D70" i="5"/>
  <c r="D69" i="5"/>
  <c r="D68" i="5"/>
  <c r="D67" i="5"/>
  <c r="D66" i="5"/>
  <c r="D65" i="5"/>
  <c r="D64" i="5"/>
  <c r="D63" i="5"/>
  <c r="D62" i="5"/>
  <c r="D61" i="5"/>
  <c r="D60" i="5"/>
  <c r="D59" i="5"/>
  <c r="D58" i="5"/>
  <c r="D57" i="5"/>
  <c r="D56" i="5"/>
  <c r="D55" i="5"/>
  <c r="D54" i="5"/>
  <c r="D53" i="5"/>
  <c r="D52" i="5"/>
  <c r="D51" i="5"/>
  <c r="D50" i="5"/>
  <c r="D49" i="5"/>
  <c r="D48" i="5"/>
  <c r="D47" i="5"/>
  <c r="D46" i="5"/>
  <c r="D45" i="5"/>
  <c r="D44" i="5"/>
  <c r="D43" i="5"/>
  <c r="D42" i="5"/>
  <c r="D41" i="5"/>
  <c r="D40" i="5"/>
  <c r="D39" i="5"/>
  <c r="D38" i="5"/>
  <c r="D37" i="5"/>
  <c r="D36" i="5"/>
  <c r="D35" i="5"/>
  <c r="D34" i="5"/>
  <c r="D33" i="5"/>
  <c r="D32" i="5"/>
  <c r="D31" i="5"/>
  <c r="D30" i="5"/>
  <c r="D29" i="5"/>
  <c r="D28" i="5"/>
  <c r="D27" i="5"/>
  <c r="D26" i="5"/>
  <c r="D25" i="5"/>
  <c r="D24" i="5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D8" i="5"/>
  <c r="D7" i="5"/>
  <c r="D6" i="5"/>
  <c r="D5" i="5"/>
  <c r="D4" i="5"/>
  <c r="D3" i="5"/>
  <c r="D2" i="5"/>
  <c r="C1021" i="5"/>
  <c r="C1020" i="5"/>
  <c r="C1019" i="5"/>
  <c r="C1018" i="5"/>
  <c r="C1017" i="5"/>
  <c r="C1016" i="5"/>
  <c r="C1015" i="5"/>
  <c r="C1014" i="5"/>
  <c r="C1013" i="5"/>
  <c r="C1012" i="5"/>
  <c r="C1011" i="5"/>
  <c r="C1010" i="5"/>
  <c r="C1009" i="5"/>
  <c r="C1008" i="5"/>
  <c r="C1007" i="5"/>
  <c r="C1006" i="5"/>
  <c r="C1005" i="5"/>
  <c r="C1004" i="5"/>
  <c r="C1003" i="5"/>
  <c r="C1002" i="5"/>
  <c r="C1001" i="5"/>
  <c r="C1000" i="5"/>
  <c r="C999" i="5"/>
  <c r="C998" i="5"/>
  <c r="C997" i="5"/>
  <c r="C996" i="5"/>
  <c r="C995" i="5"/>
  <c r="C994" i="5"/>
  <c r="C993" i="5"/>
  <c r="C992" i="5"/>
  <c r="C991" i="5"/>
  <c r="C990" i="5"/>
  <c r="C989" i="5"/>
  <c r="C988" i="5"/>
  <c r="C987" i="5"/>
  <c r="C986" i="5"/>
  <c r="C985" i="5"/>
  <c r="C984" i="5"/>
  <c r="C983" i="5"/>
  <c r="C982" i="5"/>
  <c r="C981" i="5"/>
  <c r="C980" i="5"/>
  <c r="C979" i="5"/>
  <c r="C978" i="5"/>
  <c r="C977" i="5"/>
  <c r="C976" i="5"/>
  <c r="C975" i="5"/>
  <c r="C974" i="5"/>
  <c r="C973" i="5"/>
  <c r="C972" i="5"/>
  <c r="C971" i="5"/>
  <c r="C970" i="5"/>
  <c r="C969" i="5"/>
  <c r="C968" i="5"/>
  <c r="C967" i="5"/>
  <c r="C966" i="5"/>
  <c r="C965" i="5"/>
  <c r="C964" i="5"/>
  <c r="C963" i="5"/>
  <c r="C962" i="5"/>
  <c r="C961" i="5"/>
  <c r="C960" i="5"/>
  <c r="C959" i="5"/>
  <c r="C958" i="5"/>
  <c r="C957" i="5"/>
  <c r="C956" i="5"/>
  <c r="C955" i="5"/>
  <c r="C954" i="5"/>
  <c r="C953" i="5"/>
  <c r="C952" i="5"/>
  <c r="C951" i="5"/>
  <c r="C950" i="5"/>
  <c r="C949" i="5"/>
  <c r="C948" i="5"/>
  <c r="C947" i="5"/>
  <c r="C946" i="5"/>
  <c r="C945" i="5"/>
  <c r="C944" i="5"/>
  <c r="C943" i="5"/>
  <c r="C942" i="5"/>
  <c r="C941" i="5"/>
  <c r="C940" i="5"/>
  <c r="C939" i="5"/>
  <c r="C938" i="5"/>
  <c r="C937" i="5"/>
  <c r="C936" i="5"/>
  <c r="C935" i="5"/>
  <c r="C934" i="5"/>
  <c r="C933" i="5"/>
  <c r="C932" i="5"/>
  <c r="C931" i="5"/>
  <c r="C930" i="5"/>
  <c r="C929" i="5"/>
  <c r="C928" i="5"/>
  <c r="C927" i="5"/>
  <c r="C926" i="5"/>
  <c r="C925" i="5"/>
  <c r="C924" i="5"/>
  <c r="C923" i="5"/>
  <c r="C922" i="5"/>
  <c r="C921" i="5"/>
  <c r="C920" i="5"/>
  <c r="C919" i="5"/>
  <c r="C918" i="5"/>
  <c r="C917" i="5"/>
  <c r="C916" i="5"/>
  <c r="C915" i="5"/>
  <c r="C914" i="5"/>
  <c r="C913" i="5"/>
  <c r="C912" i="5"/>
  <c r="C911" i="5"/>
  <c r="C910" i="5"/>
  <c r="C909" i="5"/>
  <c r="C908" i="5"/>
  <c r="C907" i="5"/>
  <c r="C906" i="5"/>
  <c r="C905" i="5"/>
  <c r="C904" i="5"/>
  <c r="C903" i="5"/>
  <c r="C902" i="5"/>
  <c r="C901" i="5"/>
  <c r="C900" i="5"/>
  <c r="C899" i="5"/>
  <c r="C898" i="5"/>
  <c r="C897" i="5"/>
  <c r="C896" i="5"/>
  <c r="C895" i="5"/>
  <c r="C894" i="5"/>
  <c r="C893" i="5"/>
  <c r="C892" i="5"/>
  <c r="C891" i="5"/>
  <c r="C890" i="5"/>
  <c r="C889" i="5"/>
  <c r="C888" i="5"/>
  <c r="C887" i="5"/>
  <c r="C886" i="5"/>
  <c r="C885" i="5"/>
  <c r="C884" i="5"/>
  <c r="C883" i="5"/>
  <c r="C882" i="5"/>
  <c r="C881" i="5"/>
  <c r="C880" i="5"/>
  <c r="C879" i="5"/>
  <c r="C878" i="5"/>
  <c r="C877" i="5"/>
  <c r="C876" i="5"/>
  <c r="C875" i="5"/>
  <c r="C874" i="5"/>
  <c r="C873" i="5"/>
  <c r="C872" i="5"/>
  <c r="C871" i="5"/>
  <c r="C870" i="5"/>
  <c r="C869" i="5"/>
  <c r="C868" i="5"/>
  <c r="C867" i="5"/>
  <c r="C866" i="5"/>
  <c r="C865" i="5"/>
  <c r="C864" i="5"/>
  <c r="C863" i="5"/>
  <c r="C862" i="5"/>
  <c r="C861" i="5"/>
  <c r="C860" i="5"/>
  <c r="C859" i="5"/>
  <c r="C858" i="5"/>
  <c r="C857" i="5"/>
  <c r="C856" i="5"/>
  <c r="C855" i="5"/>
  <c r="C854" i="5"/>
  <c r="C853" i="5"/>
  <c r="C852" i="5"/>
  <c r="C851" i="5"/>
  <c r="C850" i="5"/>
  <c r="C849" i="5"/>
  <c r="C848" i="5"/>
  <c r="C847" i="5"/>
  <c r="C846" i="5"/>
  <c r="C845" i="5"/>
  <c r="C844" i="5"/>
  <c r="C843" i="5"/>
  <c r="C842" i="5"/>
  <c r="C841" i="5"/>
  <c r="C840" i="5"/>
  <c r="C839" i="5"/>
  <c r="C838" i="5"/>
  <c r="C837" i="5"/>
  <c r="C836" i="5"/>
  <c r="C835" i="5"/>
  <c r="C834" i="5"/>
  <c r="C833" i="5"/>
  <c r="C832" i="5"/>
  <c r="C831" i="5"/>
  <c r="C830" i="5"/>
  <c r="C829" i="5"/>
  <c r="C828" i="5"/>
  <c r="C827" i="5"/>
  <c r="C826" i="5"/>
  <c r="C825" i="5"/>
  <c r="C824" i="5"/>
  <c r="C823" i="5"/>
  <c r="C822" i="5"/>
  <c r="C821" i="5"/>
  <c r="C820" i="5"/>
  <c r="C819" i="5"/>
  <c r="C818" i="5"/>
  <c r="C817" i="5"/>
  <c r="C816" i="5"/>
  <c r="C815" i="5"/>
  <c r="C814" i="5"/>
  <c r="C813" i="5"/>
  <c r="C812" i="5"/>
  <c r="C811" i="5"/>
  <c r="C810" i="5"/>
  <c r="C809" i="5"/>
  <c r="C808" i="5"/>
  <c r="C807" i="5"/>
  <c r="C806" i="5"/>
  <c r="C805" i="5"/>
  <c r="C804" i="5"/>
  <c r="C803" i="5"/>
  <c r="C802" i="5"/>
  <c r="C801" i="5"/>
  <c r="C800" i="5"/>
  <c r="C799" i="5"/>
  <c r="C798" i="5"/>
  <c r="C797" i="5"/>
  <c r="C796" i="5"/>
  <c r="C795" i="5"/>
  <c r="C794" i="5"/>
  <c r="C793" i="5"/>
  <c r="C792" i="5"/>
  <c r="C791" i="5"/>
  <c r="C790" i="5"/>
  <c r="C789" i="5"/>
  <c r="C788" i="5"/>
  <c r="C787" i="5"/>
  <c r="C786" i="5"/>
  <c r="C785" i="5"/>
  <c r="C784" i="5"/>
  <c r="C783" i="5"/>
  <c r="C782" i="5"/>
  <c r="C781" i="5"/>
  <c r="C780" i="5"/>
  <c r="C779" i="5"/>
  <c r="C778" i="5"/>
  <c r="C777" i="5"/>
  <c r="C776" i="5"/>
  <c r="C775" i="5"/>
  <c r="C774" i="5"/>
  <c r="C773" i="5"/>
  <c r="C772" i="5"/>
  <c r="C771" i="5"/>
  <c r="C770" i="5"/>
  <c r="C769" i="5"/>
  <c r="C768" i="5"/>
  <c r="C767" i="5"/>
  <c r="C766" i="5"/>
  <c r="C765" i="5"/>
  <c r="C764" i="5"/>
  <c r="C763" i="5"/>
  <c r="C762" i="5"/>
  <c r="C761" i="5"/>
  <c r="C760" i="5"/>
  <c r="C759" i="5"/>
  <c r="C758" i="5"/>
  <c r="C757" i="5"/>
  <c r="C756" i="5"/>
  <c r="C755" i="5"/>
  <c r="C754" i="5"/>
  <c r="C753" i="5"/>
  <c r="C752" i="5"/>
  <c r="C751" i="5"/>
  <c r="C750" i="5"/>
  <c r="C749" i="5"/>
  <c r="C748" i="5"/>
  <c r="C747" i="5"/>
  <c r="C746" i="5"/>
  <c r="C745" i="5"/>
  <c r="C744" i="5"/>
  <c r="C743" i="5"/>
  <c r="C742" i="5"/>
  <c r="C741" i="5"/>
  <c r="C740" i="5"/>
  <c r="C739" i="5"/>
  <c r="C738" i="5"/>
  <c r="C737" i="5"/>
  <c r="C736" i="5"/>
  <c r="C735" i="5"/>
  <c r="C734" i="5"/>
  <c r="C733" i="5"/>
  <c r="C732" i="5"/>
  <c r="C731" i="5"/>
  <c r="C730" i="5"/>
  <c r="C729" i="5"/>
  <c r="C728" i="5"/>
  <c r="C727" i="5"/>
  <c r="C726" i="5"/>
  <c r="C725" i="5"/>
  <c r="C724" i="5"/>
  <c r="C723" i="5"/>
  <c r="C722" i="5"/>
  <c r="C721" i="5"/>
  <c r="C720" i="5"/>
  <c r="C719" i="5"/>
  <c r="C718" i="5"/>
  <c r="C717" i="5"/>
  <c r="C716" i="5"/>
  <c r="C715" i="5"/>
  <c r="C714" i="5"/>
  <c r="C713" i="5"/>
  <c r="C712" i="5"/>
  <c r="C711" i="5"/>
  <c r="C710" i="5"/>
  <c r="C709" i="5"/>
  <c r="C708" i="5"/>
  <c r="C707" i="5"/>
  <c r="C706" i="5"/>
  <c r="C705" i="5"/>
  <c r="C704" i="5"/>
  <c r="C703" i="5"/>
  <c r="C702" i="5"/>
  <c r="C701" i="5"/>
  <c r="C700" i="5"/>
  <c r="C699" i="5"/>
  <c r="C698" i="5"/>
  <c r="C697" i="5"/>
  <c r="C696" i="5"/>
  <c r="C695" i="5"/>
  <c r="C694" i="5"/>
  <c r="C693" i="5"/>
  <c r="C692" i="5"/>
  <c r="C691" i="5"/>
  <c r="C690" i="5"/>
  <c r="C689" i="5"/>
  <c r="C688" i="5"/>
  <c r="C687" i="5"/>
  <c r="C686" i="5"/>
  <c r="C685" i="5"/>
  <c r="C684" i="5"/>
  <c r="C683" i="5"/>
  <c r="C682" i="5"/>
  <c r="C681" i="5"/>
  <c r="C680" i="5"/>
  <c r="C679" i="5"/>
  <c r="C678" i="5"/>
  <c r="C677" i="5"/>
  <c r="C676" i="5"/>
  <c r="C675" i="5"/>
  <c r="C674" i="5"/>
  <c r="C673" i="5"/>
  <c r="C672" i="5"/>
  <c r="C671" i="5"/>
  <c r="C670" i="5"/>
  <c r="C669" i="5"/>
  <c r="C668" i="5"/>
  <c r="C667" i="5"/>
  <c r="C666" i="5"/>
  <c r="C665" i="5"/>
  <c r="C664" i="5"/>
  <c r="C663" i="5"/>
  <c r="C662" i="5"/>
  <c r="C661" i="5"/>
  <c r="C660" i="5"/>
  <c r="C659" i="5"/>
  <c r="C658" i="5"/>
  <c r="C657" i="5"/>
  <c r="C656" i="5"/>
  <c r="C655" i="5"/>
  <c r="C654" i="5"/>
  <c r="C653" i="5"/>
  <c r="C652" i="5"/>
  <c r="C651" i="5"/>
  <c r="C650" i="5"/>
  <c r="C649" i="5"/>
  <c r="C648" i="5"/>
  <c r="C647" i="5"/>
  <c r="C646" i="5"/>
  <c r="C645" i="5"/>
  <c r="C644" i="5"/>
  <c r="C643" i="5"/>
  <c r="C642" i="5"/>
  <c r="C641" i="5"/>
  <c r="C640" i="5"/>
  <c r="C639" i="5"/>
  <c r="C638" i="5"/>
  <c r="C637" i="5"/>
  <c r="C636" i="5"/>
  <c r="C635" i="5"/>
  <c r="C634" i="5"/>
  <c r="C633" i="5"/>
  <c r="C632" i="5"/>
  <c r="C631" i="5"/>
  <c r="C630" i="5"/>
  <c r="C629" i="5"/>
  <c r="C628" i="5"/>
  <c r="C627" i="5"/>
  <c r="C626" i="5"/>
  <c r="C625" i="5"/>
  <c r="C624" i="5"/>
  <c r="C623" i="5"/>
  <c r="C622" i="5"/>
  <c r="C621" i="5"/>
  <c r="C620" i="5"/>
  <c r="C619" i="5"/>
  <c r="C618" i="5"/>
  <c r="C617" i="5"/>
  <c r="C616" i="5"/>
  <c r="C615" i="5"/>
  <c r="C614" i="5"/>
  <c r="C613" i="5"/>
  <c r="C612" i="5"/>
  <c r="C611" i="5"/>
  <c r="C610" i="5"/>
  <c r="C609" i="5"/>
  <c r="C608" i="5"/>
  <c r="C607" i="5"/>
  <c r="C606" i="5"/>
  <c r="C605" i="5"/>
  <c r="C604" i="5"/>
  <c r="C603" i="5"/>
  <c r="C602" i="5"/>
  <c r="C601" i="5"/>
  <c r="C600" i="5"/>
  <c r="C599" i="5"/>
  <c r="C598" i="5"/>
  <c r="C597" i="5"/>
  <c r="C596" i="5"/>
  <c r="C595" i="5"/>
  <c r="C594" i="5"/>
  <c r="C593" i="5"/>
  <c r="C592" i="5"/>
  <c r="C591" i="5"/>
  <c r="C590" i="5"/>
  <c r="C589" i="5"/>
  <c r="C588" i="5"/>
  <c r="C587" i="5"/>
  <c r="C586" i="5"/>
  <c r="C585" i="5"/>
  <c r="C584" i="5"/>
  <c r="C583" i="5"/>
  <c r="C582" i="5"/>
  <c r="C581" i="5"/>
  <c r="C580" i="5"/>
  <c r="C579" i="5"/>
  <c r="C578" i="5"/>
  <c r="C577" i="5"/>
  <c r="C576" i="5"/>
  <c r="C575" i="5"/>
  <c r="C574" i="5"/>
  <c r="C573" i="5"/>
  <c r="C572" i="5"/>
  <c r="C571" i="5"/>
  <c r="C570" i="5"/>
  <c r="C569" i="5"/>
  <c r="C568" i="5"/>
  <c r="C567" i="5"/>
  <c r="C566" i="5"/>
  <c r="C565" i="5"/>
  <c r="C564" i="5"/>
  <c r="C563" i="5"/>
  <c r="C562" i="5"/>
  <c r="C561" i="5"/>
  <c r="C560" i="5"/>
  <c r="C559" i="5"/>
  <c r="C558" i="5"/>
  <c r="C557" i="5"/>
  <c r="C556" i="5"/>
  <c r="C555" i="5"/>
  <c r="C554" i="5"/>
  <c r="C553" i="5"/>
  <c r="C552" i="5"/>
  <c r="C551" i="5"/>
  <c r="C550" i="5"/>
  <c r="C549" i="5"/>
  <c r="C548" i="5"/>
  <c r="C547" i="5"/>
  <c r="C546" i="5"/>
  <c r="C545" i="5"/>
  <c r="C544" i="5"/>
  <c r="C543" i="5"/>
  <c r="C542" i="5"/>
  <c r="C541" i="5"/>
  <c r="C540" i="5"/>
  <c r="C539" i="5"/>
  <c r="C538" i="5"/>
  <c r="C537" i="5"/>
  <c r="C536" i="5"/>
  <c r="C535" i="5"/>
  <c r="C534" i="5"/>
  <c r="C533" i="5"/>
  <c r="C532" i="5"/>
  <c r="C531" i="5"/>
  <c r="C530" i="5"/>
  <c r="C529" i="5"/>
  <c r="C528" i="5"/>
  <c r="C527" i="5"/>
  <c r="C526" i="5"/>
  <c r="C525" i="5"/>
  <c r="C524" i="5"/>
  <c r="C523" i="5"/>
  <c r="C522" i="5"/>
  <c r="C521" i="5"/>
  <c r="C520" i="5"/>
  <c r="C519" i="5"/>
  <c r="C518" i="5"/>
  <c r="C517" i="5"/>
  <c r="C516" i="5"/>
  <c r="C515" i="5"/>
  <c r="C514" i="5"/>
  <c r="C513" i="5"/>
  <c r="C512" i="5"/>
  <c r="C511" i="5"/>
  <c r="C510" i="5"/>
  <c r="C509" i="5"/>
  <c r="C508" i="5"/>
  <c r="C507" i="5"/>
  <c r="C506" i="5"/>
  <c r="C505" i="5"/>
  <c r="C504" i="5"/>
  <c r="C503" i="5"/>
  <c r="C502" i="5"/>
  <c r="C501" i="5"/>
  <c r="C500" i="5"/>
  <c r="C499" i="5"/>
  <c r="C498" i="5"/>
  <c r="C497" i="5"/>
  <c r="C496" i="5"/>
  <c r="C495" i="5"/>
  <c r="C494" i="5"/>
  <c r="C493" i="5"/>
  <c r="C492" i="5"/>
  <c r="C491" i="5"/>
  <c r="C490" i="5"/>
  <c r="C489" i="5"/>
  <c r="C488" i="5"/>
  <c r="C487" i="5"/>
  <c r="C486" i="5"/>
  <c r="C485" i="5"/>
  <c r="C484" i="5"/>
  <c r="C483" i="5"/>
  <c r="C482" i="5"/>
  <c r="C481" i="5"/>
  <c r="C480" i="5"/>
  <c r="C479" i="5"/>
  <c r="C478" i="5"/>
  <c r="C477" i="5"/>
  <c r="C476" i="5"/>
  <c r="C475" i="5"/>
  <c r="C474" i="5"/>
  <c r="C473" i="5"/>
  <c r="C472" i="5"/>
  <c r="C471" i="5"/>
  <c r="C470" i="5"/>
  <c r="C469" i="5"/>
  <c r="C468" i="5"/>
  <c r="C467" i="5"/>
  <c r="C466" i="5"/>
  <c r="C465" i="5"/>
  <c r="C464" i="5"/>
  <c r="C463" i="5"/>
  <c r="C462" i="5"/>
  <c r="C461" i="5"/>
  <c r="C460" i="5"/>
  <c r="C459" i="5"/>
  <c r="C458" i="5"/>
  <c r="C457" i="5"/>
  <c r="C456" i="5"/>
  <c r="C455" i="5"/>
  <c r="C454" i="5"/>
  <c r="C453" i="5"/>
  <c r="C452" i="5"/>
  <c r="C451" i="5"/>
  <c r="C450" i="5"/>
  <c r="C449" i="5"/>
  <c r="C448" i="5"/>
  <c r="C447" i="5"/>
  <c r="C446" i="5"/>
  <c r="C445" i="5"/>
  <c r="C444" i="5"/>
  <c r="C443" i="5"/>
  <c r="C442" i="5"/>
  <c r="C441" i="5"/>
  <c r="C440" i="5"/>
  <c r="C439" i="5"/>
  <c r="C438" i="5"/>
  <c r="C437" i="5"/>
  <c r="C436" i="5"/>
  <c r="C435" i="5"/>
  <c r="C434" i="5"/>
  <c r="C433" i="5"/>
  <c r="C432" i="5"/>
  <c r="C431" i="5"/>
  <c r="C430" i="5"/>
  <c r="C429" i="5"/>
  <c r="C428" i="5"/>
  <c r="C427" i="5"/>
  <c r="C426" i="5"/>
  <c r="C425" i="5"/>
  <c r="C424" i="5"/>
  <c r="C423" i="5"/>
  <c r="C422" i="5"/>
  <c r="C421" i="5"/>
  <c r="C420" i="5"/>
  <c r="C419" i="5"/>
  <c r="C418" i="5"/>
  <c r="C417" i="5"/>
  <c r="C416" i="5"/>
  <c r="C415" i="5"/>
  <c r="C414" i="5"/>
  <c r="C413" i="5"/>
  <c r="C412" i="5"/>
  <c r="C411" i="5"/>
  <c r="C410" i="5"/>
  <c r="C409" i="5"/>
  <c r="C408" i="5"/>
  <c r="C407" i="5"/>
  <c r="C406" i="5"/>
  <c r="C405" i="5"/>
  <c r="C404" i="5"/>
  <c r="C403" i="5"/>
  <c r="C402" i="5"/>
  <c r="C401" i="5"/>
  <c r="C400" i="5"/>
  <c r="C399" i="5"/>
  <c r="C398" i="5"/>
  <c r="C397" i="5"/>
  <c r="C396" i="5"/>
  <c r="C395" i="5"/>
  <c r="C394" i="5"/>
  <c r="C393" i="5"/>
  <c r="C392" i="5"/>
  <c r="C391" i="5"/>
  <c r="C390" i="5"/>
  <c r="C389" i="5"/>
  <c r="C388" i="5"/>
  <c r="C387" i="5"/>
  <c r="C386" i="5"/>
  <c r="C385" i="5"/>
  <c r="C384" i="5"/>
  <c r="C383" i="5"/>
  <c r="C382" i="5"/>
  <c r="C381" i="5"/>
  <c r="C380" i="5"/>
  <c r="C379" i="5"/>
  <c r="C378" i="5"/>
  <c r="C377" i="5"/>
  <c r="C376" i="5"/>
  <c r="C375" i="5"/>
  <c r="C374" i="5"/>
  <c r="C373" i="5"/>
  <c r="C372" i="5"/>
  <c r="C371" i="5"/>
  <c r="C370" i="5"/>
  <c r="C369" i="5"/>
  <c r="C368" i="5"/>
  <c r="C367" i="5"/>
  <c r="C366" i="5"/>
  <c r="C365" i="5"/>
  <c r="C364" i="5"/>
  <c r="C363" i="5"/>
  <c r="C362" i="5"/>
  <c r="C361" i="5"/>
  <c r="C360" i="5"/>
  <c r="C359" i="5"/>
  <c r="C358" i="5"/>
  <c r="C357" i="5"/>
  <c r="C356" i="5"/>
  <c r="C355" i="5"/>
  <c r="C354" i="5"/>
  <c r="C353" i="5"/>
  <c r="C352" i="5"/>
  <c r="C351" i="5"/>
  <c r="C350" i="5"/>
  <c r="C349" i="5"/>
  <c r="C348" i="5"/>
  <c r="C347" i="5"/>
  <c r="C346" i="5"/>
  <c r="C345" i="5"/>
  <c r="C344" i="5"/>
  <c r="C343" i="5"/>
  <c r="C342" i="5"/>
  <c r="C341" i="5"/>
  <c r="C340" i="5"/>
  <c r="C339" i="5"/>
  <c r="C338" i="5"/>
  <c r="C337" i="5"/>
  <c r="C336" i="5"/>
  <c r="C335" i="5"/>
  <c r="C334" i="5"/>
  <c r="C333" i="5"/>
  <c r="C332" i="5"/>
  <c r="C331" i="5"/>
  <c r="C330" i="5"/>
  <c r="C329" i="5"/>
  <c r="C328" i="5"/>
  <c r="C327" i="5"/>
  <c r="C326" i="5"/>
  <c r="C325" i="5"/>
  <c r="C324" i="5"/>
  <c r="C323" i="5"/>
  <c r="C322" i="5"/>
  <c r="C321" i="5"/>
  <c r="C320" i="5"/>
  <c r="C319" i="5"/>
  <c r="C318" i="5"/>
  <c r="C317" i="5"/>
  <c r="C316" i="5"/>
  <c r="C315" i="5"/>
  <c r="C314" i="5"/>
  <c r="C313" i="5"/>
  <c r="C312" i="5"/>
  <c r="C311" i="5"/>
  <c r="C310" i="5"/>
  <c r="C309" i="5"/>
  <c r="C308" i="5"/>
  <c r="C307" i="5"/>
  <c r="C306" i="5"/>
  <c r="C305" i="5"/>
  <c r="C304" i="5"/>
  <c r="C303" i="5"/>
  <c r="C302" i="5"/>
  <c r="C301" i="5"/>
  <c r="C300" i="5"/>
  <c r="C299" i="5"/>
  <c r="C298" i="5"/>
  <c r="C297" i="5"/>
  <c r="C296" i="5"/>
  <c r="C295" i="5"/>
  <c r="C294" i="5"/>
  <c r="C293" i="5"/>
  <c r="C292" i="5"/>
  <c r="C291" i="5"/>
  <c r="C290" i="5"/>
  <c r="C289" i="5"/>
  <c r="C288" i="5"/>
  <c r="C287" i="5"/>
  <c r="C286" i="5"/>
  <c r="C285" i="5"/>
  <c r="C284" i="5"/>
  <c r="C283" i="5"/>
  <c r="C282" i="5"/>
  <c r="C281" i="5"/>
  <c r="C280" i="5"/>
  <c r="C279" i="5"/>
  <c r="C278" i="5"/>
  <c r="C277" i="5"/>
  <c r="C276" i="5"/>
  <c r="C275" i="5"/>
  <c r="C274" i="5"/>
  <c r="C273" i="5"/>
  <c r="C272" i="5"/>
  <c r="C271" i="5"/>
  <c r="C270" i="5"/>
  <c r="C269" i="5"/>
  <c r="C268" i="5"/>
  <c r="C267" i="5"/>
  <c r="C266" i="5"/>
  <c r="C265" i="5"/>
  <c r="C264" i="5"/>
  <c r="C263" i="5"/>
  <c r="C262" i="5"/>
  <c r="C261" i="5"/>
  <c r="C260" i="5"/>
  <c r="C259" i="5"/>
  <c r="C258" i="5"/>
  <c r="C257" i="5"/>
  <c r="C256" i="5"/>
  <c r="C255" i="5"/>
  <c r="C254" i="5"/>
  <c r="C253" i="5"/>
  <c r="C252" i="5"/>
  <c r="C251" i="5"/>
  <c r="C250" i="5"/>
  <c r="C249" i="5"/>
  <c r="C248" i="5"/>
  <c r="C247" i="5"/>
  <c r="C246" i="5"/>
  <c r="C245" i="5"/>
  <c r="C244" i="5"/>
  <c r="C243" i="5"/>
  <c r="C242" i="5"/>
  <c r="C241" i="5"/>
  <c r="C240" i="5"/>
  <c r="C239" i="5"/>
  <c r="C238" i="5"/>
  <c r="C237" i="5"/>
  <c r="C236" i="5"/>
  <c r="C235" i="5"/>
  <c r="C234" i="5"/>
  <c r="C233" i="5"/>
  <c r="C232" i="5"/>
  <c r="C231" i="5"/>
  <c r="C230" i="5"/>
  <c r="C229" i="5"/>
  <c r="C228" i="5"/>
  <c r="C227" i="5"/>
  <c r="C226" i="5"/>
  <c r="C225" i="5"/>
  <c r="C224" i="5"/>
  <c r="C223" i="5"/>
  <c r="C222" i="5"/>
  <c r="C221" i="5"/>
  <c r="C220" i="5"/>
  <c r="C219" i="5"/>
  <c r="C218" i="5"/>
  <c r="C217" i="5"/>
  <c r="C216" i="5"/>
  <c r="C215" i="5"/>
  <c r="C214" i="5"/>
  <c r="C213" i="5"/>
  <c r="C212" i="5"/>
  <c r="C211" i="5"/>
  <c r="C210" i="5"/>
  <c r="C209" i="5"/>
  <c r="C208" i="5"/>
  <c r="C207" i="5"/>
  <c r="C206" i="5"/>
  <c r="C205" i="5"/>
  <c r="C204" i="5"/>
  <c r="C203" i="5"/>
  <c r="C202" i="5"/>
  <c r="C201" i="5"/>
  <c r="C200" i="5"/>
  <c r="C199" i="5"/>
  <c r="C198" i="5"/>
  <c r="C197" i="5"/>
  <c r="C196" i="5"/>
  <c r="C195" i="5"/>
  <c r="C194" i="5"/>
  <c r="C193" i="5"/>
  <c r="C192" i="5"/>
  <c r="C191" i="5"/>
  <c r="C190" i="5"/>
  <c r="C189" i="5"/>
  <c r="C188" i="5"/>
  <c r="C187" i="5"/>
  <c r="C186" i="5"/>
  <c r="C185" i="5"/>
  <c r="C184" i="5"/>
  <c r="C183" i="5"/>
  <c r="C182" i="5"/>
  <c r="C181" i="5"/>
  <c r="C180" i="5"/>
  <c r="C179" i="5"/>
  <c r="C178" i="5"/>
  <c r="C177" i="5"/>
  <c r="C176" i="5"/>
  <c r="C175" i="5"/>
  <c r="C174" i="5"/>
  <c r="C173" i="5"/>
  <c r="C172" i="5"/>
  <c r="C171" i="5"/>
  <c r="C170" i="5"/>
  <c r="C169" i="5"/>
  <c r="C168" i="5"/>
  <c r="C167" i="5"/>
  <c r="C166" i="5"/>
  <c r="C165" i="5"/>
  <c r="C164" i="5"/>
  <c r="C163" i="5"/>
  <c r="C162" i="5"/>
  <c r="C161" i="5"/>
  <c r="C160" i="5"/>
  <c r="C159" i="5"/>
  <c r="C158" i="5"/>
  <c r="C157" i="5"/>
  <c r="C156" i="5"/>
  <c r="C155" i="5"/>
  <c r="C154" i="5"/>
  <c r="C153" i="5"/>
  <c r="C152" i="5"/>
  <c r="C151" i="5"/>
  <c r="C150" i="5"/>
  <c r="C149" i="5"/>
  <c r="C148" i="5"/>
  <c r="C147" i="5"/>
  <c r="C146" i="5"/>
  <c r="C145" i="5"/>
  <c r="C144" i="5"/>
  <c r="C143" i="5"/>
  <c r="C142" i="5"/>
  <c r="C141" i="5"/>
  <c r="C140" i="5"/>
  <c r="C139" i="5"/>
  <c r="C138" i="5"/>
  <c r="C137" i="5"/>
  <c r="C136" i="5"/>
  <c r="C135" i="5"/>
  <c r="C134" i="5"/>
  <c r="C133" i="5"/>
  <c r="C132" i="5"/>
  <c r="C131" i="5"/>
  <c r="C130" i="5"/>
  <c r="C129" i="5"/>
  <c r="C128" i="5"/>
  <c r="C127" i="5"/>
  <c r="C126" i="5"/>
  <c r="C125" i="5"/>
  <c r="C124" i="5"/>
  <c r="C123" i="5"/>
  <c r="C122" i="5"/>
  <c r="C121" i="5"/>
  <c r="C120" i="5"/>
  <c r="C119" i="5"/>
  <c r="C118" i="5"/>
  <c r="C117" i="5"/>
  <c r="C116" i="5"/>
  <c r="C115" i="5"/>
  <c r="C114" i="5"/>
  <c r="C113" i="5"/>
  <c r="C112" i="5"/>
  <c r="C111" i="5"/>
  <c r="C110" i="5"/>
  <c r="C109" i="5"/>
  <c r="C108" i="5"/>
  <c r="C107" i="5"/>
  <c r="C106" i="5"/>
  <c r="C105" i="5"/>
  <c r="C104" i="5"/>
  <c r="C103" i="5"/>
  <c r="C102" i="5"/>
  <c r="C101" i="5"/>
  <c r="C100" i="5"/>
  <c r="C99" i="5"/>
  <c r="C98" i="5"/>
  <c r="C97" i="5"/>
  <c r="C96" i="5"/>
  <c r="C95" i="5"/>
  <c r="C94" i="5"/>
  <c r="C93" i="5"/>
  <c r="C92" i="5"/>
  <c r="C91" i="5"/>
  <c r="C90" i="5"/>
  <c r="C89" i="5"/>
  <c r="C88" i="5"/>
  <c r="C87" i="5"/>
  <c r="C86" i="5"/>
  <c r="C85" i="5"/>
  <c r="C84" i="5"/>
  <c r="C83" i="5"/>
  <c r="C82" i="5"/>
  <c r="C81" i="5"/>
  <c r="C80" i="5"/>
  <c r="C79" i="5"/>
  <c r="C78" i="5"/>
  <c r="C77" i="5"/>
  <c r="C76" i="5"/>
  <c r="C75" i="5"/>
  <c r="C74" i="5"/>
  <c r="C73" i="5"/>
  <c r="C72" i="5"/>
  <c r="C71" i="5"/>
  <c r="C70" i="5"/>
  <c r="C69" i="5"/>
  <c r="C68" i="5"/>
  <c r="C67" i="5"/>
  <c r="C66" i="5"/>
  <c r="C65" i="5"/>
  <c r="C64" i="5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C5" i="5"/>
  <c r="C4" i="5"/>
  <c r="C3" i="5"/>
  <c r="C2" i="5"/>
  <c r="B1021" i="5"/>
  <c r="B1020" i="5"/>
  <c r="B1019" i="5"/>
  <c r="B1018" i="5"/>
  <c r="B1017" i="5"/>
  <c r="B1016" i="5"/>
  <c r="B1015" i="5"/>
  <c r="B1014" i="5"/>
  <c r="B1013" i="5"/>
  <c r="B1012" i="5"/>
  <c r="B1011" i="5"/>
  <c r="B1010" i="5"/>
  <c r="B1009" i="5"/>
  <c r="B1008" i="5"/>
  <c r="B1007" i="5"/>
  <c r="B1006" i="5"/>
  <c r="B1005" i="5"/>
  <c r="B1004" i="5"/>
  <c r="B1003" i="5"/>
  <c r="B1002" i="5"/>
  <c r="B1001" i="5"/>
  <c r="B1000" i="5"/>
  <c r="B999" i="5"/>
  <c r="B998" i="5"/>
  <c r="B997" i="5"/>
  <c r="B996" i="5"/>
  <c r="B995" i="5"/>
  <c r="B994" i="5"/>
  <c r="B993" i="5"/>
  <c r="B992" i="5"/>
  <c r="B991" i="5"/>
  <c r="B990" i="5"/>
  <c r="B989" i="5"/>
  <c r="B988" i="5"/>
  <c r="B987" i="5"/>
  <c r="B986" i="5"/>
  <c r="B985" i="5"/>
  <c r="B984" i="5"/>
  <c r="B983" i="5"/>
  <c r="B982" i="5"/>
  <c r="B981" i="5"/>
  <c r="B980" i="5"/>
  <c r="B979" i="5"/>
  <c r="B978" i="5"/>
  <c r="B977" i="5"/>
  <c r="B976" i="5"/>
  <c r="B975" i="5"/>
  <c r="B974" i="5"/>
  <c r="B973" i="5"/>
  <c r="B972" i="5"/>
  <c r="B971" i="5"/>
  <c r="B970" i="5"/>
  <c r="B969" i="5"/>
  <c r="B968" i="5"/>
  <c r="B967" i="5"/>
  <c r="B966" i="5"/>
  <c r="B965" i="5"/>
  <c r="B964" i="5"/>
  <c r="B963" i="5"/>
  <c r="B962" i="5"/>
  <c r="B961" i="5"/>
  <c r="B960" i="5"/>
  <c r="B959" i="5"/>
  <c r="B958" i="5"/>
  <c r="B957" i="5"/>
  <c r="B956" i="5"/>
  <c r="B955" i="5"/>
  <c r="B954" i="5"/>
  <c r="B953" i="5"/>
  <c r="B952" i="5"/>
  <c r="B951" i="5"/>
  <c r="B950" i="5"/>
  <c r="B949" i="5"/>
  <c r="B948" i="5"/>
  <c r="B947" i="5"/>
  <c r="B946" i="5"/>
  <c r="B945" i="5"/>
  <c r="B944" i="5"/>
  <c r="B943" i="5"/>
  <c r="B942" i="5"/>
  <c r="B941" i="5"/>
  <c r="B940" i="5"/>
  <c r="B939" i="5"/>
  <c r="B938" i="5"/>
  <c r="B937" i="5"/>
  <c r="B936" i="5"/>
  <c r="B935" i="5"/>
  <c r="B934" i="5"/>
  <c r="B933" i="5"/>
  <c r="B932" i="5"/>
  <c r="B931" i="5"/>
  <c r="B930" i="5"/>
  <c r="B929" i="5"/>
  <c r="B928" i="5"/>
  <c r="B927" i="5"/>
  <c r="B926" i="5"/>
  <c r="B925" i="5"/>
  <c r="B924" i="5"/>
  <c r="B923" i="5"/>
  <c r="B922" i="5"/>
  <c r="B921" i="5"/>
  <c r="B920" i="5"/>
  <c r="B919" i="5"/>
  <c r="B918" i="5"/>
  <c r="B917" i="5"/>
  <c r="B916" i="5"/>
  <c r="B915" i="5"/>
  <c r="B914" i="5"/>
  <c r="B913" i="5"/>
  <c r="B912" i="5"/>
  <c r="B911" i="5"/>
  <c r="B910" i="5"/>
  <c r="B909" i="5"/>
  <c r="B908" i="5"/>
  <c r="B907" i="5"/>
  <c r="B906" i="5"/>
  <c r="B905" i="5"/>
  <c r="B904" i="5"/>
  <c r="B903" i="5"/>
  <c r="B902" i="5"/>
  <c r="B901" i="5"/>
  <c r="B900" i="5"/>
  <c r="B899" i="5"/>
  <c r="B898" i="5"/>
  <c r="B897" i="5"/>
  <c r="B896" i="5"/>
  <c r="B895" i="5"/>
  <c r="B894" i="5"/>
  <c r="B893" i="5"/>
  <c r="B892" i="5"/>
  <c r="B891" i="5"/>
  <c r="B890" i="5"/>
  <c r="B889" i="5"/>
  <c r="B888" i="5"/>
  <c r="B887" i="5"/>
  <c r="B886" i="5"/>
  <c r="B885" i="5"/>
  <c r="B884" i="5"/>
  <c r="B883" i="5"/>
  <c r="B882" i="5"/>
  <c r="B881" i="5"/>
  <c r="B880" i="5"/>
  <c r="B879" i="5"/>
  <c r="B878" i="5"/>
  <c r="B877" i="5"/>
  <c r="B876" i="5"/>
  <c r="B875" i="5"/>
  <c r="B874" i="5"/>
  <c r="B873" i="5"/>
  <c r="B872" i="5"/>
  <c r="B871" i="5"/>
  <c r="B870" i="5"/>
  <c r="B869" i="5"/>
  <c r="B868" i="5"/>
  <c r="B867" i="5"/>
  <c r="B866" i="5"/>
  <c r="B865" i="5"/>
  <c r="B864" i="5"/>
  <c r="B863" i="5"/>
  <c r="B862" i="5"/>
  <c r="B861" i="5"/>
  <c r="B860" i="5"/>
  <c r="B859" i="5"/>
  <c r="B858" i="5"/>
  <c r="B857" i="5"/>
  <c r="B856" i="5"/>
  <c r="B855" i="5"/>
  <c r="B854" i="5"/>
  <c r="B853" i="5"/>
  <c r="B852" i="5"/>
  <c r="B851" i="5"/>
  <c r="B850" i="5"/>
  <c r="B849" i="5"/>
  <c r="B848" i="5"/>
  <c r="B847" i="5"/>
  <c r="B846" i="5"/>
  <c r="B845" i="5"/>
  <c r="B844" i="5"/>
  <c r="B843" i="5"/>
  <c r="B842" i="5"/>
  <c r="B841" i="5"/>
  <c r="B840" i="5"/>
  <c r="B839" i="5"/>
  <c r="B838" i="5"/>
  <c r="B837" i="5"/>
  <c r="B836" i="5"/>
  <c r="B835" i="5"/>
  <c r="B834" i="5"/>
  <c r="B833" i="5"/>
  <c r="B832" i="5"/>
  <c r="B831" i="5"/>
  <c r="B830" i="5"/>
  <c r="B829" i="5"/>
  <c r="B828" i="5"/>
  <c r="B827" i="5"/>
  <c r="B826" i="5"/>
  <c r="B825" i="5"/>
  <c r="B824" i="5"/>
  <c r="B823" i="5"/>
  <c r="B822" i="5"/>
  <c r="B821" i="5"/>
  <c r="B820" i="5"/>
  <c r="B819" i="5"/>
  <c r="B818" i="5"/>
  <c r="B817" i="5"/>
  <c r="B816" i="5"/>
  <c r="B815" i="5"/>
  <c r="B814" i="5"/>
  <c r="B813" i="5"/>
  <c r="B812" i="5"/>
  <c r="B811" i="5"/>
  <c r="B810" i="5"/>
  <c r="B809" i="5"/>
  <c r="B808" i="5"/>
  <c r="B807" i="5"/>
  <c r="B806" i="5"/>
  <c r="B805" i="5"/>
  <c r="B804" i="5"/>
  <c r="B803" i="5"/>
  <c r="B802" i="5"/>
  <c r="B801" i="5"/>
  <c r="B800" i="5"/>
  <c r="B799" i="5"/>
  <c r="B798" i="5"/>
  <c r="B797" i="5"/>
  <c r="B796" i="5"/>
  <c r="B795" i="5"/>
  <c r="B794" i="5"/>
  <c r="B793" i="5"/>
  <c r="B792" i="5"/>
  <c r="B791" i="5"/>
  <c r="B790" i="5"/>
  <c r="B789" i="5"/>
  <c r="B788" i="5"/>
  <c r="B787" i="5"/>
  <c r="B786" i="5"/>
  <c r="B785" i="5"/>
  <c r="B784" i="5"/>
  <c r="B783" i="5"/>
  <c r="B782" i="5"/>
  <c r="B781" i="5"/>
  <c r="B780" i="5"/>
  <c r="B779" i="5"/>
  <c r="B778" i="5"/>
  <c r="B777" i="5"/>
  <c r="B776" i="5"/>
  <c r="B775" i="5"/>
  <c r="B774" i="5"/>
  <c r="B773" i="5"/>
  <c r="B772" i="5"/>
  <c r="B771" i="5"/>
  <c r="B770" i="5"/>
  <c r="B769" i="5"/>
  <c r="B768" i="5"/>
  <c r="B767" i="5"/>
  <c r="B766" i="5"/>
  <c r="B765" i="5"/>
  <c r="B764" i="5"/>
  <c r="B763" i="5"/>
  <c r="B762" i="5"/>
  <c r="B761" i="5"/>
  <c r="B760" i="5"/>
  <c r="B759" i="5"/>
  <c r="B758" i="5"/>
  <c r="B757" i="5"/>
  <c r="B756" i="5"/>
  <c r="B755" i="5"/>
  <c r="B754" i="5"/>
  <c r="B753" i="5"/>
  <c r="B752" i="5"/>
  <c r="B751" i="5"/>
  <c r="B750" i="5"/>
  <c r="B749" i="5"/>
  <c r="B748" i="5"/>
  <c r="B747" i="5"/>
  <c r="B746" i="5"/>
  <c r="B745" i="5"/>
  <c r="B744" i="5"/>
  <c r="B743" i="5"/>
  <c r="B742" i="5"/>
  <c r="B741" i="5"/>
  <c r="B740" i="5"/>
  <c r="B739" i="5"/>
  <c r="B738" i="5"/>
  <c r="B737" i="5"/>
  <c r="B736" i="5"/>
  <c r="B735" i="5"/>
  <c r="B734" i="5"/>
  <c r="B733" i="5"/>
  <c r="B732" i="5"/>
  <c r="B731" i="5"/>
  <c r="B730" i="5"/>
  <c r="B729" i="5"/>
  <c r="B728" i="5"/>
  <c r="B727" i="5"/>
  <c r="B726" i="5"/>
  <c r="B725" i="5"/>
  <c r="B724" i="5"/>
  <c r="B723" i="5"/>
  <c r="B722" i="5"/>
  <c r="B721" i="5"/>
  <c r="B720" i="5"/>
  <c r="B719" i="5"/>
  <c r="B718" i="5"/>
  <c r="B717" i="5"/>
  <c r="B716" i="5"/>
  <c r="B715" i="5"/>
  <c r="B714" i="5"/>
  <c r="B713" i="5"/>
  <c r="B712" i="5"/>
  <c r="B711" i="5"/>
  <c r="B710" i="5"/>
  <c r="B709" i="5"/>
  <c r="B708" i="5"/>
  <c r="B707" i="5"/>
  <c r="B706" i="5"/>
  <c r="B705" i="5"/>
  <c r="B704" i="5"/>
  <c r="B703" i="5"/>
  <c r="B702" i="5"/>
  <c r="B701" i="5"/>
  <c r="B700" i="5"/>
  <c r="B699" i="5"/>
  <c r="B698" i="5"/>
  <c r="B697" i="5"/>
  <c r="B696" i="5"/>
  <c r="B695" i="5"/>
  <c r="B694" i="5"/>
  <c r="B693" i="5"/>
  <c r="B692" i="5"/>
  <c r="B691" i="5"/>
  <c r="B690" i="5"/>
  <c r="B689" i="5"/>
  <c r="B688" i="5"/>
  <c r="B687" i="5"/>
  <c r="B686" i="5"/>
  <c r="B685" i="5"/>
  <c r="B684" i="5"/>
  <c r="B683" i="5"/>
  <c r="B682" i="5"/>
  <c r="B681" i="5"/>
  <c r="B680" i="5"/>
  <c r="B679" i="5"/>
  <c r="B678" i="5"/>
  <c r="B677" i="5"/>
  <c r="B676" i="5"/>
  <c r="B675" i="5"/>
  <c r="B674" i="5"/>
  <c r="B673" i="5"/>
  <c r="B672" i="5"/>
  <c r="B671" i="5"/>
  <c r="B670" i="5"/>
  <c r="B669" i="5"/>
  <c r="B668" i="5"/>
  <c r="B667" i="5"/>
  <c r="B666" i="5"/>
  <c r="B665" i="5"/>
  <c r="B664" i="5"/>
  <c r="B663" i="5"/>
  <c r="B662" i="5"/>
  <c r="B661" i="5"/>
  <c r="B660" i="5"/>
  <c r="B659" i="5"/>
  <c r="B658" i="5"/>
  <c r="B657" i="5"/>
  <c r="B656" i="5"/>
  <c r="B655" i="5"/>
  <c r="B654" i="5"/>
  <c r="B653" i="5"/>
  <c r="B652" i="5"/>
  <c r="B651" i="5"/>
  <c r="B650" i="5"/>
  <c r="B649" i="5"/>
  <c r="B648" i="5"/>
  <c r="B647" i="5"/>
  <c r="B646" i="5"/>
  <c r="B645" i="5"/>
  <c r="B644" i="5"/>
  <c r="B643" i="5"/>
  <c r="B642" i="5"/>
  <c r="B641" i="5"/>
  <c r="B640" i="5"/>
  <c r="B639" i="5"/>
  <c r="B638" i="5"/>
  <c r="B637" i="5"/>
  <c r="B636" i="5"/>
  <c r="B635" i="5"/>
  <c r="B634" i="5"/>
  <c r="B633" i="5"/>
  <c r="B632" i="5"/>
  <c r="B631" i="5"/>
  <c r="B630" i="5"/>
  <c r="B629" i="5"/>
  <c r="B628" i="5"/>
  <c r="B627" i="5"/>
  <c r="B626" i="5"/>
  <c r="B625" i="5"/>
  <c r="B624" i="5"/>
  <c r="B623" i="5"/>
  <c r="B622" i="5"/>
  <c r="B621" i="5"/>
  <c r="B620" i="5"/>
  <c r="B619" i="5"/>
  <c r="B618" i="5"/>
  <c r="B617" i="5"/>
  <c r="B616" i="5"/>
  <c r="B615" i="5"/>
  <c r="B614" i="5"/>
  <c r="B613" i="5"/>
  <c r="B612" i="5"/>
  <c r="B611" i="5"/>
  <c r="B610" i="5"/>
  <c r="B609" i="5"/>
  <c r="B608" i="5"/>
  <c r="B607" i="5"/>
  <c r="B606" i="5"/>
  <c r="B605" i="5"/>
  <c r="B604" i="5"/>
  <c r="B603" i="5"/>
  <c r="B602" i="5"/>
  <c r="B601" i="5"/>
  <c r="B600" i="5"/>
  <c r="B599" i="5"/>
  <c r="B598" i="5"/>
  <c r="B597" i="5"/>
  <c r="B596" i="5"/>
  <c r="B595" i="5"/>
  <c r="B594" i="5"/>
  <c r="B593" i="5"/>
  <c r="B592" i="5"/>
  <c r="B591" i="5"/>
  <c r="B590" i="5"/>
  <c r="B589" i="5"/>
  <c r="B588" i="5"/>
  <c r="B587" i="5"/>
  <c r="B586" i="5"/>
  <c r="B585" i="5"/>
  <c r="B584" i="5"/>
  <c r="B583" i="5"/>
  <c r="B582" i="5"/>
  <c r="B581" i="5"/>
  <c r="B580" i="5"/>
  <c r="B579" i="5"/>
  <c r="B578" i="5"/>
  <c r="B577" i="5"/>
  <c r="B576" i="5"/>
  <c r="B575" i="5"/>
  <c r="B574" i="5"/>
  <c r="B573" i="5"/>
  <c r="B572" i="5"/>
  <c r="B571" i="5"/>
  <c r="B570" i="5"/>
  <c r="B569" i="5"/>
  <c r="B568" i="5"/>
  <c r="B567" i="5"/>
  <c r="B566" i="5"/>
  <c r="B565" i="5"/>
  <c r="B564" i="5"/>
  <c r="B563" i="5"/>
  <c r="B562" i="5"/>
  <c r="B561" i="5"/>
  <c r="B560" i="5"/>
  <c r="B559" i="5"/>
  <c r="B558" i="5"/>
  <c r="B557" i="5"/>
  <c r="B556" i="5"/>
  <c r="B555" i="5"/>
  <c r="B554" i="5"/>
  <c r="B553" i="5"/>
  <c r="B552" i="5"/>
  <c r="B551" i="5"/>
  <c r="B550" i="5"/>
  <c r="B549" i="5"/>
  <c r="B548" i="5"/>
  <c r="B547" i="5"/>
  <c r="B546" i="5"/>
  <c r="B545" i="5"/>
  <c r="B544" i="5"/>
  <c r="B543" i="5"/>
  <c r="B542" i="5"/>
  <c r="B541" i="5"/>
  <c r="B540" i="5"/>
  <c r="B539" i="5"/>
  <c r="B538" i="5"/>
  <c r="B537" i="5"/>
  <c r="B536" i="5"/>
  <c r="B535" i="5"/>
  <c r="B534" i="5"/>
  <c r="B533" i="5"/>
  <c r="B532" i="5"/>
  <c r="B531" i="5"/>
  <c r="B530" i="5"/>
  <c r="B529" i="5"/>
  <c r="B528" i="5"/>
  <c r="B527" i="5"/>
  <c r="B526" i="5"/>
  <c r="B525" i="5"/>
  <c r="B524" i="5"/>
  <c r="B523" i="5"/>
  <c r="B522" i="5"/>
  <c r="B521" i="5"/>
  <c r="B520" i="5"/>
  <c r="B519" i="5"/>
  <c r="B518" i="5"/>
  <c r="B517" i="5"/>
  <c r="B516" i="5"/>
  <c r="B515" i="5"/>
  <c r="B514" i="5"/>
  <c r="B513" i="5"/>
  <c r="B512" i="5"/>
  <c r="B511" i="5"/>
  <c r="B510" i="5"/>
  <c r="B509" i="5"/>
  <c r="B508" i="5"/>
  <c r="B507" i="5"/>
  <c r="B506" i="5"/>
  <c r="B505" i="5"/>
  <c r="B504" i="5"/>
  <c r="B503" i="5"/>
  <c r="B502" i="5"/>
  <c r="B501" i="5"/>
  <c r="B500" i="5"/>
  <c r="B499" i="5"/>
  <c r="B498" i="5"/>
  <c r="B497" i="5"/>
  <c r="B496" i="5"/>
  <c r="B495" i="5"/>
  <c r="B494" i="5"/>
  <c r="B493" i="5"/>
  <c r="B492" i="5"/>
  <c r="B491" i="5"/>
  <c r="B490" i="5"/>
  <c r="B489" i="5"/>
  <c r="B488" i="5"/>
  <c r="B487" i="5"/>
  <c r="B486" i="5"/>
  <c r="B485" i="5"/>
  <c r="B484" i="5"/>
  <c r="B483" i="5"/>
  <c r="B482" i="5"/>
  <c r="B481" i="5"/>
  <c r="B480" i="5"/>
  <c r="B479" i="5"/>
  <c r="B478" i="5"/>
  <c r="B477" i="5"/>
  <c r="B476" i="5"/>
  <c r="B475" i="5"/>
  <c r="B474" i="5"/>
  <c r="B473" i="5"/>
  <c r="B472" i="5"/>
  <c r="B471" i="5"/>
  <c r="B470" i="5"/>
  <c r="B469" i="5"/>
  <c r="B468" i="5"/>
  <c r="B467" i="5"/>
  <c r="B466" i="5"/>
  <c r="B465" i="5"/>
  <c r="B464" i="5"/>
  <c r="B463" i="5"/>
  <c r="B462" i="5"/>
  <c r="B461" i="5"/>
  <c r="B460" i="5"/>
  <c r="B459" i="5"/>
  <c r="B458" i="5"/>
  <c r="B457" i="5"/>
  <c r="B456" i="5"/>
  <c r="B455" i="5"/>
  <c r="B454" i="5"/>
  <c r="B453" i="5"/>
  <c r="B452" i="5"/>
  <c r="B451" i="5"/>
  <c r="B450" i="5"/>
  <c r="B449" i="5"/>
  <c r="B448" i="5"/>
  <c r="B447" i="5"/>
  <c r="B446" i="5"/>
  <c r="B445" i="5"/>
  <c r="B444" i="5"/>
  <c r="B443" i="5"/>
  <c r="B442" i="5"/>
  <c r="B441" i="5"/>
  <c r="B440" i="5"/>
  <c r="B439" i="5"/>
  <c r="B438" i="5"/>
  <c r="B437" i="5"/>
  <c r="B436" i="5"/>
  <c r="B435" i="5"/>
  <c r="B434" i="5"/>
  <c r="B433" i="5"/>
  <c r="B432" i="5"/>
  <c r="B431" i="5"/>
  <c r="B430" i="5"/>
  <c r="B429" i="5"/>
  <c r="B428" i="5"/>
  <c r="B427" i="5"/>
  <c r="B426" i="5"/>
  <c r="B425" i="5"/>
  <c r="B424" i="5"/>
  <c r="B423" i="5"/>
  <c r="B422" i="5"/>
  <c r="B421" i="5"/>
  <c r="B420" i="5"/>
  <c r="B419" i="5"/>
  <c r="B418" i="5"/>
  <c r="B417" i="5"/>
  <c r="B416" i="5"/>
  <c r="B415" i="5"/>
  <c r="B414" i="5"/>
  <c r="B413" i="5"/>
  <c r="B412" i="5"/>
  <c r="B411" i="5"/>
  <c r="B410" i="5"/>
  <c r="B409" i="5"/>
  <c r="B408" i="5"/>
  <c r="B407" i="5"/>
  <c r="B406" i="5"/>
  <c r="B405" i="5"/>
  <c r="B404" i="5"/>
  <c r="B403" i="5"/>
  <c r="B402" i="5"/>
  <c r="B401" i="5"/>
  <c r="B400" i="5"/>
  <c r="B399" i="5"/>
  <c r="B398" i="5"/>
  <c r="B397" i="5"/>
  <c r="B396" i="5"/>
  <c r="B395" i="5"/>
  <c r="B394" i="5"/>
  <c r="B393" i="5"/>
  <c r="B392" i="5"/>
  <c r="B391" i="5"/>
  <c r="B390" i="5"/>
  <c r="B389" i="5"/>
  <c r="B388" i="5"/>
  <c r="B387" i="5"/>
  <c r="B386" i="5"/>
  <c r="B385" i="5"/>
  <c r="B384" i="5"/>
  <c r="B383" i="5"/>
  <c r="B382" i="5"/>
  <c r="B381" i="5"/>
  <c r="B380" i="5"/>
  <c r="B379" i="5"/>
  <c r="B378" i="5"/>
  <c r="B377" i="5"/>
  <c r="B376" i="5"/>
  <c r="B375" i="5"/>
  <c r="B374" i="5"/>
  <c r="B373" i="5"/>
  <c r="B372" i="5"/>
  <c r="B371" i="5"/>
  <c r="B370" i="5"/>
  <c r="B369" i="5"/>
  <c r="B368" i="5"/>
  <c r="B367" i="5"/>
  <c r="B366" i="5"/>
  <c r="B365" i="5"/>
  <c r="B364" i="5"/>
  <c r="B363" i="5"/>
  <c r="B362" i="5"/>
  <c r="B361" i="5"/>
  <c r="B360" i="5"/>
  <c r="B359" i="5"/>
  <c r="B358" i="5"/>
  <c r="B357" i="5"/>
  <c r="B356" i="5"/>
  <c r="B355" i="5"/>
  <c r="B354" i="5"/>
  <c r="B353" i="5"/>
  <c r="B352" i="5"/>
  <c r="B351" i="5"/>
  <c r="B350" i="5"/>
  <c r="B349" i="5"/>
  <c r="B348" i="5"/>
  <c r="B347" i="5"/>
  <c r="B346" i="5"/>
  <c r="B345" i="5"/>
  <c r="B344" i="5"/>
  <c r="B343" i="5"/>
  <c r="B342" i="5"/>
  <c r="B341" i="5"/>
  <c r="B340" i="5"/>
  <c r="B339" i="5"/>
  <c r="B338" i="5"/>
  <c r="B337" i="5"/>
  <c r="B336" i="5"/>
  <c r="B335" i="5"/>
  <c r="B334" i="5"/>
  <c r="B333" i="5"/>
  <c r="B332" i="5"/>
  <c r="B331" i="5"/>
  <c r="B330" i="5"/>
  <c r="B329" i="5"/>
  <c r="B328" i="5"/>
  <c r="B327" i="5"/>
  <c r="B326" i="5"/>
  <c r="B325" i="5"/>
  <c r="B324" i="5"/>
  <c r="B323" i="5"/>
  <c r="B322" i="5"/>
  <c r="B321" i="5"/>
  <c r="B320" i="5"/>
  <c r="B319" i="5"/>
  <c r="B318" i="5"/>
  <c r="B317" i="5"/>
  <c r="B316" i="5"/>
  <c r="B315" i="5"/>
  <c r="B314" i="5"/>
  <c r="B313" i="5"/>
  <c r="B312" i="5"/>
  <c r="B311" i="5"/>
  <c r="B310" i="5"/>
  <c r="B309" i="5"/>
  <c r="B308" i="5"/>
  <c r="B307" i="5"/>
  <c r="B306" i="5"/>
  <c r="B305" i="5"/>
  <c r="B304" i="5"/>
  <c r="B303" i="5"/>
  <c r="B302" i="5"/>
  <c r="B301" i="5"/>
  <c r="B300" i="5"/>
  <c r="B299" i="5"/>
  <c r="B298" i="5"/>
  <c r="B297" i="5"/>
  <c r="B296" i="5"/>
  <c r="B295" i="5"/>
  <c r="B294" i="5"/>
  <c r="B293" i="5"/>
  <c r="B292" i="5"/>
  <c r="B291" i="5"/>
  <c r="B290" i="5"/>
  <c r="B289" i="5"/>
  <c r="B288" i="5"/>
  <c r="B287" i="5"/>
  <c r="B286" i="5"/>
  <c r="B285" i="5"/>
  <c r="B284" i="5"/>
  <c r="B283" i="5"/>
  <c r="B282" i="5"/>
  <c r="B281" i="5"/>
  <c r="B280" i="5"/>
  <c r="B279" i="5"/>
  <c r="B278" i="5"/>
  <c r="B277" i="5"/>
  <c r="B276" i="5"/>
  <c r="B275" i="5"/>
  <c r="B274" i="5"/>
  <c r="B273" i="5"/>
  <c r="B272" i="5"/>
  <c r="B271" i="5"/>
  <c r="B270" i="5"/>
  <c r="B269" i="5"/>
  <c r="B268" i="5"/>
  <c r="B267" i="5"/>
  <c r="B266" i="5"/>
  <c r="B265" i="5"/>
  <c r="B264" i="5"/>
  <c r="B263" i="5"/>
  <c r="B262" i="5"/>
  <c r="B261" i="5"/>
  <c r="B260" i="5"/>
  <c r="B259" i="5"/>
  <c r="B258" i="5"/>
  <c r="B257" i="5"/>
  <c r="B256" i="5"/>
  <c r="B255" i="5"/>
  <c r="B254" i="5"/>
  <c r="B253" i="5"/>
  <c r="B252" i="5"/>
  <c r="B251" i="5"/>
  <c r="B250" i="5"/>
  <c r="B249" i="5"/>
  <c r="B248" i="5"/>
  <c r="B247" i="5"/>
  <c r="B246" i="5"/>
  <c r="B245" i="5"/>
  <c r="B244" i="5"/>
  <c r="B243" i="5"/>
  <c r="B242" i="5"/>
  <c r="B241" i="5"/>
  <c r="B240" i="5"/>
  <c r="B239" i="5"/>
  <c r="B238" i="5"/>
  <c r="B237" i="5"/>
  <c r="B236" i="5"/>
  <c r="B235" i="5"/>
  <c r="B234" i="5"/>
  <c r="B233" i="5"/>
  <c r="B232" i="5"/>
  <c r="B231" i="5"/>
  <c r="B230" i="5"/>
  <c r="B229" i="5"/>
  <c r="B228" i="5"/>
  <c r="B227" i="5"/>
  <c r="B226" i="5"/>
  <c r="B225" i="5"/>
  <c r="B224" i="5"/>
  <c r="B223" i="5"/>
  <c r="B222" i="5"/>
  <c r="B221" i="5"/>
  <c r="B220" i="5"/>
  <c r="B219" i="5"/>
  <c r="B218" i="5"/>
  <c r="B217" i="5"/>
  <c r="B216" i="5"/>
  <c r="B215" i="5"/>
  <c r="B214" i="5"/>
  <c r="B213" i="5"/>
  <c r="B212" i="5"/>
  <c r="B211" i="5"/>
  <c r="B210" i="5"/>
  <c r="B209" i="5"/>
  <c r="B208" i="5"/>
  <c r="B207" i="5"/>
  <c r="B206" i="5"/>
  <c r="B205" i="5"/>
  <c r="B204" i="5"/>
  <c r="B203" i="5"/>
  <c r="B202" i="5"/>
  <c r="B201" i="5"/>
  <c r="B200" i="5"/>
  <c r="B199" i="5"/>
  <c r="B198" i="5"/>
  <c r="B197" i="5"/>
  <c r="B196" i="5"/>
  <c r="B195" i="5"/>
  <c r="B194" i="5"/>
  <c r="B193" i="5"/>
  <c r="B192" i="5"/>
  <c r="B191" i="5"/>
  <c r="B190" i="5"/>
  <c r="B189" i="5"/>
  <c r="B188" i="5"/>
  <c r="B187" i="5"/>
  <c r="B186" i="5"/>
  <c r="B185" i="5"/>
  <c r="B184" i="5"/>
  <c r="B183" i="5"/>
  <c r="B182" i="5"/>
  <c r="B181" i="5"/>
  <c r="B180" i="5"/>
  <c r="B179" i="5"/>
  <c r="B178" i="5"/>
  <c r="B177" i="5"/>
  <c r="B176" i="5"/>
  <c r="B175" i="5"/>
  <c r="B174" i="5"/>
  <c r="B173" i="5"/>
  <c r="B172" i="5"/>
  <c r="B171" i="5"/>
  <c r="B170" i="5"/>
  <c r="B169" i="5"/>
  <c r="B168" i="5"/>
  <c r="B167" i="5"/>
  <c r="B166" i="5"/>
  <c r="B165" i="5"/>
  <c r="B164" i="5"/>
  <c r="B163" i="5"/>
  <c r="B162" i="5"/>
  <c r="B161" i="5"/>
  <c r="B160" i="5"/>
  <c r="B159" i="5"/>
  <c r="B158" i="5"/>
  <c r="B157" i="5"/>
  <c r="B156" i="5"/>
  <c r="B155" i="5"/>
  <c r="B154" i="5"/>
  <c r="B153" i="5"/>
  <c r="B152" i="5"/>
  <c r="B151" i="5"/>
  <c r="B150" i="5"/>
  <c r="B149" i="5"/>
  <c r="B148" i="5"/>
  <c r="B147" i="5"/>
  <c r="B146" i="5"/>
  <c r="B145" i="5"/>
  <c r="B144" i="5"/>
  <c r="B143" i="5"/>
  <c r="B142" i="5"/>
  <c r="B141" i="5"/>
  <c r="B140" i="5"/>
  <c r="B139" i="5"/>
  <c r="B138" i="5"/>
  <c r="B137" i="5"/>
  <c r="B136" i="5"/>
  <c r="B135" i="5"/>
  <c r="B134" i="5"/>
  <c r="B133" i="5"/>
  <c r="B132" i="5"/>
  <c r="B131" i="5"/>
  <c r="B130" i="5"/>
  <c r="B129" i="5"/>
  <c r="B128" i="5"/>
  <c r="B127" i="5"/>
  <c r="B126" i="5"/>
  <c r="B125" i="5"/>
  <c r="B124" i="5"/>
  <c r="B123" i="5"/>
  <c r="B122" i="5"/>
  <c r="B121" i="5"/>
  <c r="B120" i="5"/>
  <c r="B119" i="5"/>
  <c r="B118" i="5"/>
  <c r="B117" i="5"/>
  <c r="B116" i="5"/>
  <c r="B115" i="5"/>
  <c r="B114" i="5"/>
  <c r="B113" i="5"/>
  <c r="B112" i="5"/>
  <c r="B111" i="5"/>
  <c r="B110" i="5"/>
  <c r="B109" i="5"/>
  <c r="B108" i="5"/>
  <c r="B107" i="5"/>
  <c r="B106" i="5"/>
  <c r="B105" i="5"/>
  <c r="B104" i="5"/>
  <c r="B103" i="5"/>
  <c r="B102" i="5"/>
  <c r="B101" i="5"/>
  <c r="B100" i="5"/>
  <c r="B99" i="5"/>
  <c r="B98" i="5"/>
  <c r="B97" i="5"/>
  <c r="B96" i="5"/>
  <c r="B95" i="5"/>
  <c r="B94" i="5"/>
  <c r="B93" i="5"/>
  <c r="B92" i="5"/>
  <c r="B91" i="5"/>
  <c r="B90" i="5"/>
  <c r="B89" i="5"/>
  <c r="B88" i="5"/>
  <c r="B87" i="5"/>
  <c r="B86" i="5"/>
  <c r="B85" i="5"/>
  <c r="B84" i="5"/>
  <c r="B83" i="5"/>
  <c r="B82" i="5"/>
  <c r="B81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B63" i="5"/>
  <c r="B62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  <c r="B4" i="5"/>
  <c r="B3" i="5"/>
  <c r="B2" i="5"/>
  <c r="M2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322" i="4"/>
  <c r="M323" i="4"/>
  <c r="M324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404" i="4"/>
  <c r="M405" i="4"/>
  <c r="M406" i="4"/>
  <c r="M407" i="4"/>
  <c r="M408" i="4"/>
  <c r="M409" i="4"/>
  <c r="M410" i="4"/>
  <c r="M411" i="4"/>
  <c r="M412" i="4"/>
  <c r="M413" i="4"/>
  <c r="M414" i="4"/>
  <c r="M415" i="4"/>
  <c r="M416" i="4"/>
  <c r="M417" i="4"/>
  <c r="M418" i="4"/>
  <c r="M419" i="4"/>
  <c r="M420" i="4"/>
  <c r="M421" i="4"/>
  <c r="M422" i="4"/>
  <c r="M423" i="4"/>
  <c r="M424" i="4"/>
  <c r="M425" i="4"/>
  <c r="M426" i="4"/>
  <c r="M427" i="4"/>
  <c r="M428" i="4"/>
  <c r="M429" i="4"/>
  <c r="M430" i="4"/>
  <c r="M431" i="4"/>
  <c r="M432" i="4"/>
  <c r="M433" i="4"/>
  <c r="M434" i="4"/>
  <c r="M435" i="4"/>
  <c r="M436" i="4"/>
  <c r="M437" i="4"/>
  <c r="M438" i="4"/>
  <c r="M439" i="4"/>
  <c r="M440" i="4"/>
  <c r="M441" i="4"/>
  <c r="M442" i="4"/>
  <c r="M443" i="4"/>
  <c r="M444" i="4"/>
  <c r="M445" i="4"/>
  <c r="M446" i="4"/>
  <c r="M447" i="4"/>
  <c r="M448" i="4"/>
  <c r="M449" i="4"/>
  <c r="M450" i="4"/>
  <c r="M451" i="4"/>
  <c r="M452" i="4"/>
  <c r="M453" i="4"/>
  <c r="M454" i="4"/>
  <c r="M455" i="4"/>
  <c r="M456" i="4"/>
  <c r="M457" i="4"/>
  <c r="M458" i="4"/>
  <c r="M459" i="4"/>
  <c r="M460" i="4"/>
  <c r="M461" i="4"/>
  <c r="M462" i="4"/>
  <c r="M463" i="4"/>
  <c r="M464" i="4"/>
  <c r="M465" i="4"/>
  <c r="M466" i="4"/>
  <c r="M467" i="4"/>
  <c r="M468" i="4"/>
  <c r="M469" i="4"/>
  <c r="M470" i="4"/>
  <c r="M471" i="4"/>
  <c r="M472" i="4"/>
  <c r="M473" i="4"/>
  <c r="M474" i="4"/>
  <c r="M475" i="4"/>
  <c r="M476" i="4"/>
  <c r="M477" i="4"/>
  <c r="M478" i="4"/>
  <c r="M479" i="4"/>
  <c r="M480" i="4"/>
  <c r="M481" i="4"/>
  <c r="M482" i="4"/>
  <c r="M483" i="4"/>
  <c r="M484" i="4"/>
  <c r="M485" i="4"/>
  <c r="M486" i="4"/>
  <c r="M487" i="4"/>
  <c r="M488" i="4"/>
  <c r="M489" i="4"/>
  <c r="M490" i="4"/>
  <c r="M491" i="4"/>
  <c r="M492" i="4"/>
  <c r="M493" i="4"/>
  <c r="M494" i="4"/>
  <c r="M495" i="4"/>
  <c r="M496" i="4"/>
  <c r="M497" i="4"/>
  <c r="M498" i="4"/>
  <c r="M499" i="4"/>
  <c r="M500" i="4"/>
  <c r="M501" i="4"/>
  <c r="M502" i="4"/>
  <c r="M503" i="4"/>
  <c r="M504" i="4"/>
  <c r="M505" i="4"/>
  <c r="M506" i="4"/>
  <c r="M507" i="4"/>
  <c r="M508" i="4"/>
  <c r="M509" i="4"/>
  <c r="M510" i="4"/>
  <c r="M511" i="4"/>
  <c r="M512" i="4"/>
  <c r="M513" i="4"/>
  <c r="M514" i="4"/>
  <c r="M515" i="4"/>
  <c r="M516" i="4"/>
  <c r="M517" i="4"/>
  <c r="M518" i="4"/>
  <c r="M519" i="4"/>
  <c r="M520" i="4"/>
  <c r="M521" i="4"/>
  <c r="M522" i="4"/>
  <c r="M523" i="4"/>
  <c r="M524" i="4"/>
  <c r="M525" i="4"/>
  <c r="M526" i="4"/>
  <c r="M527" i="4"/>
  <c r="M528" i="4"/>
  <c r="M529" i="4"/>
  <c r="M530" i="4"/>
  <c r="M531" i="4"/>
  <c r="M532" i="4"/>
  <c r="M533" i="4"/>
  <c r="M534" i="4"/>
  <c r="M535" i="4"/>
  <c r="M536" i="4"/>
  <c r="M537" i="4"/>
  <c r="M538" i="4"/>
  <c r="M539" i="4"/>
  <c r="M540" i="4"/>
  <c r="M541" i="4"/>
  <c r="M542" i="4"/>
  <c r="M543" i="4"/>
  <c r="M544" i="4"/>
  <c r="M545" i="4"/>
  <c r="M546" i="4"/>
  <c r="M547" i="4"/>
  <c r="M548" i="4"/>
  <c r="M549" i="4"/>
  <c r="M550" i="4"/>
  <c r="M551" i="4"/>
  <c r="M552" i="4"/>
  <c r="M553" i="4"/>
  <c r="M554" i="4"/>
  <c r="M555" i="4"/>
  <c r="M556" i="4"/>
  <c r="M557" i="4"/>
  <c r="M558" i="4"/>
  <c r="M559" i="4"/>
  <c r="M560" i="4"/>
  <c r="M561" i="4"/>
  <c r="M562" i="4"/>
  <c r="M563" i="4"/>
  <c r="M564" i="4"/>
  <c r="M565" i="4"/>
  <c r="M566" i="4"/>
  <c r="M567" i="4"/>
  <c r="M568" i="4"/>
  <c r="M569" i="4"/>
  <c r="M570" i="4"/>
  <c r="M571" i="4"/>
  <c r="M572" i="4"/>
  <c r="M573" i="4"/>
  <c r="M574" i="4"/>
  <c r="M575" i="4"/>
  <c r="M576" i="4"/>
  <c r="M577" i="4"/>
  <c r="M578" i="4"/>
  <c r="M579" i="4"/>
  <c r="M580" i="4"/>
  <c r="M581" i="4"/>
  <c r="M582" i="4"/>
  <c r="M583" i="4"/>
  <c r="M584" i="4"/>
  <c r="M585" i="4"/>
  <c r="M586" i="4"/>
  <c r="M587" i="4"/>
  <c r="M588" i="4"/>
  <c r="M589" i="4"/>
  <c r="M590" i="4"/>
  <c r="M591" i="4"/>
  <c r="M592" i="4"/>
  <c r="M593" i="4"/>
  <c r="M594" i="4"/>
  <c r="M595" i="4"/>
  <c r="M596" i="4"/>
  <c r="M597" i="4"/>
  <c r="M598" i="4"/>
  <c r="M599" i="4"/>
  <c r="M600" i="4"/>
  <c r="M601" i="4"/>
  <c r="M602" i="4"/>
  <c r="M603" i="4"/>
  <c r="M604" i="4"/>
  <c r="M605" i="4"/>
  <c r="M606" i="4"/>
  <c r="M607" i="4"/>
  <c r="M608" i="4"/>
  <c r="M609" i="4"/>
  <c r="M610" i="4"/>
  <c r="M611" i="4"/>
  <c r="M612" i="4"/>
  <c r="M613" i="4"/>
  <c r="M614" i="4"/>
  <c r="M615" i="4"/>
  <c r="M616" i="4"/>
  <c r="M617" i="4"/>
  <c r="M618" i="4"/>
  <c r="M619" i="4"/>
  <c r="M620" i="4"/>
  <c r="M621" i="4"/>
  <c r="M622" i="4"/>
  <c r="M623" i="4"/>
  <c r="M624" i="4"/>
  <c r="M625" i="4"/>
  <c r="M626" i="4"/>
  <c r="M627" i="4"/>
  <c r="M628" i="4"/>
  <c r="M629" i="4"/>
  <c r="M630" i="4"/>
  <c r="M631" i="4"/>
  <c r="M632" i="4"/>
  <c r="M633" i="4"/>
  <c r="M634" i="4"/>
  <c r="M635" i="4"/>
  <c r="M636" i="4"/>
  <c r="M637" i="4"/>
  <c r="M638" i="4"/>
  <c r="M639" i="4"/>
  <c r="M640" i="4"/>
  <c r="M641" i="4"/>
  <c r="M642" i="4"/>
  <c r="M643" i="4"/>
  <c r="M644" i="4"/>
  <c r="M645" i="4"/>
  <c r="M646" i="4"/>
  <c r="M647" i="4"/>
  <c r="M648" i="4"/>
  <c r="M649" i="4"/>
  <c r="M650" i="4"/>
  <c r="M651" i="4"/>
  <c r="M652" i="4"/>
  <c r="M653" i="4"/>
  <c r="M654" i="4"/>
  <c r="M655" i="4"/>
  <c r="M656" i="4"/>
  <c r="M657" i="4"/>
  <c r="M658" i="4"/>
  <c r="M659" i="4"/>
  <c r="M660" i="4"/>
  <c r="M661" i="4"/>
  <c r="M662" i="4"/>
  <c r="M663" i="4"/>
  <c r="M664" i="4"/>
  <c r="M665" i="4"/>
  <c r="M666" i="4"/>
  <c r="M667" i="4"/>
  <c r="M668" i="4"/>
  <c r="M669" i="4"/>
  <c r="M670" i="4"/>
  <c r="M671" i="4"/>
  <c r="M672" i="4"/>
  <c r="M673" i="4"/>
  <c r="M674" i="4"/>
  <c r="M675" i="4"/>
  <c r="M676" i="4"/>
  <c r="M677" i="4"/>
  <c r="M678" i="4"/>
  <c r="M679" i="4"/>
  <c r="M680" i="4"/>
  <c r="M681" i="4"/>
  <c r="M682" i="4"/>
  <c r="M683" i="4"/>
  <c r="M684" i="4"/>
  <c r="M685" i="4"/>
  <c r="M686" i="4"/>
  <c r="M687" i="4"/>
  <c r="M688" i="4"/>
  <c r="M689" i="4"/>
  <c r="M690" i="4"/>
  <c r="M691" i="4"/>
  <c r="M692" i="4"/>
  <c r="M693" i="4"/>
  <c r="M694" i="4"/>
  <c r="M695" i="4"/>
  <c r="M696" i="4"/>
  <c r="M697" i="4"/>
  <c r="M698" i="4"/>
  <c r="M699" i="4"/>
  <c r="M700" i="4"/>
  <c r="M701" i="4"/>
  <c r="M702" i="4"/>
  <c r="M703" i="4"/>
  <c r="M704" i="4"/>
  <c r="M705" i="4"/>
  <c r="M706" i="4"/>
  <c r="M707" i="4"/>
  <c r="M708" i="4"/>
  <c r="M709" i="4"/>
  <c r="M710" i="4"/>
  <c r="M711" i="4"/>
  <c r="M712" i="4"/>
  <c r="M713" i="4"/>
  <c r="M714" i="4"/>
  <c r="M715" i="4"/>
  <c r="M716" i="4"/>
  <c r="M717" i="4"/>
  <c r="M718" i="4"/>
  <c r="M719" i="4"/>
  <c r="M720" i="4"/>
  <c r="M721" i="4"/>
  <c r="M722" i="4"/>
  <c r="M723" i="4"/>
  <c r="M724" i="4"/>
  <c r="M725" i="4"/>
  <c r="M726" i="4"/>
  <c r="M727" i="4"/>
  <c r="M728" i="4"/>
  <c r="M729" i="4"/>
  <c r="M730" i="4"/>
  <c r="M731" i="4"/>
  <c r="M732" i="4"/>
  <c r="M733" i="4"/>
  <c r="M734" i="4"/>
  <c r="M735" i="4"/>
  <c r="M736" i="4"/>
  <c r="M737" i="4"/>
  <c r="M738" i="4"/>
  <c r="M739" i="4"/>
  <c r="M740" i="4"/>
  <c r="M741" i="4"/>
  <c r="M742" i="4"/>
  <c r="M743" i="4"/>
  <c r="M744" i="4"/>
  <c r="M745" i="4"/>
  <c r="M746" i="4"/>
  <c r="M747" i="4"/>
  <c r="M748" i="4"/>
  <c r="M749" i="4"/>
  <c r="M750" i="4"/>
  <c r="M751" i="4"/>
  <c r="M752" i="4"/>
  <c r="M753" i="4"/>
  <c r="M754" i="4"/>
  <c r="M755" i="4"/>
  <c r="M756" i="4"/>
  <c r="M757" i="4"/>
  <c r="M758" i="4"/>
  <c r="M759" i="4"/>
  <c r="M760" i="4"/>
  <c r="M761" i="4"/>
  <c r="M762" i="4"/>
  <c r="M763" i="4"/>
  <c r="M764" i="4"/>
  <c r="M765" i="4"/>
  <c r="M766" i="4"/>
  <c r="M767" i="4"/>
  <c r="M768" i="4"/>
  <c r="M769" i="4"/>
  <c r="M770" i="4"/>
  <c r="M771" i="4"/>
  <c r="M772" i="4"/>
  <c r="M773" i="4"/>
  <c r="M774" i="4"/>
  <c r="M775" i="4"/>
  <c r="M776" i="4"/>
  <c r="M777" i="4"/>
  <c r="M778" i="4"/>
  <c r="M779" i="4"/>
  <c r="M780" i="4"/>
  <c r="M781" i="4"/>
  <c r="M782" i="4"/>
  <c r="M783" i="4"/>
  <c r="M784" i="4"/>
  <c r="M785" i="4"/>
  <c r="M786" i="4"/>
  <c r="M787" i="4"/>
  <c r="M788" i="4"/>
  <c r="M789" i="4"/>
  <c r="M790" i="4"/>
  <c r="M791" i="4"/>
  <c r="M792" i="4"/>
  <c r="M793" i="4"/>
  <c r="M794" i="4"/>
  <c r="M795" i="4"/>
  <c r="M796" i="4"/>
  <c r="M797" i="4"/>
  <c r="M798" i="4"/>
  <c r="M799" i="4"/>
  <c r="M800" i="4"/>
  <c r="M801" i="4"/>
  <c r="M802" i="4"/>
  <c r="M803" i="4"/>
  <c r="M804" i="4"/>
  <c r="M805" i="4"/>
  <c r="M806" i="4"/>
  <c r="M807" i="4"/>
  <c r="M808" i="4"/>
  <c r="M809" i="4"/>
  <c r="M810" i="4"/>
  <c r="M811" i="4"/>
  <c r="M812" i="4"/>
  <c r="M813" i="4"/>
  <c r="M814" i="4"/>
  <c r="M815" i="4"/>
  <c r="M816" i="4"/>
  <c r="M817" i="4"/>
  <c r="M818" i="4"/>
  <c r="M819" i="4"/>
  <c r="M820" i="4"/>
  <c r="M821" i="4"/>
  <c r="M822" i="4"/>
  <c r="M823" i="4"/>
  <c r="M824" i="4"/>
  <c r="M825" i="4"/>
  <c r="M826" i="4"/>
  <c r="M827" i="4"/>
  <c r="M828" i="4"/>
  <c r="M829" i="4"/>
  <c r="M830" i="4"/>
  <c r="M831" i="4"/>
  <c r="M832" i="4"/>
  <c r="M833" i="4"/>
  <c r="M834" i="4"/>
  <c r="M835" i="4"/>
  <c r="M836" i="4"/>
  <c r="M837" i="4"/>
  <c r="M838" i="4"/>
  <c r="M839" i="4"/>
  <c r="M840" i="4"/>
  <c r="M841" i="4"/>
  <c r="M842" i="4"/>
  <c r="M843" i="4"/>
  <c r="M844" i="4"/>
  <c r="M845" i="4"/>
  <c r="M846" i="4"/>
  <c r="M847" i="4"/>
  <c r="M848" i="4"/>
  <c r="M849" i="4"/>
  <c r="M850" i="4"/>
  <c r="M851" i="4"/>
  <c r="M852" i="4"/>
  <c r="M853" i="4"/>
  <c r="M854" i="4"/>
  <c r="M855" i="4"/>
  <c r="M856" i="4"/>
  <c r="M857" i="4"/>
  <c r="M858" i="4"/>
  <c r="M859" i="4"/>
  <c r="M860" i="4"/>
  <c r="M861" i="4"/>
  <c r="M862" i="4"/>
  <c r="M863" i="4"/>
  <c r="M864" i="4"/>
  <c r="M865" i="4"/>
  <c r="M866" i="4"/>
  <c r="M867" i="4"/>
  <c r="M868" i="4"/>
  <c r="M869" i="4"/>
  <c r="M870" i="4"/>
  <c r="M871" i="4"/>
  <c r="M872" i="4"/>
  <c r="M873" i="4"/>
  <c r="M874" i="4"/>
  <c r="M875" i="4"/>
  <c r="M876" i="4"/>
  <c r="M877" i="4"/>
  <c r="M878" i="4"/>
  <c r="M879" i="4"/>
  <c r="M880" i="4"/>
  <c r="M881" i="4"/>
  <c r="M882" i="4"/>
  <c r="M883" i="4"/>
  <c r="M884" i="4"/>
  <c r="M885" i="4"/>
  <c r="M886" i="4"/>
  <c r="M887" i="4"/>
  <c r="M888" i="4"/>
  <c r="M889" i="4"/>
  <c r="M890" i="4"/>
  <c r="M891" i="4"/>
  <c r="M892" i="4"/>
  <c r="M893" i="4"/>
  <c r="M894" i="4"/>
  <c r="M895" i="4"/>
  <c r="M896" i="4"/>
  <c r="M897" i="4"/>
  <c r="M898" i="4"/>
  <c r="M899" i="4"/>
  <c r="M900" i="4"/>
  <c r="M901" i="4"/>
  <c r="M902" i="4"/>
  <c r="M903" i="4"/>
  <c r="M904" i="4"/>
  <c r="M905" i="4"/>
  <c r="M906" i="4"/>
  <c r="M907" i="4"/>
  <c r="M908" i="4"/>
  <c r="M909" i="4"/>
  <c r="M910" i="4"/>
  <c r="M911" i="4"/>
  <c r="M912" i="4"/>
  <c r="M913" i="4"/>
  <c r="M914" i="4"/>
  <c r="M915" i="4"/>
  <c r="M916" i="4"/>
  <c r="M917" i="4"/>
  <c r="M918" i="4"/>
  <c r="M919" i="4"/>
  <c r="M920" i="4"/>
  <c r="M921" i="4"/>
  <c r="M922" i="4"/>
  <c r="M923" i="4"/>
  <c r="M924" i="4"/>
  <c r="M925" i="4"/>
  <c r="M926" i="4"/>
  <c r="M927" i="4"/>
  <c r="M928" i="4"/>
  <c r="M929" i="4"/>
  <c r="M930" i="4"/>
  <c r="M931" i="4"/>
  <c r="M932" i="4"/>
  <c r="M933" i="4"/>
  <c r="M934" i="4"/>
  <c r="M935" i="4"/>
  <c r="M936" i="4"/>
  <c r="M937" i="4"/>
  <c r="M938" i="4"/>
  <c r="M939" i="4"/>
  <c r="M940" i="4"/>
  <c r="M941" i="4"/>
  <c r="M942" i="4"/>
  <c r="M943" i="4"/>
  <c r="M944" i="4"/>
  <c r="M945" i="4"/>
  <c r="M946" i="4"/>
  <c r="M947" i="4"/>
  <c r="M948" i="4"/>
  <c r="M949" i="4"/>
  <c r="M950" i="4"/>
  <c r="M951" i="4"/>
  <c r="M952" i="4"/>
  <c r="M953" i="4"/>
  <c r="M954" i="4"/>
  <c r="M955" i="4"/>
  <c r="M956" i="4"/>
  <c r="M957" i="4"/>
  <c r="M958" i="4"/>
  <c r="M959" i="4"/>
  <c r="M960" i="4"/>
  <c r="M961" i="4"/>
  <c r="M962" i="4"/>
  <c r="M963" i="4"/>
  <c r="M964" i="4"/>
  <c r="M965" i="4"/>
  <c r="M966" i="4"/>
  <c r="M967" i="4"/>
  <c r="M968" i="4"/>
  <c r="M969" i="4"/>
  <c r="M970" i="4"/>
  <c r="M971" i="4"/>
  <c r="M972" i="4"/>
  <c r="M973" i="4"/>
  <c r="M974" i="4"/>
  <c r="M975" i="4"/>
  <c r="M976" i="4"/>
  <c r="M977" i="4"/>
  <c r="M978" i="4"/>
  <c r="M979" i="4"/>
  <c r="M980" i="4"/>
  <c r="M981" i="4"/>
  <c r="M982" i="4"/>
  <c r="M983" i="4"/>
  <c r="M984" i="4"/>
  <c r="M985" i="4"/>
  <c r="M986" i="4"/>
  <c r="M987" i="4"/>
  <c r="M988" i="4"/>
  <c r="M989" i="4"/>
  <c r="M990" i="4"/>
  <c r="M991" i="4"/>
  <c r="M992" i="4"/>
  <c r="M993" i="4"/>
  <c r="M994" i="4"/>
  <c r="M995" i="4"/>
  <c r="M996" i="4"/>
  <c r="M997" i="4"/>
  <c r="M998" i="4"/>
  <c r="M999" i="4"/>
  <c r="M1000" i="4"/>
  <c r="M1001" i="4"/>
  <c r="M1002" i="4"/>
  <c r="M1003" i="4"/>
  <c r="M1004" i="4"/>
  <c r="M1005" i="4"/>
  <c r="M1006" i="4"/>
  <c r="M1007" i="4"/>
  <c r="M1008" i="4"/>
  <c r="M1009" i="4"/>
  <c r="M1010" i="4"/>
  <c r="M1011" i="4"/>
  <c r="M1012" i="4"/>
  <c r="M1013" i="4"/>
  <c r="M1014" i="4"/>
  <c r="M1015" i="4"/>
  <c r="M1016" i="4"/>
  <c r="M1017" i="4"/>
  <c r="M1018" i="4"/>
  <c r="M1019" i="4"/>
  <c r="M1020" i="4"/>
  <c r="M1021" i="4"/>
  <c r="L2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70" i="4"/>
  <c r="L171" i="4"/>
  <c r="L172" i="4"/>
  <c r="L173" i="4"/>
  <c r="L174" i="4"/>
  <c r="L175" i="4"/>
  <c r="L176" i="4"/>
  <c r="L177" i="4"/>
  <c r="L178" i="4"/>
  <c r="L179" i="4"/>
  <c r="L180" i="4"/>
  <c r="L181" i="4"/>
  <c r="L182" i="4"/>
  <c r="L183" i="4"/>
  <c r="L184" i="4"/>
  <c r="L185" i="4"/>
  <c r="L186" i="4"/>
  <c r="L187" i="4"/>
  <c r="L188" i="4"/>
  <c r="L189" i="4"/>
  <c r="L190" i="4"/>
  <c r="L191" i="4"/>
  <c r="L192" i="4"/>
  <c r="L193" i="4"/>
  <c r="L194" i="4"/>
  <c r="L195" i="4"/>
  <c r="L196" i="4"/>
  <c r="L197" i="4"/>
  <c r="L198" i="4"/>
  <c r="L199" i="4"/>
  <c r="L200" i="4"/>
  <c r="L201" i="4"/>
  <c r="L202" i="4"/>
  <c r="L203" i="4"/>
  <c r="L204" i="4"/>
  <c r="L205" i="4"/>
  <c r="L206" i="4"/>
  <c r="L207" i="4"/>
  <c r="L208" i="4"/>
  <c r="L209" i="4"/>
  <c r="L210" i="4"/>
  <c r="L211" i="4"/>
  <c r="L212" i="4"/>
  <c r="L213" i="4"/>
  <c r="L214" i="4"/>
  <c r="L215" i="4"/>
  <c r="L216" i="4"/>
  <c r="L217" i="4"/>
  <c r="L218" i="4"/>
  <c r="L219" i="4"/>
  <c r="L220" i="4"/>
  <c r="L221" i="4"/>
  <c r="L222" i="4"/>
  <c r="L223" i="4"/>
  <c r="L224" i="4"/>
  <c r="L225" i="4"/>
  <c r="L226" i="4"/>
  <c r="L227" i="4"/>
  <c r="L228" i="4"/>
  <c r="L229" i="4"/>
  <c r="L230" i="4"/>
  <c r="L231" i="4"/>
  <c r="L232" i="4"/>
  <c r="L233" i="4"/>
  <c r="L234" i="4"/>
  <c r="L235" i="4"/>
  <c r="L236" i="4"/>
  <c r="L237" i="4"/>
  <c r="L238" i="4"/>
  <c r="L239" i="4"/>
  <c r="L240" i="4"/>
  <c r="L241" i="4"/>
  <c r="L242" i="4"/>
  <c r="L243" i="4"/>
  <c r="L244" i="4"/>
  <c r="L245" i="4"/>
  <c r="L246" i="4"/>
  <c r="L247" i="4"/>
  <c r="L248" i="4"/>
  <c r="L249" i="4"/>
  <c r="L250" i="4"/>
  <c r="L251" i="4"/>
  <c r="L252" i="4"/>
  <c r="L253" i="4"/>
  <c r="L254" i="4"/>
  <c r="L255" i="4"/>
  <c r="L256" i="4"/>
  <c r="L257" i="4"/>
  <c r="L258" i="4"/>
  <c r="L259" i="4"/>
  <c r="L260" i="4"/>
  <c r="L261" i="4"/>
  <c r="L262" i="4"/>
  <c r="L263" i="4"/>
  <c r="L264" i="4"/>
  <c r="L265" i="4"/>
  <c r="L266" i="4"/>
  <c r="L267" i="4"/>
  <c r="L268" i="4"/>
  <c r="L269" i="4"/>
  <c r="L270" i="4"/>
  <c r="L271" i="4"/>
  <c r="L272" i="4"/>
  <c r="L273" i="4"/>
  <c r="L274" i="4"/>
  <c r="L275" i="4"/>
  <c r="L276" i="4"/>
  <c r="L277" i="4"/>
  <c r="L278" i="4"/>
  <c r="L279" i="4"/>
  <c r="L280" i="4"/>
  <c r="L281" i="4"/>
  <c r="L282" i="4"/>
  <c r="L283" i="4"/>
  <c r="L284" i="4"/>
  <c r="L285" i="4"/>
  <c r="L286" i="4"/>
  <c r="L287" i="4"/>
  <c r="L288" i="4"/>
  <c r="L289" i="4"/>
  <c r="L290" i="4"/>
  <c r="L291" i="4"/>
  <c r="L292" i="4"/>
  <c r="L293" i="4"/>
  <c r="L294" i="4"/>
  <c r="L295" i="4"/>
  <c r="L296" i="4"/>
  <c r="L297" i="4"/>
  <c r="L298" i="4"/>
  <c r="L299" i="4"/>
  <c r="L300" i="4"/>
  <c r="L301" i="4"/>
  <c r="L302" i="4"/>
  <c r="L303" i="4"/>
  <c r="L304" i="4"/>
  <c r="L305" i="4"/>
  <c r="L306" i="4"/>
  <c r="L307" i="4"/>
  <c r="L308" i="4"/>
  <c r="L309" i="4"/>
  <c r="L310" i="4"/>
  <c r="L311" i="4"/>
  <c r="L312" i="4"/>
  <c r="L313" i="4"/>
  <c r="L314" i="4"/>
  <c r="L315" i="4"/>
  <c r="L316" i="4"/>
  <c r="L317" i="4"/>
  <c r="L318" i="4"/>
  <c r="L319" i="4"/>
  <c r="L320" i="4"/>
  <c r="L321" i="4"/>
  <c r="L322" i="4"/>
  <c r="L323" i="4"/>
  <c r="L324" i="4"/>
  <c r="L325" i="4"/>
  <c r="L326" i="4"/>
  <c r="L327" i="4"/>
  <c r="L328" i="4"/>
  <c r="L329" i="4"/>
  <c r="L330" i="4"/>
  <c r="L331" i="4"/>
  <c r="L332" i="4"/>
  <c r="L333" i="4"/>
  <c r="L334" i="4"/>
  <c r="L335" i="4"/>
  <c r="L336" i="4"/>
  <c r="L337" i="4"/>
  <c r="L338" i="4"/>
  <c r="L339" i="4"/>
  <c r="L340" i="4"/>
  <c r="L341" i="4"/>
  <c r="L342" i="4"/>
  <c r="L343" i="4"/>
  <c r="L344" i="4"/>
  <c r="L345" i="4"/>
  <c r="L346" i="4"/>
  <c r="L347" i="4"/>
  <c r="L348" i="4"/>
  <c r="L349" i="4"/>
  <c r="L350" i="4"/>
  <c r="L351" i="4"/>
  <c r="L352" i="4"/>
  <c r="L353" i="4"/>
  <c r="L354" i="4"/>
  <c r="L355" i="4"/>
  <c r="L356" i="4"/>
  <c r="L357" i="4"/>
  <c r="L358" i="4"/>
  <c r="L359" i="4"/>
  <c r="L360" i="4"/>
  <c r="L361" i="4"/>
  <c r="L362" i="4"/>
  <c r="L363" i="4"/>
  <c r="L364" i="4"/>
  <c r="L365" i="4"/>
  <c r="L366" i="4"/>
  <c r="L367" i="4"/>
  <c r="L368" i="4"/>
  <c r="L369" i="4"/>
  <c r="L370" i="4"/>
  <c r="L371" i="4"/>
  <c r="L372" i="4"/>
  <c r="L373" i="4"/>
  <c r="L374" i="4"/>
  <c r="L375" i="4"/>
  <c r="L376" i="4"/>
  <c r="L377" i="4"/>
  <c r="L378" i="4"/>
  <c r="L379" i="4"/>
  <c r="L380" i="4"/>
  <c r="L381" i="4"/>
  <c r="L382" i="4"/>
  <c r="L383" i="4"/>
  <c r="L384" i="4"/>
  <c r="L385" i="4"/>
  <c r="L386" i="4"/>
  <c r="L387" i="4"/>
  <c r="L388" i="4"/>
  <c r="L389" i="4"/>
  <c r="L390" i="4"/>
  <c r="L391" i="4"/>
  <c r="L392" i="4"/>
  <c r="L393" i="4"/>
  <c r="L394" i="4"/>
  <c r="L395" i="4"/>
  <c r="L396" i="4"/>
  <c r="L397" i="4"/>
  <c r="L398" i="4"/>
  <c r="L399" i="4"/>
  <c r="L400" i="4"/>
  <c r="L401" i="4"/>
  <c r="L402" i="4"/>
  <c r="L403" i="4"/>
  <c r="L404" i="4"/>
  <c r="L405" i="4"/>
  <c r="L406" i="4"/>
  <c r="L407" i="4"/>
  <c r="L408" i="4"/>
  <c r="L409" i="4"/>
  <c r="L410" i="4"/>
  <c r="L411" i="4"/>
  <c r="L412" i="4"/>
  <c r="L413" i="4"/>
  <c r="L414" i="4"/>
  <c r="L415" i="4"/>
  <c r="L416" i="4"/>
  <c r="L417" i="4"/>
  <c r="L418" i="4"/>
  <c r="L419" i="4"/>
  <c r="L420" i="4"/>
  <c r="L421" i="4"/>
  <c r="L422" i="4"/>
  <c r="L423" i="4"/>
  <c r="L424" i="4"/>
  <c r="L425" i="4"/>
  <c r="L426" i="4"/>
  <c r="L427" i="4"/>
  <c r="L428" i="4"/>
  <c r="L429" i="4"/>
  <c r="L430" i="4"/>
  <c r="L431" i="4"/>
  <c r="L432" i="4"/>
  <c r="L433" i="4"/>
  <c r="L434" i="4"/>
  <c r="L435" i="4"/>
  <c r="L436" i="4"/>
  <c r="L437" i="4"/>
  <c r="L438" i="4"/>
  <c r="L439" i="4"/>
  <c r="L440" i="4"/>
  <c r="L441" i="4"/>
  <c r="L442" i="4"/>
  <c r="L443" i="4"/>
  <c r="L444" i="4"/>
  <c r="L445" i="4"/>
  <c r="L446" i="4"/>
  <c r="L447" i="4"/>
  <c r="L448" i="4"/>
  <c r="L449" i="4"/>
  <c r="L450" i="4"/>
  <c r="L451" i="4"/>
  <c r="L452" i="4"/>
  <c r="L453" i="4"/>
  <c r="L454" i="4"/>
  <c r="L455" i="4"/>
  <c r="L456" i="4"/>
  <c r="L457" i="4"/>
  <c r="L458" i="4"/>
  <c r="L459" i="4"/>
  <c r="L460" i="4"/>
  <c r="L461" i="4"/>
  <c r="L462" i="4"/>
  <c r="L463" i="4"/>
  <c r="L464" i="4"/>
  <c r="L465" i="4"/>
  <c r="L466" i="4"/>
  <c r="L467" i="4"/>
  <c r="L468" i="4"/>
  <c r="L469" i="4"/>
  <c r="L470" i="4"/>
  <c r="L471" i="4"/>
  <c r="L472" i="4"/>
  <c r="L473" i="4"/>
  <c r="L474" i="4"/>
  <c r="L475" i="4"/>
  <c r="L476" i="4"/>
  <c r="L477" i="4"/>
  <c r="L478" i="4"/>
  <c r="L479" i="4"/>
  <c r="L480" i="4"/>
  <c r="L481" i="4"/>
  <c r="L482" i="4"/>
  <c r="L483" i="4"/>
  <c r="L484" i="4"/>
  <c r="L485" i="4"/>
  <c r="L486" i="4"/>
  <c r="L487" i="4"/>
  <c r="L488" i="4"/>
  <c r="L489" i="4"/>
  <c r="L490" i="4"/>
  <c r="L491" i="4"/>
  <c r="L492" i="4"/>
  <c r="L493" i="4"/>
  <c r="L494" i="4"/>
  <c r="L495" i="4"/>
  <c r="L496" i="4"/>
  <c r="L497" i="4"/>
  <c r="L498" i="4"/>
  <c r="L499" i="4"/>
  <c r="L500" i="4"/>
  <c r="L501" i="4"/>
  <c r="L502" i="4"/>
  <c r="L503" i="4"/>
  <c r="L504" i="4"/>
  <c r="L505" i="4"/>
  <c r="L506" i="4"/>
  <c r="L507" i="4"/>
  <c r="L508" i="4"/>
  <c r="L509" i="4"/>
  <c r="L510" i="4"/>
  <c r="L511" i="4"/>
  <c r="L512" i="4"/>
  <c r="L513" i="4"/>
  <c r="L514" i="4"/>
  <c r="L515" i="4"/>
  <c r="L516" i="4"/>
  <c r="L517" i="4"/>
  <c r="L518" i="4"/>
  <c r="L519" i="4"/>
  <c r="L520" i="4"/>
  <c r="L521" i="4"/>
  <c r="L522" i="4"/>
  <c r="L523" i="4"/>
  <c r="L524" i="4"/>
  <c r="L525" i="4"/>
  <c r="L526" i="4"/>
  <c r="L527" i="4"/>
  <c r="L528" i="4"/>
  <c r="L529" i="4"/>
  <c r="L530" i="4"/>
  <c r="L531" i="4"/>
  <c r="L532" i="4"/>
  <c r="L533" i="4"/>
  <c r="L534" i="4"/>
  <c r="L535" i="4"/>
  <c r="L536" i="4"/>
  <c r="L537" i="4"/>
  <c r="L538" i="4"/>
  <c r="L539" i="4"/>
  <c r="L540" i="4"/>
  <c r="L541" i="4"/>
  <c r="L542" i="4"/>
  <c r="L543" i="4"/>
  <c r="L544" i="4"/>
  <c r="L545" i="4"/>
  <c r="L546" i="4"/>
  <c r="L547" i="4"/>
  <c r="L548" i="4"/>
  <c r="L549" i="4"/>
  <c r="L550" i="4"/>
  <c r="L551" i="4"/>
  <c r="L552" i="4"/>
  <c r="L553" i="4"/>
  <c r="L554" i="4"/>
  <c r="L555" i="4"/>
  <c r="L556" i="4"/>
  <c r="L557" i="4"/>
  <c r="L558" i="4"/>
  <c r="L559" i="4"/>
  <c r="L560" i="4"/>
  <c r="L561" i="4"/>
  <c r="L562" i="4"/>
  <c r="L563" i="4"/>
  <c r="L564" i="4"/>
  <c r="L565" i="4"/>
  <c r="L566" i="4"/>
  <c r="L567" i="4"/>
  <c r="L568" i="4"/>
  <c r="L569" i="4"/>
  <c r="L570" i="4"/>
  <c r="L571" i="4"/>
  <c r="L572" i="4"/>
  <c r="L573" i="4"/>
  <c r="L574" i="4"/>
  <c r="L575" i="4"/>
  <c r="L576" i="4"/>
  <c r="L577" i="4"/>
  <c r="L578" i="4"/>
  <c r="L579" i="4"/>
  <c r="L580" i="4"/>
  <c r="L581" i="4"/>
  <c r="L582" i="4"/>
  <c r="L583" i="4"/>
  <c r="L584" i="4"/>
  <c r="L585" i="4"/>
  <c r="L586" i="4"/>
  <c r="L587" i="4"/>
  <c r="L588" i="4"/>
  <c r="L589" i="4"/>
  <c r="L590" i="4"/>
  <c r="L591" i="4"/>
  <c r="L592" i="4"/>
  <c r="L593" i="4"/>
  <c r="L594" i="4"/>
  <c r="L595" i="4"/>
  <c r="L596" i="4"/>
  <c r="L597" i="4"/>
  <c r="L598" i="4"/>
  <c r="L599" i="4"/>
  <c r="L600" i="4"/>
  <c r="L601" i="4"/>
  <c r="L602" i="4"/>
  <c r="L603" i="4"/>
  <c r="L604" i="4"/>
  <c r="L605" i="4"/>
  <c r="L606" i="4"/>
  <c r="L607" i="4"/>
  <c r="L608" i="4"/>
  <c r="L609" i="4"/>
  <c r="L610" i="4"/>
  <c r="L611" i="4"/>
  <c r="L612" i="4"/>
  <c r="L613" i="4"/>
  <c r="L614" i="4"/>
  <c r="L615" i="4"/>
  <c r="L616" i="4"/>
  <c r="L617" i="4"/>
  <c r="L618" i="4"/>
  <c r="L619" i="4"/>
  <c r="L620" i="4"/>
  <c r="L621" i="4"/>
  <c r="L622" i="4"/>
  <c r="L623" i="4"/>
  <c r="L624" i="4"/>
  <c r="L625" i="4"/>
  <c r="L626" i="4"/>
  <c r="L627" i="4"/>
  <c r="L628" i="4"/>
  <c r="L629" i="4"/>
  <c r="L630" i="4"/>
  <c r="L631" i="4"/>
  <c r="L632" i="4"/>
  <c r="L633" i="4"/>
  <c r="L634" i="4"/>
  <c r="L635" i="4"/>
  <c r="L636" i="4"/>
  <c r="L637" i="4"/>
  <c r="L638" i="4"/>
  <c r="L639" i="4"/>
  <c r="L640" i="4"/>
  <c r="L641" i="4"/>
  <c r="L642" i="4"/>
  <c r="L643" i="4"/>
  <c r="L644" i="4"/>
  <c r="L645" i="4"/>
  <c r="L646" i="4"/>
  <c r="L647" i="4"/>
  <c r="L648" i="4"/>
  <c r="L649" i="4"/>
  <c r="L650" i="4"/>
  <c r="L651" i="4"/>
  <c r="L652" i="4"/>
  <c r="L653" i="4"/>
  <c r="L654" i="4"/>
  <c r="L655" i="4"/>
  <c r="L656" i="4"/>
  <c r="L657" i="4"/>
  <c r="L658" i="4"/>
  <c r="L659" i="4"/>
  <c r="L660" i="4"/>
  <c r="L661" i="4"/>
  <c r="L662" i="4"/>
  <c r="L663" i="4"/>
  <c r="L664" i="4"/>
  <c r="L665" i="4"/>
  <c r="L666" i="4"/>
  <c r="L667" i="4"/>
  <c r="L668" i="4"/>
  <c r="L669" i="4"/>
  <c r="L670" i="4"/>
  <c r="L671" i="4"/>
  <c r="L672" i="4"/>
  <c r="L673" i="4"/>
  <c r="L674" i="4"/>
  <c r="L675" i="4"/>
  <c r="L676" i="4"/>
  <c r="L677" i="4"/>
  <c r="L678" i="4"/>
  <c r="L679" i="4"/>
  <c r="L680" i="4"/>
  <c r="L681" i="4"/>
  <c r="L682" i="4"/>
  <c r="L683" i="4"/>
  <c r="L684" i="4"/>
  <c r="L685" i="4"/>
  <c r="L686" i="4"/>
  <c r="L687" i="4"/>
  <c r="L688" i="4"/>
  <c r="L689" i="4"/>
  <c r="L690" i="4"/>
  <c r="L691" i="4"/>
  <c r="L692" i="4"/>
  <c r="L693" i="4"/>
  <c r="L694" i="4"/>
  <c r="L695" i="4"/>
  <c r="L696" i="4"/>
  <c r="L697" i="4"/>
  <c r="L698" i="4"/>
  <c r="L699" i="4"/>
  <c r="L700" i="4"/>
  <c r="L701" i="4"/>
  <c r="L702" i="4"/>
  <c r="L703" i="4"/>
  <c r="L704" i="4"/>
  <c r="L705" i="4"/>
  <c r="L706" i="4"/>
  <c r="L707" i="4"/>
  <c r="L708" i="4"/>
  <c r="L709" i="4"/>
  <c r="L710" i="4"/>
  <c r="L711" i="4"/>
  <c r="L712" i="4"/>
  <c r="L713" i="4"/>
  <c r="L714" i="4"/>
  <c r="L715" i="4"/>
  <c r="L716" i="4"/>
  <c r="L717" i="4"/>
  <c r="L718" i="4"/>
  <c r="L719" i="4"/>
  <c r="L720" i="4"/>
  <c r="L721" i="4"/>
  <c r="L722" i="4"/>
  <c r="L723" i="4"/>
  <c r="L724" i="4"/>
  <c r="L725" i="4"/>
  <c r="L726" i="4"/>
  <c r="L727" i="4"/>
  <c r="L728" i="4"/>
  <c r="L729" i="4"/>
  <c r="L730" i="4"/>
  <c r="L731" i="4"/>
  <c r="L732" i="4"/>
  <c r="L733" i="4"/>
  <c r="L734" i="4"/>
  <c r="L735" i="4"/>
  <c r="L736" i="4"/>
  <c r="L737" i="4"/>
  <c r="L738" i="4"/>
  <c r="L739" i="4"/>
  <c r="L740" i="4"/>
  <c r="L741" i="4"/>
  <c r="L742" i="4"/>
  <c r="L743" i="4"/>
  <c r="L744" i="4"/>
  <c r="L745" i="4"/>
  <c r="L746" i="4"/>
  <c r="L747" i="4"/>
  <c r="L748" i="4"/>
  <c r="L749" i="4"/>
  <c r="L750" i="4"/>
  <c r="L751" i="4"/>
  <c r="L752" i="4"/>
  <c r="L753" i="4"/>
  <c r="L754" i="4"/>
  <c r="L755" i="4"/>
  <c r="L756" i="4"/>
  <c r="L757" i="4"/>
  <c r="L758" i="4"/>
  <c r="L759" i="4"/>
  <c r="L760" i="4"/>
  <c r="L761" i="4"/>
  <c r="L762" i="4"/>
  <c r="L763" i="4"/>
  <c r="L764" i="4"/>
  <c r="L765" i="4"/>
  <c r="L766" i="4"/>
  <c r="L767" i="4"/>
  <c r="L768" i="4"/>
  <c r="L769" i="4"/>
  <c r="L770" i="4"/>
  <c r="L771" i="4"/>
  <c r="L772" i="4"/>
  <c r="L773" i="4"/>
  <c r="L774" i="4"/>
  <c r="L775" i="4"/>
  <c r="L776" i="4"/>
  <c r="L777" i="4"/>
  <c r="L778" i="4"/>
  <c r="L779" i="4"/>
  <c r="L780" i="4"/>
  <c r="L781" i="4"/>
  <c r="L782" i="4"/>
  <c r="L783" i="4"/>
  <c r="L784" i="4"/>
  <c r="L785" i="4"/>
  <c r="L786" i="4"/>
  <c r="L787" i="4"/>
  <c r="L788" i="4"/>
  <c r="L789" i="4"/>
  <c r="L790" i="4"/>
  <c r="L791" i="4"/>
  <c r="L792" i="4"/>
  <c r="L793" i="4"/>
  <c r="L794" i="4"/>
  <c r="L795" i="4"/>
  <c r="L796" i="4"/>
  <c r="L797" i="4"/>
  <c r="L798" i="4"/>
  <c r="L799" i="4"/>
  <c r="L800" i="4"/>
  <c r="L801" i="4"/>
  <c r="L802" i="4"/>
  <c r="L803" i="4"/>
  <c r="L804" i="4"/>
  <c r="L805" i="4"/>
  <c r="L806" i="4"/>
  <c r="L807" i="4"/>
  <c r="L808" i="4"/>
  <c r="L809" i="4"/>
  <c r="L810" i="4"/>
  <c r="L811" i="4"/>
  <c r="L812" i="4"/>
  <c r="L813" i="4"/>
  <c r="L814" i="4"/>
  <c r="L815" i="4"/>
  <c r="L816" i="4"/>
  <c r="L817" i="4"/>
  <c r="L818" i="4"/>
  <c r="L819" i="4"/>
  <c r="L820" i="4"/>
  <c r="L821" i="4"/>
  <c r="L822" i="4"/>
  <c r="L823" i="4"/>
  <c r="L824" i="4"/>
  <c r="L825" i="4"/>
  <c r="L826" i="4"/>
  <c r="L827" i="4"/>
  <c r="L828" i="4"/>
  <c r="L829" i="4"/>
  <c r="L830" i="4"/>
  <c r="L831" i="4"/>
  <c r="L832" i="4"/>
  <c r="L833" i="4"/>
  <c r="L834" i="4"/>
  <c r="L835" i="4"/>
  <c r="L836" i="4"/>
  <c r="L837" i="4"/>
  <c r="L838" i="4"/>
  <c r="L839" i="4"/>
  <c r="L840" i="4"/>
  <c r="L841" i="4"/>
  <c r="L842" i="4"/>
  <c r="L843" i="4"/>
  <c r="L844" i="4"/>
  <c r="L845" i="4"/>
  <c r="L846" i="4"/>
  <c r="L847" i="4"/>
  <c r="L848" i="4"/>
  <c r="L849" i="4"/>
  <c r="L850" i="4"/>
  <c r="L851" i="4"/>
  <c r="L852" i="4"/>
  <c r="L853" i="4"/>
  <c r="L854" i="4"/>
  <c r="L855" i="4"/>
  <c r="L856" i="4"/>
  <c r="L857" i="4"/>
  <c r="L858" i="4"/>
  <c r="L859" i="4"/>
  <c r="L860" i="4"/>
  <c r="L861" i="4"/>
  <c r="L862" i="4"/>
  <c r="L863" i="4"/>
  <c r="L864" i="4"/>
  <c r="L865" i="4"/>
  <c r="L866" i="4"/>
  <c r="L867" i="4"/>
  <c r="L868" i="4"/>
  <c r="L869" i="4"/>
  <c r="L870" i="4"/>
  <c r="L871" i="4"/>
  <c r="L872" i="4"/>
  <c r="L873" i="4"/>
  <c r="L874" i="4"/>
  <c r="L875" i="4"/>
  <c r="L876" i="4"/>
  <c r="L877" i="4"/>
  <c r="L878" i="4"/>
  <c r="L879" i="4"/>
  <c r="L880" i="4"/>
  <c r="L881" i="4"/>
  <c r="L882" i="4"/>
  <c r="L883" i="4"/>
  <c r="L884" i="4"/>
  <c r="L885" i="4"/>
  <c r="L886" i="4"/>
  <c r="L887" i="4"/>
  <c r="L888" i="4"/>
  <c r="L889" i="4"/>
  <c r="L890" i="4"/>
  <c r="L891" i="4"/>
  <c r="L892" i="4"/>
  <c r="L893" i="4"/>
  <c r="L894" i="4"/>
  <c r="L895" i="4"/>
  <c r="L896" i="4"/>
  <c r="L897" i="4"/>
  <c r="L898" i="4"/>
  <c r="L899" i="4"/>
  <c r="L900" i="4"/>
  <c r="L901" i="4"/>
  <c r="L902" i="4"/>
  <c r="L903" i="4"/>
  <c r="L904" i="4"/>
  <c r="L905" i="4"/>
  <c r="L906" i="4"/>
  <c r="L907" i="4"/>
  <c r="L908" i="4"/>
  <c r="L909" i="4"/>
  <c r="L910" i="4"/>
  <c r="L911" i="4"/>
  <c r="L912" i="4"/>
  <c r="L913" i="4"/>
  <c r="L914" i="4"/>
  <c r="L915" i="4"/>
  <c r="L916" i="4"/>
  <c r="L917" i="4"/>
  <c r="L918" i="4"/>
  <c r="L919" i="4"/>
  <c r="L920" i="4"/>
  <c r="L921" i="4"/>
  <c r="L922" i="4"/>
  <c r="L923" i="4"/>
  <c r="L924" i="4"/>
  <c r="L925" i="4"/>
  <c r="L926" i="4"/>
  <c r="L927" i="4"/>
  <c r="L928" i="4"/>
  <c r="L929" i="4"/>
  <c r="L930" i="4"/>
  <c r="L931" i="4"/>
  <c r="L932" i="4"/>
  <c r="L933" i="4"/>
  <c r="L934" i="4"/>
  <c r="L935" i="4"/>
  <c r="L936" i="4"/>
  <c r="L937" i="4"/>
  <c r="L938" i="4"/>
  <c r="L939" i="4"/>
  <c r="L940" i="4"/>
  <c r="L941" i="4"/>
  <c r="L942" i="4"/>
  <c r="L943" i="4"/>
  <c r="L944" i="4"/>
  <c r="L945" i="4"/>
  <c r="L946" i="4"/>
  <c r="L947" i="4"/>
  <c r="L948" i="4"/>
  <c r="L949" i="4"/>
  <c r="L950" i="4"/>
  <c r="L951" i="4"/>
  <c r="L952" i="4"/>
  <c r="L953" i="4"/>
  <c r="L954" i="4"/>
  <c r="L955" i="4"/>
  <c r="L956" i="4"/>
  <c r="L957" i="4"/>
  <c r="L958" i="4"/>
  <c r="L959" i="4"/>
  <c r="L960" i="4"/>
  <c r="L961" i="4"/>
  <c r="L962" i="4"/>
  <c r="L963" i="4"/>
  <c r="L964" i="4"/>
  <c r="L965" i="4"/>
  <c r="L966" i="4"/>
  <c r="L967" i="4"/>
  <c r="L968" i="4"/>
  <c r="L969" i="4"/>
  <c r="L970" i="4"/>
  <c r="L971" i="4"/>
  <c r="L972" i="4"/>
  <c r="L973" i="4"/>
  <c r="L974" i="4"/>
  <c r="L975" i="4"/>
  <c r="L976" i="4"/>
  <c r="L977" i="4"/>
  <c r="L978" i="4"/>
  <c r="L979" i="4"/>
  <c r="L980" i="4"/>
  <c r="L981" i="4"/>
  <c r="L982" i="4"/>
  <c r="L983" i="4"/>
  <c r="L984" i="4"/>
  <c r="L985" i="4"/>
  <c r="L986" i="4"/>
  <c r="L987" i="4"/>
  <c r="L988" i="4"/>
  <c r="L989" i="4"/>
  <c r="L990" i="4"/>
  <c r="L991" i="4"/>
  <c r="L992" i="4"/>
  <c r="L993" i="4"/>
  <c r="L994" i="4"/>
  <c r="L995" i="4"/>
  <c r="L996" i="4"/>
  <c r="L997" i="4"/>
  <c r="L998" i="4"/>
  <c r="L999" i="4"/>
  <c r="L1000" i="4"/>
  <c r="L1001" i="4"/>
  <c r="L1002" i="4"/>
  <c r="L1003" i="4"/>
  <c r="L1004" i="4"/>
  <c r="L1005" i="4"/>
  <c r="L1006" i="4"/>
  <c r="L1007" i="4"/>
  <c r="L1008" i="4"/>
  <c r="L1009" i="4"/>
  <c r="L1010" i="4"/>
  <c r="L1011" i="4"/>
  <c r="L1012" i="4"/>
  <c r="L1013" i="4"/>
  <c r="L1014" i="4"/>
  <c r="L1015" i="4"/>
  <c r="L1016" i="4"/>
  <c r="L1017" i="4"/>
  <c r="L1018" i="4"/>
  <c r="L1019" i="4"/>
  <c r="L1020" i="4"/>
  <c r="L1021" i="4"/>
  <c r="K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325" i="4"/>
  <c r="K326" i="4"/>
  <c r="K327" i="4"/>
  <c r="K328" i="4"/>
  <c r="K329" i="4"/>
  <c r="K330" i="4"/>
  <c r="K331" i="4"/>
  <c r="K332" i="4"/>
  <c r="K333" i="4"/>
  <c r="K334" i="4"/>
  <c r="K335" i="4"/>
  <c r="K336" i="4"/>
  <c r="K337" i="4"/>
  <c r="K338" i="4"/>
  <c r="K339" i="4"/>
  <c r="K340" i="4"/>
  <c r="K341" i="4"/>
  <c r="K342" i="4"/>
  <c r="K343" i="4"/>
  <c r="K344" i="4"/>
  <c r="K345" i="4"/>
  <c r="K346" i="4"/>
  <c r="K347" i="4"/>
  <c r="K348" i="4"/>
  <c r="K349" i="4"/>
  <c r="K350" i="4"/>
  <c r="K351" i="4"/>
  <c r="K352" i="4"/>
  <c r="K353" i="4"/>
  <c r="K354" i="4"/>
  <c r="K355" i="4"/>
  <c r="K356" i="4"/>
  <c r="K357" i="4"/>
  <c r="K358" i="4"/>
  <c r="K359" i="4"/>
  <c r="K360" i="4"/>
  <c r="K361" i="4"/>
  <c r="K362" i="4"/>
  <c r="K363" i="4"/>
  <c r="K364" i="4"/>
  <c r="K365" i="4"/>
  <c r="K366" i="4"/>
  <c r="K367" i="4"/>
  <c r="K368" i="4"/>
  <c r="K369" i="4"/>
  <c r="K370" i="4"/>
  <c r="K371" i="4"/>
  <c r="K372" i="4"/>
  <c r="K373" i="4"/>
  <c r="K374" i="4"/>
  <c r="K375" i="4"/>
  <c r="K376" i="4"/>
  <c r="K377" i="4"/>
  <c r="K378" i="4"/>
  <c r="K379" i="4"/>
  <c r="K380" i="4"/>
  <c r="K381" i="4"/>
  <c r="K382" i="4"/>
  <c r="K383" i="4"/>
  <c r="K384" i="4"/>
  <c r="K385" i="4"/>
  <c r="K386" i="4"/>
  <c r="K387" i="4"/>
  <c r="K388" i="4"/>
  <c r="K389" i="4"/>
  <c r="K390" i="4"/>
  <c r="K391" i="4"/>
  <c r="K392" i="4"/>
  <c r="K393" i="4"/>
  <c r="K394" i="4"/>
  <c r="K395" i="4"/>
  <c r="K396" i="4"/>
  <c r="K397" i="4"/>
  <c r="K398" i="4"/>
  <c r="K399" i="4"/>
  <c r="K400" i="4"/>
  <c r="K401" i="4"/>
  <c r="K402" i="4"/>
  <c r="K403" i="4"/>
  <c r="K404" i="4"/>
  <c r="K405" i="4"/>
  <c r="K406" i="4"/>
  <c r="K407" i="4"/>
  <c r="K408" i="4"/>
  <c r="K409" i="4"/>
  <c r="K410" i="4"/>
  <c r="K411" i="4"/>
  <c r="K412" i="4"/>
  <c r="K413" i="4"/>
  <c r="K414" i="4"/>
  <c r="K415" i="4"/>
  <c r="K416" i="4"/>
  <c r="K417" i="4"/>
  <c r="K418" i="4"/>
  <c r="K419" i="4"/>
  <c r="K420" i="4"/>
  <c r="K421" i="4"/>
  <c r="K422" i="4"/>
  <c r="K423" i="4"/>
  <c r="K424" i="4"/>
  <c r="K425" i="4"/>
  <c r="K426" i="4"/>
  <c r="K427" i="4"/>
  <c r="K428" i="4"/>
  <c r="K429" i="4"/>
  <c r="K430" i="4"/>
  <c r="K431" i="4"/>
  <c r="K432" i="4"/>
  <c r="K433" i="4"/>
  <c r="K434" i="4"/>
  <c r="K435" i="4"/>
  <c r="K436" i="4"/>
  <c r="K437" i="4"/>
  <c r="K438" i="4"/>
  <c r="K439" i="4"/>
  <c r="K440" i="4"/>
  <c r="K441" i="4"/>
  <c r="K442" i="4"/>
  <c r="K443" i="4"/>
  <c r="K444" i="4"/>
  <c r="K445" i="4"/>
  <c r="K446" i="4"/>
  <c r="K447" i="4"/>
  <c r="K448" i="4"/>
  <c r="K449" i="4"/>
  <c r="K450" i="4"/>
  <c r="K451" i="4"/>
  <c r="K452" i="4"/>
  <c r="K453" i="4"/>
  <c r="K454" i="4"/>
  <c r="K455" i="4"/>
  <c r="K456" i="4"/>
  <c r="K457" i="4"/>
  <c r="K458" i="4"/>
  <c r="K459" i="4"/>
  <c r="K460" i="4"/>
  <c r="K461" i="4"/>
  <c r="K462" i="4"/>
  <c r="K463" i="4"/>
  <c r="K464" i="4"/>
  <c r="K465" i="4"/>
  <c r="K466" i="4"/>
  <c r="K467" i="4"/>
  <c r="K468" i="4"/>
  <c r="K469" i="4"/>
  <c r="K470" i="4"/>
  <c r="K471" i="4"/>
  <c r="K472" i="4"/>
  <c r="K473" i="4"/>
  <c r="K474" i="4"/>
  <c r="K475" i="4"/>
  <c r="K476" i="4"/>
  <c r="K477" i="4"/>
  <c r="K478" i="4"/>
  <c r="K479" i="4"/>
  <c r="K480" i="4"/>
  <c r="K481" i="4"/>
  <c r="K482" i="4"/>
  <c r="K483" i="4"/>
  <c r="K484" i="4"/>
  <c r="K485" i="4"/>
  <c r="K486" i="4"/>
  <c r="K487" i="4"/>
  <c r="K488" i="4"/>
  <c r="K489" i="4"/>
  <c r="K490" i="4"/>
  <c r="K491" i="4"/>
  <c r="K492" i="4"/>
  <c r="K493" i="4"/>
  <c r="K494" i="4"/>
  <c r="K495" i="4"/>
  <c r="K496" i="4"/>
  <c r="K497" i="4"/>
  <c r="K498" i="4"/>
  <c r="K499" i="4"/>
  <c r="K500" i="4"/>
  <c r="K501" i="4"/>
  <c r="K502" i="4"/>
  <c r="K503" i="4"/>
  <c r="K504" i="4"/>
  <c r="K505" i="4"/>
  <c r="K506" i="4"/>
  <c r="K507" i="4"/>
  <c r="K508" i="4"/>
  <c r="K509" i="4"/>
  <c r="K510" i="4"/>
  <c r="K511" i="4"/>
  <c r="K512" i="4"/>
  <c r="K513" i="4"/>
  <c r="K514" i="4"/>
  <c r="K515" i="4"/>
  <c r="K516" i="4"/>
  <c r="K517" i="4"/>
  <c r="K518" i="4"/>
  <c r="K519" i="4"/>
  <c r="K520" i="4"/>
  <c r="K521" i="4"/>
  <c r="K522" i="4"/>
  <c r="K523" i="4"/>
  <c r="K524" i="4"/>
  <c r="K525" i="4"/>
  <c r="K526" i="4"/>
  <c r="K527" i="4"/>
  <c r="K528" i="4"/>
  <c r="K529" i="4"/>
  <c r="K530" i="4"/>
  <c r="K531" i="4"/>
  <c r="K532" i="4"/>
  <c r="K533" i="4"/>
  <c r="K534" i="4"/>
  <c r="K535" i="4"/>
  <c r="K536" i="4"/>
  <c r="K537" i="4"/>
  <c r="K538" i="4"/>
  <c r="K539" i="4"/>
  <c r="K540" i="4"/>
  <c r="K541" i="4"/>
  <c r="K542" i="4"/>
  <c r="K543" i="4"/>
  <c r="K544" i="4"/>
  <c r="K545" i="4"/>
  <c r="K546" i="4"/>
  <c r="K547" i="4"/>
  <c r="K548" i="4"/>
  <c r="K549" i="4"/>
  <c r="K550" i="4"/>
  <c r="K551" i="4"/>
  <c r="K552" i="4"/>
  <c r="K553" i="4"/>
  <c r="K554" i="4"/>
  <c r="K555" i="4"/>
  <c r="K556" i="4"/>
  <c r="K557" i="4"/>
  <c r="K558" i="4"/>
  <c r="K559" i="4"/>
  <c r="K560" i="4"/>
  <c r="K561" i="4"/>
  <c r="K562" i="4"/>
  <c r="K563" i="4"/>
  <c r="K564" i="4"/>
  <c r="K565" i="4"/>
  <c r="K566" i="4"/>
  <c r="K567" i="4"/>
  <c r="K568" i="4"/>
  <c r="K569" i="4"/>
  <c r="K570" i="4"/>
  <c r="K571" i="4"/>
  <c r="K572" i="4"/>
  <c r="K573" i="4"/>
  <c r="K574" i="4"/>
  <c r="K575" i="4"/>
  <c r="K576" i="4"/>
  <c r="K577" i="4"/>
  <c r="K578" i="4"/>
  <c r="K579" i="4"/>
  <c r="K580" i="4"/>
  <c r="K581" i="4"/>
  <c r="K582" i="4"/>
  <c r="K583" i="4"/>
  <c r="K584" i="4"/>
  <c r="K585" i="4"/>
  <c r="K586" i="4"/>
  <c r="K587" i="4"/>
  <c r="K588" i="4"/>
  <c r="K589" i="4"/>
  <c r="K590" i="4"/>
  <c r="K591" i="4"/>
  <c r="K592" i="4"/>
  <c r="K593" i="4"/>
  <c r="K594" i="4"/>
  <c r="K595" i="4"/>
  <c r="K596" i="4"/>
  <c r="K597" i="4"/>
  <c r="K598" i="4"/>
  <c r="K599" i="4"/>
  <c r="K600" i="4"/>
  <c r="K601" i="4"/>
  <c r="K602" i="4"/>
  <c r="K603" i="4"/>
  <c r="K604" i="4"/>
  <c r="K605" i="4"/>
  <c r="K606" i="4"/>
  <c r="K607" i="4"/>
  <c r="K608" i="4"/>
  <c r="K609" i="4"/>
  <c r="K610" i="4"/>
  <c r="K611" i="4"/>
  <c r="K612" i="4"/>
  <c r="K613" i="4"/>
  <c r="K614" i="4"/>
  <c r="K615" i="4"/>
  <c r="K616" i="4"/>
  <c r="K617" i="4"/>
  <c r="K618" i="4"/>
  <c r="K619" i="4"/>
  <c r="K620" i="4"/>
  <c r="K621" i="4"/>
  <c r="K622" i="4"/>
  <c r="K623" i="4"/>
  <c r="K624" i="4"/>
  <c r="K625" i="4"/>
  <c r="K626" i="4"/>
  <c r="K627" i="4"/>
  <c r="K628" i="4"/>
  <c r="K629" i="4"/>
  <c r="K630" i="4"/>
  <c r="K631" i="4"/>
  <c r="K632" i="4"/>
  <c r="K633" i="4"/>
  <c r="K634" i="4"/>
  <c r="K635" i="4"/>
  <c r="K636" i="4"/>
  <c r="K637" i="4"/>
  <c r="K638" i="4"/>
  <c r="K639" i="4"/>
  <c r="K640" i="4"/>
  <c r="K641" i="4"/>
  <c r="K642" i="4"/>
  <c r="K643" i="4"/>
  <c r="K644" i="4"/>
  <c r="K645" i="4"/>
  <c r="K646" i="4"/>
  <c r="K647" i="4"/>
  <c r="K648" i="4"/>
  <c r="K649" i="4"/>
  <c r="K650" i="4"/>
  <c r="K651" i="4"/>
  <c r="K652" i="4"/>
  <c r="K653" i="4"/>
  <c r="K654" i="4"/>
  <c r="K655" i="4"/>
  <c r="K656" i="4"/>
  <c r="K657" i="4"/>
  <c r="K658" i="4"/>
  <c r="K659" i="4"/>
  <c r="K660" i="4"/>
  <c r="K661" i="4"/>
  <c r="K662" i="4"/>
  <c r="K663" i="4"/>
  <c r="K664" i="4"/>
  <c r="K665" i="4"/>
  <c r="K666" i="4"/>
  <c r="K667" i="4"/>
  <c r="K668" i="4"/>
  <c r="K669" i="4"/>
  <c r="K670" i="4"/>
  <c r="K671" i="4"/>
  <c r="K672" i="4"/>
  <c r="K673" i="4"/>
  <c r="K674" i="4"/>
  <c r="K675" i="4"/>
  <c r="K676" i="4"/>
  <c r="K677" i="4"/>
  <c r="K678" i="4"/>
  <c r="K679" i="4"/>
  <c r="K680" i="4"/>
  <c r="K681" i="4"/>
  <c r="K682" i="4"/>
  <c r="K683" i="4"/>
  <c r="K684" i="4"/>
  <c r="K685" i="4"/>
  <c r="K686" i="4"/>
  <c r="K687" i="4"/>
  <c r="K688" i="4"/>
  <c r="K689" i="4"/>
  <c r="K690" i="4"/>
  <c r="K691" i="4"/>
  <c r="K692" i="4"/>
  <c r="K693" i="4"/>
  <c r="K694" i="4"/>
  <c r="K695" i="4"/>
  <c r="K696" i="4"/>
  <c r="K697" i="4"/>
  <c r="K698" i="4"/>
  <c r="K699" i="4"/>
  <c r="K700" i="4"/>
  <c r="K701" i="4"/>
  <c r="K702" i="4"/>
  <c r="K703" i="4"/>
  <c r="K704" i="4"/>
  <c r="K705" i="4"/>
  <c r="K706" i="4"/>
  <c r="K707" i="4"/>
  <c r="K708" i="4"/>
  <c r="K709" i="4"/>
  <c r="K710" i="4"/>
  <c r="K711" i="4"/>
  <c r="K712" i="4"/>
  <c r="K713" i="4"/>
  <c r="K714" i="4"/>
  <c r="K715" i="4"/>
  <c r="K716" i="4"/>
  <c r="K717" i="4"/>
  <c r="K718" i="4"/>
  <c r="K719" i="4"/>
  <c r="K720" i="4"/>
  <c r="K721" i="4"/>
  <c r="K722" i="4"/>
  <c r="K723" i="4"/>
  <c r="K724" i="4"/>
  <c r="K725" i="4"/>
  <c r="K726" i="4"/>
  <c r="K727" i="4"/>
  <c r="K728" i="4"/>
  <c r="K729" i="4"/>
  <c r="K730" i="4"/>
  <c r="K731" i="4"/>
  <c r="K732" i="4"/>
  <c r="K733" i="4"/>
  <c r="K734" i="4"/>
  <c r="K735" i="4"/>
  <c r="K736" i="4"/>
  <c r="K737" i="4"/>
  <c r="K738" i="4"/>
  <c r="K739" i="4"/>
  <c r="K740" i="4"/>
  <c r="K741" i="4"/>
  <c r="K742" i="4"/>
  <c r="K743" i="4"/>
  <c r="K744" i="4"/>
  <c r="K745" i="4"/>
  <c r="K746" i="4"/>
  <c r="K747" i="4"/>
  <c r="K748" i="4"/>
  <c r="K749" i="4"/>
  <c r="K750" i="4"/>
  <c r="K751" i="4"/>
  <c r="K752" i="4"/>
  <c r="K753" i="4"/>
  <c r="K754" i="4"/>
  <c r="K755" i="4"/>
  <c r="K756" i="4"/>
  <c r="K757" i="4"/>
  <c r="K758" i="4"/>
  <c r="K759" i="4"/>
  <c r="K760" i="4"/>
  <c r="K761" i="4"/>
  <c r="K762" i="4"/>
  <c r="K763" i="4"/>
  <c r="K764" i="4"/>
  <c r="K765" i="4"/>
  <c r="K766" i="4"/>
  <c r="K767" i="4"/>
  <c r="K768" i="4"/>
  <c r="K769" i="4"/>
  <c r="K770" i="4"/>
  <c r="K771" i="4"/>
  <c r="K772" i="4"/>
  <c r="K773" i="4"/>
  <c r="K774" i="4"/>
  <c r="K775" i="4"/>
  <c r="K776" i="4"/>
  <c r="K777" i="4"/>
  <c r="K778" i="4"/>
  <c r="K779" i="4"/>
  <c r="K780" i="4"/>
  <c r="K781" i="4"/>
  <c r="K782" i="4"/>
  <c r="K783" i="4"/>
  <c r="K784" i="4"/>
  <c r="K785" i="4"/>
  <c r="K786" i="4"/>
  <c r="K787" i="4"/>
  <c r="K788" i="4"/>
  <c r="K789" i="4"/>
  <c r="K790" i="4"/>
  <c r="K791" i="4"/>
  <c r="K792" i="4"/>
  <c r="K793" i="4"/>
  <c r="K794" i="4"/>
  <c r="K795" i="4"/>
  <c r="K796" i="4"/>
  <c r="K797" i="4"/>
  <c r="K798" i="4"/>
  <c r="K799" i="4"/>
  <c r="K800" i="4"/>
  <c r="K801" i="4"/>
  <c r="K802" i="4"/>
  <c r="K803" i="4"/>
  <c r="K804" i="4"/>
  <c r="K805" i="4"/>
  <c r="K806" i="4"/>
  <c r="K807" i="4"/>
  <c r="K808" i="4"/>
  <c r="K809" i="4"/>
  <c r="K810" i="4"/>
  <c r="K811" i="4"/>
  <c r="K812" i="4"/>
  <c r="K813" i="4"/>
  <c r="K814" i="4"/>
  <c r="K815" i="4"/>
  <c r="K816" i="4"/>
  <c r="K817" i="4"/>
  <c r="K818" i="4"/>
  <c r="K819" i="4"/>
  <c r="K820" i="4"/>
  <c r="K821" i="4"/>
  <c r="K822" i="4"/>
  <c r="K823" i="4"/>
  <c r="K824" i="4"/>
  <c r="K825" i="4"/>
  <c r="K826" i="4"/>
  <c r="K827" i="4"/>
  <c r="K828" i="4"/>
  <c r="K829" i="4"/>
  <c r="K830" i="4"/>
  <c r="K831" i="4"/>
  <c r="K832" i="4"/>
  <c r="K833" i="4"/>
  <c r="K834" i="4"/>
  <c r="K835" i="4"/>
  <c r="K836" i="4"/>
  <c r="K837" i="4"/>
  <c r="K838" i="4"/>
  <c r="K839" i="4"/>
  <c r="K840" i="4"/>
  <c r="K841" i="4"/>
  <c r="K842" i="4"/>
  <c r="K843" i="4"/>
  <c r="K844" i="4"/>
  <c r="K845" i="4"/>
  <c r="K846" i="4"/>
  <c r="K847" i="4"/>
  <c r="K848" i="4"/>
  <c r="K849" i="4"/>
  <c r="K850" i="4"/>
  <c r="K851" i="4"/>
  <c r="K852" i="4"/>
  <c r="K853" i="4"/>
  <c r="K854" i="4"/>
  <c r="K855" i="4"/>
  <c r="K856" i="4"/>
  <c r="K857" i="4"/>
  <c r="K858" i="4"/>
  <c r="K859" i="4"/>
  <c r="K860" i="4"/>
  <c r="K861" i="4"/>
  <c r="K862" i="4"/>
  <c r="K863" i="4"/>
  <c r="K864" i="4"/>
  <c r="K865" i="4"/>
  <c r="K866" i="4"/>
  <c r="K867" i="4"/>
  <c r="K868" i="4"/>
  <c r="K869" i="4"/>
  <c r="K870" i="4"/>
  <c r="K871" i="4"/>
  <c r="K872" i="4"/>
  <c r="K873" i="4"/>
  <c r="K874" i="4"/>
  <c r="K875" i="4"/>
  <c r="K876" i="4"/>
  <c r="K877" i="4"/>
  <c r="K878" i="4"/>
  <c r="K879" i="4"/>
  <c r="K880" i="4"/>
  <c r="K881" i="4"/>
  <c r="K882" i="4"/>
  <c r="K883" i="4"/>
  <c r="K884" i="4"/>
  <c r="K885" i="4"/>
  <c r="K886" i="4"/>
  <c r="K887" i="4"/>
  <c r="K888" i="4"/>
  <c r="K889" i="4"/>
  <c r="K890" i="4"/>
  <c r="K891" i="4"/>
  <c r="K892" i="4"/>
  <c r="K893" i="4"/>
  <c r="K894" i="4"/>
  <c r="K895" i="4"/>
  <c r="K896" i="4"/>
  <c r="K897" i="4"/>
  <c r="K898" i="4"/>
  <c r="K899" i="4"/>
  <c r="K900" i="4"/>
  <c r="K901" i="4"/>
  <c r="K902" i="4"/>
  <c r="K903" i="4"/>
  <c r="K904" i="4"/>
  <c r="K905" i="4"/>
  <c r="K906" i="4"/>
  <c r="K907" i="4"/>
  <c r="K908" i="4"/>
  <c r="K909" i="4"/>
  <c r="K910" i="4"/>
  <c r="K911" i="4"/>
  <c r="K912" i="4"/>
  <c r="K913" i="4"/>
  <c r="K914" i="4"/>
  <c r="K915" i="4"/>
  <c r="K916" i="4"/>
  <c r="K917" i="4"/>
  <c r="K918" i="4"/>
  <c r="K919" i="4"/>
  <c r="K920" i="4"/>
  <c r="K921" i="4"/>
  <c r="K922" i="4"/>
  <c r="K923" i="4"/>
  <c r="K924" i="4"/>
  <c r="K925" i="4"/>
  <c r="K926" i="4"/>
  <c r="K927" i="4"/>
  <c r="K928" i="4"/>
  <c r="K929" i="4"/>
  <c r="K930" i="4"/>
  <c r="K931" i="4"/>
  <c r="K932" i="4"/>
  <c r="K933" i="4"/>
  <c r="K934" i="4"/>
  <c r="K935" i="4"/>
  <c r="K936" i="4"/>
  <c r="K937" i="4"/>
  <c r="K938" i="4"/>
  <c r="K939" i="4"/>
  <c r="K940" i="4"/>
  <c r="K941" i="4"/>
  <c r="K942" i="4"/>
  <c r="K943" i="4"/>
  <c r="K944" i="4"/>
  <c r="K945" i="4"/>
  <c r="K946" i="4"/>
  <c r="K947" i="4"/>
  <c r="K948" i="4"/>
  <c r="K949" i="4"/>
  <c r="K950" i="4"/>
  <c r="K951" i="4"/>
  <c r="K952" i="4"/>
  <c r="K953" i="4"/>
  <c r="K954" i="4"/>
  <c r="K955" i="4"/>
  <c r="K956" i="4"/>
  <c r="K957" i="4"/>
  <c r="K958" i="4"/>
  <c r="K959" i="4"/>
  <c r="K960" i="4"/>
  <c r="K961" i="4"/>
  <c r="K962" i="4"/>
  <c r="K963" i="4"/>
  <c r="K964" i="4"/>
  <c r="K965" i="4"/>
  <c r="K966" i="4"/>
  <c r="K967" i="4"/>
  <c r="K968" i="4"/>
  <c r="K969" i="4"/>
  <c r="K970" i="4"/>
  <c r="K971" i="4"/>
  <c r="K972" i="4"/>
  <c r="K973" i="4"/>
  <c r="K974" i="4"/>
  <c r="K975" i="4"/>
  <c r="K976" i="4"/>
  <c r="K977" i="4"/>
  <c r="K978" i="4"/>
  <c r="K979" i="4"/>
  <c r="K980" i="4"/>
  <c r="K981" i="4"/>
  <c r="K982" i="4"/>
  <c r="K983" i="4"/>
  <c r="K984" i="4"/>
  <c r="K985" i="4"/>
  <c r="K986" i="4"/>
  <c r="K987" i="4"/>
  <c r="K988" i="4"/>
  <c r="K989" i="4"/>
  <c r="K990" i="4"/>
  <c r="K991" i="4"/>
  <c r="K992" i="4"/>
  <c r="K993" i="4"/>
  <c r="K994" i="4"/>
  <c r="K995" i="4"/>
  <c r="K996" i="4"/>
  <c r="K997" i="4"/>
  <c r="K998" i="4"/>
  <c r="K999" i="4"/>
  <c r="K1000" i="4"/>
  <c r="K1001" i="4"/>
  <c r="K1002" i="4"/>
  <c r="K1003" i="4"/>
  <c r="K1004" i="4"/>
  <c r="K1005" i="4"/>
  <c r="K1006" i="4"/>
  <c r="K1007" i="4"/>
  <c r="K1008" i="4"/>
  <c r="K1009" i="4"/>
  <c r="K1010" i="4"/>
  <c r="K1011" i="4"/>
  <c r="K1012" i="4"/>
  <c r="K1013" i="4"/>
  <c r="K1014" i="4"/>
  <c r="K1015" i="4"/>
  <c r="K1016" i="4"/>
  <c r="K1017" i="4"/>
  <c r="K1018" i="4"/>
  <c r="K1019" i="4"/>
  <c r="K1020" i="4"/>
  <c r="K1021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404" i="4"/>
  <c r="I405" i="4"/>
  <c r="I406" i="4"/>
  <c r="I407" i="4"/>
  <c r="I408" i="4"/>
  <c r="I409" i="4"/>
  <c r="I410" i="4"/>
  <c r="I411" i="4"/>
  <c r="I412" i="4"/>
  <c r="I413" i="4"/>
  <c r="I414" i="4"/>
  <c r="I415" i="4"/>
  <c r="I416" i="4"/>
  <c r="I417" i="4"/>
  <c r="I418" i="4"/>
  <c r="I419" i="4"/>
  <c r="I420" i="4"/>
  <c r="I421" i="4"/>
  <c r="I422" i="4"/>
  <c r="I423" i="4"/>
  <c r="I424" i="4"/>
  <c r="I425" i="4"/>
  <c r="I426" i="4"/>
  <c r="I427" i="4"/>
  <c r="I428" i="4"/>
  <c r="I429" i="4"/>
  <c r="I430" i="4"/>
  <c r="I431" i="4"/>
  <c r="I432" i="4"/>
  <c r="I433" i="4"/>
  <c r="I434" i="4"/>
  <c r="I435" i="4"/>
  <c r="I436" i="4"/>
  <c r="I437" i="4"/>
  <c r="I438" i="4"/>
  <c r="I439" i="4"/>
  <c r="I440" i="4"/>
  <c r="I441" i="4"/>
  <c r="I442" i="4"/>
  <c r="I443" i="4"/>
  <c r="I444" i="4"/>
  <c r="I445" i="4"/>
  <c r="I446" i="4"/>
  <c r="I447" i="4"/>
  <c r="I448" i="4"/>
  <c r="I449" i="4"/>
  <c r="I450" i="4"/>
  <c r="I451" i="4"/>
  <c r="I452" i="4"/>
  <c r="I453" i="4"/>
  <c r="I454" i="4"/>
  <c r="I455" i="4"/>
  <c r="I456" i="4"/>
  <c r="I457" i="4"/>
  <c r="I458" i="4"/>
  <c r="I459" i="4"/>
  <c r="I460" i="4"/>
  <c r="I461" i="4"/>
  <c r="I462" i="4"/>
  <c r="I463" i="4"/>
  <c r="I464" i="4"/>
  <c r="I465" i="4"/>
  <c r="I466" i="4"/>
  <c r="I467" i="4"/>
  <c r="I468" i="4"/>
  <c r="I469" i="4"/>
  <c r="I470" i="4"/>
  <c r="I471" i="4"/>
  <c r="I472" i="4"/>
  <c r="I473" i="4"/>
  <c r="I474" i="4"/>
  <c r="I475" i="4"/>
  <c r="I476" i="4"/>
  <c r="I477" i="4"/>
  <c r="I478" i="4"/>
  <c r="I479" i="4"/>
  <c r="I480" i="4"/>
  <c r="I481" i="4"/>
  <c r="I482" i="4"/>
  <c r="I483" i="4"/>
  <c r="I484" i="4"/>
  <c r="I485" i="4"/>
  <c r="I486" i="4"/>
  <c r="I487" i="4"/>
  <c r="I488" i="4"/>
  <c r="I489" i="4"/>
  <c r="I490" i="4"/>
  <c r="I491" i="4"/>
  <c r="I492" i="4"/>
  <c r="I493" i="4"/>
  <c r="I494" i="4"/>
  <c r="I495" i="4"/>
  <c r="I496" i="4"/>
  <c r="I497" i="4"/>
  <c r="I498" i="4"/>
  <c r="I499" i="4"/>
  <c r="I500" i="4"/>
  <c r="I501" i="4"/>
  <c r="I502" i="4"/>
  <c r="I503" i="4"/>
  <c r="I504" i="4"/>
  <c r="I505" i="4"/>
  <c r="I506" i="4"/>
  <c r="I507" i="4"/>
  <c r="I508" i="4"/>
  <c r="I509" i="4"/>
  <c r="I510" i="4"/>
  <c r="I511" i="4"/>
  <c r="I512" i="4"/>
  <c r="I513" i="4"/>
  <c r="I514" i="4"/>
  <c r="I515" i="4"/>
  <c r="I516" i="4"/>
  <c r="I517" i="4"/>
  <c r="I518" i="4"/>
  <c r="I519" i="4"/>
  <c r="I520" i="4"/>
  <c r="I521" i="4"/>
  <c r="I522" i="4"/>
  <c r="I523" i="4"/>
  <c r="I524" i="4"/>
  <c r="I525" i="4"/>
  <c r="I526" i="4"/>
  <c r="I527" i="4"/>
  <c r="I528" i="4"/>
  <c r="I529" i="4"/>
  <c r="I530" i="4"/>
  <c r="I531" i="4"/>
  <c r="I532" i="4"/>
  <c r="I533" i="4"/>
  <c r="I534" i="4"/>
  <c r="I535" i="4"/>
  <c r="I536" i="4"/>
  <c r="I537" i="4"/>
  <c r="I538" i="4"/>
  <c r="I539" i="4"/>
  <c r="I540" i="4"/>
  <c r="I541" i="4"/>
  <c r="I542" i="4"/>
  <c r="I543" i="4"/>
  <c r="I544" i="4"/>
  <c r="I545" i="4"/>
  <c r="I546" i="4"/>
  <c r="I547" i="4"/>
  <c r="I548" i="4"/>
  <c r="I549" i="4"/>
  <c r="I550" i="4"/>
  <c r="I551" i="4"/>
  <c r="I552" i="4"/>
  <c r="I553" i="4"/>
  <c r="I554" i="4"/>
  <c r="I555" i="4"/>
  <c r="I556" i="4"/>
  <c r="I557" i="4"/>
  <c r="I558" i="4"/>
  <c r="I559" i="4"/>
  <c r="I560" i="4"/>
  <c r="I561" i="4"/>
  <c r="I562" i="4"/>
  <c r="I563" i="4"/>
  <c r="I564" i="4"/>
  <c r="I565" i="4"/>
  <c r="I566" i="4"/>
  <c r="I567" i="4"/>
  <c r="I568" i="4"/>
  <c r="I569" i="4"/>
  <c r="I570" i="4"/>
  <c r="I571" i="4"/>
  <c r="I572" i="4"/>
  <c r="I573" i="4"/>
  <c r="I574" i="4"/>
  <c r="I575" i="4"/>
  <c r="I576" i="4"/>
  <c r="I577" i="4"/>
  <c r="I578" i="4"/>
  <c r="I579" i="4"/>
  <c r="I580" i="4"/>
  <c r="I581" i="4"/>
  <c r="I582" i="4"/>
  <c r="I583" i="4"/>
  <c r="I584" i="4"/>
  <c r="I585" i="4"/>
  <c r="I586" i="4"/>
  <c r="I587" i="4"/>
  <c r="I588" i="4"/>
  <c r="I589" i="4"/>
  <c r="I590" i="4"/>
  <c r="I591" i="4"/>
  <c r="I592" i="4"/>
  <c r="I593" i="4"/>
  <c r="I594" i="4"/>
  <c r="I595" i="4"/>
  <c r="I596" i="4"/>
  <c r="I597" i="4"/>
  <c r="I598" i="4"/>
  <c r="I599" i="4"/>
  <c r="I600" i="4"/>
  <c r="I601" i="4"/>
  <c r="I602" i="4"/>
  <c r="I603" i="4"/>
  <c r="I604" i="4"/>
  <c r="I605" i="4"/>
  <c r="I606" i="4"/>
  <c r="I607" i="4"/>
  <c r="I608" i="4"/>
  <c r="I609" i="4"/>
  <c r="I610" i="4"/>
  <c r="I611" i="4"/>
  <c r="I612" i="4"/>
  <c r="I613" i="4"/>
  <c r="I614" i="4"/>
  <c r="I615" i="4"/>
  <c r="I616" i="4"/>
  <c r="I617" i="4"/>
  <c r="I618" i="4"/>
  <c r="I619" i="4"/>
  <c r="I620" i="4"/>
  <c r="I621" i="4"/>
  <c r="I622" i="4"/>
  <c r="I623" i="4"/>
  <c r="I624" i="4"/>
  <c r="I625" i="4"/>
  <c r="I626" i="4"/>
  <c r="I627" i="4"/>
  <c r="I628" i="4"/>
  <c r="I629" i="4"/>
  <c r="I630" i="4"/>
  <c r="I631" i="4"/>
  <c r="I632" i="4"/>
  <c r="I633" i="4"/>
  <c r="I634" i="4"/>
  <c r="I635" i="4"/>
  <c r="I636" i="4"/>
  <c r="I637" i="4"/>
  <c r="I638" i="4"/>
  <c r="I639" i="4"/>
  <c r="I640" i="4"/>
  <c r="I641" i="4"/>
  <c r="I642" i="4"/>
  <c r="I643" i="4"/>
  <c r="I644" i="4"/>
  <c r="I645" i="4"/>
  <c r="I646" i="4"/>
  <c r="I647" i="4"/>
  <c r="I648" i="4"/>
  <c r="I649" i="4"/>
  <c r="I650" i="4"/>
  <c r="I651" i="4"/>
  <c r="I652" i="4"/>
  <c r="I653" i="4"/>
  <c r="I654" i="4"/>
  <c r="I655" i="4"/>
  <c r="I656" i="4"/>
  <c r="I657" i="4"/>
  <c r="I658" i="4"/>
  <c r="I659" i="4"/>
  <c r="I660" i="4"/>
  <c r="I661" i="4"/>
  <c r="I662" i="4"/>
  <c r="I663" i="4"/>
  <c r="I664" i="4"/>
  <c r="I665" i="4"/>
  <c r="I666" i="4"/>
  <c r="I667" i="4"/>
  <c r="I668" i="4"/>
  <c r="I669" i="4"/>
  <c r="I670" i="4"/>
  <c r="I671" i="4"/>
  <c r="I672" i="4"/>
  <c r="I673" i="4"/>
  <c r="I674" i="4"/>
  <c r="I675" i="4"/>
  <c r="I676" i="4"/>
  <c r="I677" i="4"/>
  <c r="I678" i="4"/>
  <c r="I679" i="4"/>
  <c r="I680" i="4"/>
  <c r="I681" i="4"/>
  <c r="I682" i="4"/>
  <c r="I683" i="4"/>
  <c r="I684" i="4"/>
  <c r="I685" i="4"/>
  <c r="I686" i="4"/>
  <c r="I687" i="4"/>
  <c r="I688" i="4"/>
  <c r="I689" i="4"/>
  <c r="I690" i="4"/>
  <c r="I691" i="4"/>
  <c r="I692" i="4"/>
  <c r="I693" i="4"/>
  <c r="I694" i="4"/>
  <c r="I695" i="4"/>
  <c r="I696" i="4"/>
  <c r="I697" i="4"/>
  <c r="I698" i="4"/>
  <c r="I699" i="4"/>
  <c r="I700" i="4"/>
  <c r="I701" i="4"/>
  <c r="I702" i="4"/>
  <c r="I703" i="4"/>
  <c r="I704" i="4"/>
  <c r="I705" i="4"/>
  <c r="I706" i="4"/>
  <c r="I707" i="4"/>
  <c r="I708" i="4"/>
  <c r="I709" i="4"/>
  <c r="I710" i="4"/>
  <c r="I711" i="4"/>
  <c r="I712" i="4"/>
  <c r="I713" i="4"/>
  <c r="I714" i="4"/>
  <c r="I715" i="4"/>
  <c r="I716" i="4"/>
  <c r="I717" i="4"/>
  <c r="I718" i="4"/>
  <c r="I719" i="4"/>
  <c r="I720" i="4"/>
  <c r="I721" i="4"/>
  <c r="I722" i="4"/>
  <c r="I723" i="4"/>
  <c r="I724" i="4"/>
  <c r="I725" i="4"/>
  <c r="I726" i="4"/>
  <c r="I727" i="4"/>
  <c r="I728" i="4"/>
  <c r="I729" i="4"/>
  <c r="I730" i="4"/>
  <c r="I731" i="4"/>
  <c r="I732" i="4"/>
  <c r="I733" i="4"/>
  <c r="I734" i="4"/>
  <c r="I735" i="4"/>
  <c r="I736" i="4"/>
  <c r="I737" i="4"/>
  <c r="I738" i="4"/>
  <c r="I739" i="4"/>
  <c r="I740" i="4"/>
  <c r="I741" i="4"/>
  <c r="I742" i="4"/>
  <c r="I743" i="4"/>
  <c r="I744" i="4"/>
  <c r="I745" i="4"/>
  <c r="I746" i="4"/>
  <c r="I747" i="4"/>
  <c r="I748" i="4"/>
  <c r="I749" i="4"/>
  <c r="I750" i="4"/>
  <c r="I751" i="4"/>
  <c r="I752" i="4"/>
  <c r="I753" i="4"/>
  <c r="I754" i="4"/>
  <c r="I755" i="4"/>
  <c r="I756" i="4"/>
  <c r="I757" i="4"/>
  <c r="I758" i="4"/>
  <c r="I759" i="4"/>
  <c r="I760" i="4"/>
  <c r="I761" i="4"/>
  <c r="I762" i="4"/>
  <c r="I763" i="4"/>
  <c r="I764" i="4"/>
  <c r="I765" i="4"/>
  <c r="I766" i="4"/>
  <c r="I767" i="4"/>
  <c r="I768" i="4"/>
  <c r="I769" i="4"/>
  <c r="I770" i="4"/>
  <c r="I771" i="4"/>
  <c r="I772" i="4"/>
  <c r="I773" i="4"/>
  <c r="I774" i="4"/>
  <c r="I775" i="4"/>
  <c r="I776" i="4"/>
  <c r="I777" i="4"/>
  <c r="I778" i="4"/>
  <c r="I779" i="4"/>
  <c r="I780" i="4"/>
  <c r="I781" i="4"/>
  <c r="I782" i="4"/>
  <c r="I783" i="4"/>
  <c r="I784" i="4"/>
  <c r="I785" i="4"/>
  <c r="I786" i="4"/>
  <c r="I787" i="4"/>
  <c r="I788" i="4"/>
  <c r="I789" i="4"/>
  <c r="I790" i="4"/>
  <c r="I791" i="4"/>
  <c r="I792" i="4"/>
  <c r="I793" i="4"/>
  <c r="I794" i="4"/>
  <c r="I795" i="4"/>
  <c r="I796" i="4"/>
  <c r="I797" i="4"/>
  <c r="I798" i="4"/>
  <c r="I799" i="4"/>
  <c r="I800" i="4"/>
  <c r="I801" i="4"/>
  <c r="I802" i="4"/>
  <c r="I803" i="4"/>
  <c r="I804" i="4"/>
  <c r="I805" i="4"/>
  <c r="I806" i="4"/>
  <c r="I807" i="4"/>
  <c r="I808" i="4"/>
  <c r="I809" i="4"/>
  <c r="I810" i="4"/>
  <c r="I811" i="4"/>
  <c r="I812" i="4"/>
  <c r="I813" i="4"/>
  <c r="I814" i="4"/>
  <c r="I815" i="4"/>
  <c r="I816" i="4"/>
  <c r="I817" i="4"/>
  <c r="I818" i="4"/>
  <c r="I819" i="4"/>
  <c r="I820" i="4"/>
  <c r="I821" i="4"/>
  <c r="I822" i="4"/>
  <c r="I823" i="4"/>
  <c r="I824" i="4"/>
  <c r="I825" i="4"/>
  <c r="I826" i="4"/>
  <c r="I827" i="4"/>
  <c r="I828" i="4"/>
  <c r="I829" i="4"/>
  <c r="I830" i="4"/>
  <c r="I831" i="4"/>
  <c r="I832" i="4"/>
  <c r="I833" i="4"/>
  <c r="I834" i="4"/>
  <c r="I835" i="4"/>
  <c r="I836" i="4"/>
  <c r="I837" i="4"/>
  <c r="I838" i="4"/>
  <c r="I839" i="4"/>
  <c r="I840" i="4"/>
  <c r="I841" i="4"/>
  <c r="I842" i="4"/>
  <c r="I843" i="4"/>
  <c r="I844" i="4"/>
  <c r="I845" i="4"/>
  <c r="I846" i="4"/>
  <c r="I847" i="4"/>
  <c r="I848" i="4"/>
  <c r="I849" i="4"/>
  <c r="I850" i="4"/>
  <c r="I851" i="4"/>
  <c r="I852" i="4"/>
  <c r="I853" i="4"/>
  <c r="I854" i="4"/>
  <c r="I855" i="4"/>
  <c r="I856" i="4"/>
  <c r="I857" i="4"/>
  <c r="I858" i="4"/>
  <c r="I859" i="4"/>
  <c r="I860" i="4"/>
  <c r="I861" i="4"/>
  <c r="I862" i="4"/>
  <c r="I863" i="4"/>
  <c r="I864" i="4"/>
  <c r="I865" i="4"/>
  <c r="I866" i="4"/>
  <c r="I867" i="4"/>
  <c r="I868" i="4"/>
  <c r="I869" i="4"/>
  <c r="I870" i="4"/>
  <c r="I871" i="4"/>
  <c r="I872" i="4"/>
  <c r="I873" i="4"/>
  <c r="I874" i="4"/>
  <c r="I875" i="4"/>
  <c r="I876" i="4"/>
  <c r="I877" i="4"/>
  <c r="I878" i="4"/>
  <c r="I879" i="4"/>
  <c r="I880" i="4"/>
  <c r="I881" i="4"/>
  <c r="I882" i="4"/>
  <c r="I883" i="4"/>
  <c r="I884" i="4"/>
  <c r="I885" i="4"/>
  <c r="I886" i="4"/>
  <c r="I887" i="4"/>
  <c r="I888" i="4"/>
  <c r="I889" i="4"/>
  <c r="I890" i="4"/>
  <c r="I891" i="4"/>
  <c r="I892" i="4"/>
  <c r="I893" i="4"/>
  <c r="I894" i="4"/>
  <c r="I895" i="4"/>
  <c r="I896" i="4"/>
  <c r="I897" i="4"/>
  <c r="I898" i="4"/>
  <c r="I899" i="4"/>
  <c r="I900" i="4"/>
  <c r="I901" i="4"/>
  <c r="I902" i="4"/>
  <c r="I903" i="4"/>
  <c r="I904" i="4"/>
  <c r="I905" i="4"/>
  <c r="I906" i="4"/>
  <c r="I907" i="4"/>
  <c r="I908" i="4"/>
  <c r="I909" i="4"/>
  <c r="I910" i="4"/>
  <c r="I911" i="4"/>
  <c r="I912" i="4"/>
  <c r="I913" i="4"/>
  <c r="I914" i="4"/>
  <c r="I915" i="4"/>
  <c r="I916" i="4"/>
  <c r="I917" i="4"/>
  <c r="I918" i="4"/>
  <c r="I919" i="4"/>
  <c r="I920" i="4"/>
  <c r="I921" i="4"/>
  <c r="I922" i="4"/>
  <c r="I923" i="4"/>
  <c r="I924" i="4"/>
  <c r="I925" i="4"/>
  <c r="I926" i="4"/>
  <c r="I927" i="4"/>
  <c r="I928" i="4"/>
  <c r="I929" i="4"/>
  <c r="I930" i="4"/>
  <c r="I931" i="4"/>
  <c r="I932" i="4"/>
  <c r="I933" i="4"/>
  <c r="I934" i="4"/>
  <c r="I935" i="4"/>
  <c r="I936" i="4"/>
  <c r="I937" i="4"/>
  <c r="I938" i="4"/>
  <c r="I939" i="4"/>
  <c r="I940" i="4"/>
  <c r="I941" i="4"/>
  <c r="I942" i="4"/>
  <c r="I943" i="4"/>
  <c r="I944" i="4"/>
  <c r="I945" i="4"/>
  <c r="I946" i="4"/>
  <c r="I947" i="4"/>
  <c r="I948" i="4"/>
  <c r="I949" i="4"/>
  <c r="I950" i="4"/>
  <c r="I951" i="4"/>
  <c r="I952" i="4"/>
  <c r="I953" i="4"/>
  <c r="I954" i="4"/>
  <c r="I955" i="4"/>
  <c r="I956" i="4"/>
  <c r="I957" i="4"/>
  <c r="I958" i="4"/>
  <c r="I959" i="4"/>
  <c r="I960" i="4"/>
  <c r="I961" i="4"/>
  <c r="I962" i="4"/>
  <c r="I963" i="4"/>
  <c r="I964" i="4"/>
  <c r="I965" i="4"/>
  <c r="I966" i="4"/>
  <c r="I967" i="4"/>
  <c r="I968" i="4"/>
  <c r="I969" i="4"/>
  <c r="I970" i="4"/>
  <c r="I971" i="4"/>
  <c r="I972" i="4"/>
  <c r="I973" i="4"/>
  <c r="I974" i="4"/>
  <c r="I975" i="4"/>
  <c r="I976" i="4"/>
  <c r="I977" i="4"/>
  <c r="I978" i="4"/>
  <c r="I979" i="4"/>
  <c r="I980" i="4"/>
  <c r="I981" i="4"/>
  <c r="I982" i="4"/>
  <c r="I983" i="4"/>
  <c r="I984" i="4"/>
  <c r="I985" i="4"/>
  <c r="I986" i="4"/>
  <c r="I987" i="4"/>
  <c r="I988" i="4"/>
  <c r="I989" i="4"/>
  <c r="I990" i="4"/>
  <c r="I991" i="4"/>
  <c r="I992" i="4"/>
  <c r="I993" i="4"/>
  <c r="I994" i="4"/>
  <c r="I995" i="4"/>
  <c r="I996" i="4"/>
  <c r="I997" i="4"/>
  <c r="I998" i="4"/>
  <c r="I999" i="4"/>
  <c r="I1000" i="4"/>
  <c r="I1001" i="4"/>
  <c r="I1002" i="4"/>
  <c r="I1003" i="4"/>
  <c r="I1004" i="4"/>
  <c r="I1005" i="4"/>
  <c r="I1006" i="4"/>
  <c r="I1007" i="4"/>
  <c r="I1008" i="4"/>
  <c r="I1009" i="4"/>
  <c r="I1010" i="4"/>
  <c r="I1011" i="4"/>
  <c r="I1012" i="4"/>
  <c r="I1013" i="4"/>
  <c r="I1014" i="4"/>
  <c r="I1015" i="4"/>
  <c r="I1016" i="4"/>
  <c r="I1017" i="4"/>
  <c r="I1018" i="4"/>
  <c r="I1019" i="4"/>
  <c r="I1020" i="4"/>
  <c r="I1021" i="4"/>
  <c r="I2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J276" i="4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4" i="4"/>
  <c r="J305" i="4"/>
  <c r="J306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J326" i="4"/>
  <c r="J327" i="4"/>
  <c r="J328" i="4"/>
  <c r="J329" i="4"/>
  <c r="J330" i="4"/>
  <c r="J331" i="4"/>
  <c r="J332" i="4"/>
  <c r="J333" i="4"/>
  <c r="J334" i="4"/>
  <c r="J335" i="4"/>
  <c r="J336" i="4"/>
  <c r="J337" i="4"/>
  <c r="J338" i="4"/>
  <c r="J339" i="4"/>
  <c r="J340" i="4"/>
  <c r="J341" i="4"/>
  <c r="J342" i="4"/>
  <c r="J343" i="4"/>
  <c r="J344" i="4"/>
  <c r="J345" i="4"/>
  <c r="J346" i="4"/>
  <c r="J347" i="4"/>
  <c r="J348" i="4"/>
  <c r="J349" i="4"/>
  <c r="J350" i="4"/>
  <c r="J351" i="4"/>
  <c r="J352" i="4"/>
  <c r="J353" i="4"/>
  <c r="J354" i="4"/>
  <c r="J355" i="4"/>
  <c r="J356" i="4"/>
  <c r="J357" i="4"/>
  <c r="J358" i="4"/>
  <c r="J359" i="4"/>
  <c r="J360" i="4"/>
  <c r="J361" i="4"/>
  <c r="J362" i="4"/>
  <c r="J363" i="4"/>
  <c r="J364" i="4"/>
  <c r="J365" i="4"/>
  <c r="J366" i="4"/>
  <c r="J367" i="4"/>
  <c r="J368" i="4"/>
  <c r="J369" i="4"/>
  <c r="J370" i="4"/>
  <c r="J371" i="4"/>
  <c r="J372" i="4"/>
  <c r="J373" i="4"/>
  <c r="J374" i="4"/>
  <c r="J375" i="4"/>
  <c r="J376" i="4"/>
  <c r="J377" i="4"/>
  <c r="J378" i="4"/>
  <c r="J379" i="4"/>
  <c r="J380" i="4"/>
  <c r="J381" i="4"/>
  <c r="J382" i="4"/>
  <c r="J383" i="4"/>
  <c r="J384" i="4"/>
  <c r="J385" i="4"/>
  <c r="J386" i="4"/>
  <c r="J387" i="4"/>
  <c r="J388" i="4"/>
  <c r="J389" i="4"/>
  <c r="J390" i="4"/>
  <c r="J391" i="4"/>
  <c r="J392" i="4"/>
  <c r="J393" i="4"/>
  <c r="J394" i="4"/>
  <c r="J395" i="4"/>
  <c r="J396" i="4"/>
  <c r="J397" i="4"/>
  <c r="J398" i="4"/>
  <c r="J399" i="4"/>
  <c r="J400" i="4"/>
  <c r="J401" i="4"/>
  <c r="J402" i="4"/>
  <c r="J403" i="4"/>
  <c r="J404" i="4"/>
  <c r="J405" i="4"/>
  <c r="J406" i="4"/>
  <c r="J407" i="4"/>
  <c r="J408" i="4"/>
  <c r="J409" i="4"/>
  <c r="J410" i="4"/>
  <c r="J411" i="4"/>
  <c r="J412" i="4"/>
  <c r="J413" i="4"/>
  <c r="J414" i="4"/>
  <c r="J415" i="4"/>
  <c r="J416" i="4"/>
  <c r="J417" i="4"/>
  <c r="J418" i="4"/>
  <c r="J419" i="4"/>
  <c r="J420" i="4"/>
  <c r="J421" i="4"/>
  <c r="J422" i="4"/>
  <c r="J423" i="4"/>
  <c r="J424" i="4"/>
  <c r="J425" i="4"/>
  <c r="J426" i="4"/>
  <c r="J427" i="4"/>
  <c r="J428" i="4"/>
  <c r="J429" i="4"/>
  <c r="J430" i="4"/>
  <c r="J431" i="4"/>
  <c r="J432" i="4"/>
  <c r="J433" i="4"/>
  <c r="J434" i="4"/>
  <c r="J435" i="4"/>
  <c r="J436" i="4"/>
  <c r="J437" i="4"/>
  <c r="J438" i="4"/>
  <c r="J439" i="4"/>
  <c r="J440" i="4"/>
  <c r="J441" i="4"/>
  <c r="J442" i="4"/>
  <c r="J443" i="4"/>
  <c r="J444" i="4"/>
  <c r="J445" i="4"/>
  <c r="J446" i="4"/>
  <c r="J447" i="4"/>
  <c r="J448" i="4"/>
  <c r="J449" i="4"/>
  <c r="J450" i="4"/>
  <c r="J451" i="4"/>
  <c r="J452" i="4"/>
  <c r="J453" i="4"/>
  <c r="J454" i="4"/>
  <c r="J455" i="4"/>
  <c r="J456" i="4"/>
  <c r="J457" i="4"/>
  <c r="J458" i="4"/>
  <c r="J459" i="4"/>
  <c r="J460" i="4"/>
  <c r="J461" i="4"/>
  <c r="J462" i="4"/>
  <c r="J463" i="4"/>
  <c r="J464" i="4"/>
  <c r="J465" i="4"/>
  <c r="J466" i="4"/>
  <c r="J467" i="4"/>
  <c r="J468" i="4"/>
  <c r="J469" i="4"/>
  <c r="J470" i="4"/>
  <c r="J471" i="4"/>
  <c r="J472" i="4"/>
  <c r="J473" i="4"/>
  <c r="J474" i="4"/>
  <c r="J475" i="4"/>
  <c r="J476" i="4"/>
  <c r="J477" i="4"/>
  <c r="J478" i="4"/>
  <c r="J479" i="4"/>
  <c r="J480" i="4"/>
  <c r="J481" i="4"/>
  <c r="J482" i="4"/>
  <c r="J483" i="4"/>
  <c r="J484" i="4"/>
  <c r="J485" i="4"/>
  <c r="J486" i="4"/>
  <c r="J487" i="4"/>
  <c r="J488" i="4"/>
  <c r="J489" i="4"/>
  <c r="J490" i="4"/>
  <c r="J491" i="4"/>
  <c r="J492" i="4"/>
  <c r="J493" i="4"/>
  <c r="J494" i="4"/>
  <c r="J495" i="4"/>
  <c r="J496" i="4"/>
  <c r="J497" i="4"/>
  <c r="J498" i="4"/>
  <c r="J499" i="4"/>
  <c r="J500" i="4"/>
  <c r="J501" i="4"/>
  <c r="J502" i="4"/>
  <c r="J503" i="4"/>
  <c r="J504" i="4"/>
  <c r="J505" i="4"/>
  <c r="J506" i="4"/>
  <c r="J507" i="4"/>
  <c r="J508" i="4"/>
  <c r="J509" i="4"/>
  <c r="J510" i="4"/>
  <c r="J511" i="4"/>
  <c r="J512" i="4"/>
  <c r="J513" i="4"/>
  <c r="J514" i="4"/>
  <c r="J515" i="4"/>
  <c r="J516" i="4"/>
  <c r="J517" i="4"/>
  <c r="J518" i="4"/>
  <c r="J519" i="4"/>
  <c r="J520" i="4"/>
  <c r="J521" i="4"/>
  <c r="J522" i="4"/>
  <c r="J523" i="4"/>
  <c r="J524" i="4"/>
  <c r="J525" i="4"/>
  <c r="J526" i="4"/>
  <c r="J527" i="4"/>
  <c r="J528" i="4"/>
  <c r="J529" i="4"/>
  <c r="J530" i="4"/>
  <c r="J531" i="4"/>
  <c r="J532" i="4"/>
  <c r="J533" i="4"/>
  <c r="J534" i="4"/>
  <c r="J535" i="4"/>
  <c r="J536" i="4"/>
  <c r="J537" i="4"/>
  <c r="J538" i="4"/>
  <c r="J539" i="4"/>
  <c r="J540" i="4"/>
  <c r="J541" i="4"/>
  <c r="J542" i="4"/>
  <c r="J543" i="4"/>
  <c r="J544" i="4"/>
  <c r="J545" i="4"/>
  <c r="J546" i="4"/>
  <c r="J547" i="4"/>
  <c r="J548" i="4"/>
  <c r="J549" i="4"/>
  <c r="J550" i="4"/>
  <c r="J551" i="4"/>
  <c r="J552" i="4"/>
  <c r="J553" i="4"/>
  <c r="J554" i="4"/>
  <c r="J555" i="4"/>
  <c r="J556" i="4"/>
  <c r="J557" i="4"/>
  <c r="J558" i="4"/>
  <c r="J559" i="4"/>
  <c r="J560" i="4"/>
  <c r="J561" i="4"/>
  <c r="J562" i="4"/>
  <c r="J563" i="4"/>
  <c r="J564" i="4"/>
  <c r="J565" i="4"/>
  <c r="J566" i="4"/>
  <c r="J567" i="4"/>
  <c r="J568" i="4"/>
  <c r="J569" i="4"/>
  <c r="J570" i="4"/>
  <c r="J571" i="4"/>
  <c r="J572" i="4"/>
  <c r="J573" i="4"/>
  <c r="J574" i="4"/>
  <c r="J575" i="4"/>
  <c r="J576" i="4"/>
  <c r="J577" i="4"/>
  <c r="J578" i="4"/>
  <c r="J579" i="4"/>
  <c r="J580" i="4"/>
  <c r="J581" i="4"/>
  <c r="J582" i="4"/>
  <c r="J583" i="4"/>
  <c r="J584" i="4"/>
  <c r="J585" i="4"/>
  <c r="J586" i="4"/>
  <c r="J587" i="4"/>
  <c r="J588" i="4"/>
  <c r="J589" i="4"/>
  <c r="J590" i="4"/>
  <c r="J591" i="4"/>
  <c r="J592" i="4"/>
  <c r="J593" i="4"/>
  <c r="J594" i="4"/>
  <c r="J595" i="4"/>
  <c r="J596" i="4"/>
  <c r="J597" i="4"/>
  <c r="J598" i="4"/>
  <c r="J599" i="4"/>
  <c r="J600" i="4"/>
  <c r="J601" i="4"/>
  <c r="J602" i="4"/>
  <c r="J603" i="4"/>
  <c r="J604" i="4"/>
  <c r="J605" i="4"/>
  <c r="J606" i="4"/>
  <c r="J607" i="4"/>
  <c r="J608" i="4"/>
  <c r="J609" i="4"/>
  <c r="J610" i="4"/>
  <c r="J611" i="4"/>
  <c r="J612" i="4"/>
  <c r="J613" i="4"/>
  <c r="J614" i="4"/>
  <c r="J615" i="4"/>
  <c r="J616" i="4"/>
  <c r="J617" i="4"/>
  <c r="J618" i="4"/>
  <c r="J619" i="4"/>
  <c r="J620" i="4"/>
  <c r="J621" i="4"/>
  <c r="J622" i="4"/>
  <c r="J623" i="4"/>
  <c r="J624" i="4"/>
  <c r="J625" i="4"/>
  <c r="J626" i="4"/>
  <c r="J627" i="4"/>
  <c r="J628" i="4"/>
  <c r="J629" i="4"/>
  <c r="J630" i="4"/>
  <c r="J631" i="4"/>
  <c r="J632" i="4"/>
  <c r="J633" i="4"/>
  <c r="J634" i="4"/>
  <c r="J635" i="4"/>
  <c r="J636" i="4"/>
  <c r="J637" i="4"/>
  <c r="J638" i="4"/>
  <c r="J639" i="4"/>
  <c r="J640" i="4"/>
  <c r="J641" i="4"/>
  <c r="J642" i="4"/>
  <c r="J643" i="4"/>
  <c r="J644" i="4"/>
  <c r="J645" i="4"/>
  <c r="J646" i="4"/>
  <c r="J647" i="4"/>
  <c r="J648" i="4"/>
  <c r="J649" i="4"/>
  <c r="J650" i="4"/>
  <c r="J651" i="4"/>
  <c r="J652" i="4"/>
  <c r="J653" i="4"/>
  <c r="J654" i="4"/>
  <c r="J655" i="4"/>
  <c r="J656" i="4"/>
  <c r="J657" i="4"/>
  <c r="J658" i="4"/>
  <c r="J659" i="4"/>
  <c r="J660" i="4"/>
  <c r="J661" i="4"/>
  <c r="J662" i="4"/>
  <c r="J663" i="4"/>
  <c r="J664" i="4"/>
  <c r="J665" i="4"/>
  <c r="J666" i="4"/>
  <c r="J667" i="4"/>
  <c r="J668" i="4"/>
  <c r="J669" i="4"/>
  <c r="J670" i="4"/>
  <c r="J671" i="4"/>
  <c r="J672" i="4"/>
  <c r="J673" i="4"/>
  <c r="J674" i="4"/>
  <c r="J675" i="4"/>
  <c r="J676" i="4"/>
  <c r="J677" i="4"/>
  <c r="J678" i="4"/>
  <c r="J679" i="4"/>
  <c r="J680" i="4"/>
  <c r="J681" i="4"/>
  <c r="J682" i="4"/>
  <c r="J683" i="4"/>
  <c r="J684" i="4"/>
  <c r="J685" i="4"/>
  <c r="J686" i="4"/>
  <c r="J687" i="4"/>
  <c r="J688" i="4"/>
  <c r="J689" i="4"/>
  <c r="J690" i="4"/>
  <c r="J691" i="4"/>
  <c r="J692" i="4"/>
  <c r="J693" i="4"/>
  <c r="J694" i="4"/>
  <c r="J695" i="4"/>
  <c r="J696" i="4"/>
  <c r="J697" i="4"/>
  <c r="J698" i="4"/>
  <c r="J699" i="4"/>
  <c r="J700" i="4"/>
  <c r="J701" i="4"/>
  <c r="J702" i="4"/>
  <c r="J703" i="4"/>
  <c r="J704" i="4"/>
  <c r="J705" i="4"/>
  <c r="J706" i="4"/>
  <c r="J707" i="4"/>
  <c r="J708" i="4"/>
  <c r="J709" i="4"/>
  <c r="J710" i="4"/>
  <c r="J711" i="4"/>
  <c r="J712" i="4"/>
  <c r="J713" i="4"/>
  <c r="J714" i="4"/>
  <c r="J715" i="4"/>
  <c r="J716" i="4"/>
  <c r="J717" i="4"/>
  <c r="J718" i="4"/>
  <c r="J719" i="4"/>
  <c r="J720" i="4"/>
  <c r="J721" i="4"/>
  <c r="J722" i="4"/>
  <c r="J723" i="4"/>
  <c r="J724" i="4"/>
  <c r="J725" i="4"/>
  <c r="J726" i="4"/>
  <c r="J727" i="4"/>
  <c r="J728" i="4"/>
  <c r="J729" i="4"/>
  <c r="J730" i="4"/>
  <c r="J731" i="4"/>
  <c r="J732" i="4"/>
  <c r="J733" i="4"/>
  <c r="J734" i="4"/>
  <c r="J735" i="4"/>
  <c r="J736" i="4"/>
  <c r="J737" i="4"/>
  <c r="J738" i="4"/>
  <c r="J739" i="4"/>
  <c r="J740" i="4"/>
  <c r="J741" i="4"/>
  <c r="J742" i="4"/>
  <c r="J743" i="4"/>
  <c r="J744" i="4"/>
  <c r="J745" i="4"/>
  <c r="J746" i="4"/>
  <c r="J747" i="4"/>
  <c r="J748" i="4"/>
  <c r="J749" i="4"/>
  <c r="J750" i="4"/>
  <c r="J751" i="4"/>
  <c r="J752" i="4"/>
  <c r="J753" i="4"/>
  <c r="J754" i="4"/>
  <c r="J755" i="4"/>
  <c r="J756" i="4"/>
  <c r="J757" i="4"/>
  <c r="J758" i="4"/>
  <c r="J759" i="4"/>
  <c r="J760" i="4"/>
  <c r="J761" i="4"/>
  <c r="J762" i="4"/>
  <c r="J763" i="4"/>
  <c r="J764" i="4"/>
  <c r="J765" i="4"/>
  <c r="J766" i="4"/>
  <c r="J767" i="4"/>
  <c r="J768" i="4"/>
  <c r="J769" i="4"/>
  <c r="J770" i="4"/>
  <c r="J771" i="4"/>
  <c r="J772" i="4"/>
  <c r="J773" i="4"/>
  <c r="J774" i="4"/>
  <c r="J775" i="4"/>
  <c r="J776" i="4"/>
  <c r="J777" i="4"/>
  <c r="J778" i="4"/>
  <c r="J779" i="4"/>
  <c r="J780" i="4"/>
  <c r="J781" i="4"/>
  <c r="J782" i="4"/>
  <c r="J783" i="4"/>
  <c r="J784" i="4"/>
  <c r="J785" i="4"/>
  <c r="J786" i="4"/>
  <c r="J787" i="4"/>
  <c r="J788" i="4"/>
  <c r="J789" i="4"/>
  <c r="J790" i="4"/>
  <c r="J791" i="4"/>
  <c r="J792" i="4"/>
  <c r="J793" i="4"/>
  <c r="J794" i="4"/>
  <c r="J795" i="4"/>
  <c r="J796" i="4"/>
  <c r="J797" i="4"/>
  <c r="J798" i="4"/>
  <c r="J799" i="4"/>
  <c r="J800" i="4"/>
  <c r="J801" i="4"/>
  <c r="J802" i="4"/>
  <c r="J803" i="4"/>
  <c r="J804" i="4"/>
  <c r="J805" i="4"/>
  <c r="J806" i="4"/>
  <c r="J807" i="4"/>
  <c r="J808" i="4"/>
  <c r="J809" i="4"/>
  <c r="J810" i="4"/>
  <c r="J811" i="4"/>
  <c r="J812" i="4"/>
  <c r="J813" i="4"/>
  <c r="J814" i="4"/>
  <c r="J815" i="4"/>
  <c r="J816" i="4"/>
  <c r="J817" i="4"/>
  <c r="J818" i="4"/>
  <c r="J819" i="4"/>
  <c r="J820" i="4"/>
  <c r="J821" i="4"/>
  <c r="J822" i="4"/>
  <c r="J823" i="4"/>
  <c r="J824" i="4"/>
  <c r="J825" i="4"/>
  <c r="J826" i="4"/>
  <c r="J827" i="4"/>
  <c r="J828" i="4"/>
  <c r="J829" i="4"/>
  <c r="J830" i="4"/>
  <c r="J831" i="4"/>
  <c r="J832" i="4"/>
  <c r="J833" i="4"/>
  <c r="J834" i="4"/>
  <c r="J835" i="4"/>
  <c r="J836" i="4"/>
  <c r="J837" i="4"/>
  <c r="J838" i="4"/>
  <c r="J839" i="4"/>
  <c r="J840" i="4"/>
  <c r="J841" i="4"/>
  <c r="J842" i="4"/>
  <c r="J843" i="4"/>
  <c r="J844" i="4"/>
  <c r="J845" i="4"/>
  <c r="J846" i="4"/>
  <c r="J847" i="4"/>
  <c r="J848" i="4"/>
  <c r="J849" i="4"/>
  <c r="J850" i="4"/>
  <c r="J851" i="4"/>
  <c r="J852" i="4"/>
  <c r="J853" i="4"/>
  <c r="J854" i="4"/>
  <c r="J855" i="4"/>
  <c r="J856" i="4"/>
  <c r="J857" i="4"/>
  <c r="J858" i="4"/>
  <c r="J859" i="4"/>
  <c r="J860" i="4"/>
  <c r="J861" i="4"/>
  <c r="J862" i="4"/>
  <c r="J863" i="4"/>
  <c r="J864" i="4"/>
  <c r="J865" i="4"/>
  <c r="J866" i="4"/>
  <c r="J867" i="4"/>
  <c r="J868" i="4"/>
  <c r="J869" i="4"/>
  <c r="J870" i="4"/>
  <c r="J871" i="4"/>
  <c r="J872" i="4"/>
  <c r="J873" i="4"/>
  <c r="J874" i="4"/>
  <c r="J875" i="4"/>
  <c r="J876" i="4"/>
  <c r="J877" i="4"/>
  <c r="J878" i="4"/>
  <c r="J879" i="4"/>
  <c r="J880" i="4"/>
  <c r="J881" i="4"/>
  <c r="J882" i="4"/>
  <c r="J883" i="4"/>
  <c r="J884" i="4"/>
  <c r="J885" i="4"/>
  <c r="J886" i="4"/>
  <c r="J887" i="4"/>
  <c r="J888" i="4"/>
  <c r="J889" i="4"/>
  <c r="J890" i="4"/>
  <c r="J891" i="4"/>
  <c r="J892" i="4"/>
  <c r="J893" i="4"/>
  <c r="J894" i="4"/>
  <c r="J895" i="4"/>
  <c r="J896" i="4"/>
  <c r="J897" i="4"/>
  <c r="J898" i="4"/>
  <c r="J899" i="4"/>
  <c r="J900" i="4"/>
  <c r="J901" i="4"/>
  <c r="J902" i="4"/>
  <c r="J903" i="4"/>
  <c r="J904" i="4"/>
  <c r="J905" i="4"/>
  <c r="J906" i="4"/>
  <c r="J907" i="4"/>
  <c r="J908" i="4"/>
  <c r="J909" i="4"/>
  <c r="J910" i="4"/>
  <c r="J911" i="4"/>
  <c r="J912" i="4"/>
  <c r="J913" i="4"/>
  <c r="J914" i="4"/>
  <c r="J915" i="4"/>
  <c r="J916" i="4"/>
  <c r="J917" i="4"/>
  <c r="J918" i="4"/>
  <c r="J919" i="4"/>
  <c r="J920" i="4"/>
  <c r="J921" i="4"/>
  <c r="J922" i="4"/>
  <c r="J923" i="4"/>
  <c r="J924" i="4"/>
  <c r="J925" i="4"/>
  <c r="J926" i="4"/>
  <c r="J927" i="4"/>
  <c r="J928" i="4"/>
  <c r="J929" i="4"/>
  <c r="J930" i="4"/>
  <c r="J931" i="4"/>
  <c r="J932" i="4"/>
  <c r="J933" i="4"/>
  <c r="J934" i="4"/>
  <c r="J935" i="4"/>
  <c r="J936" i="4"/>
  <c r="J937" i="4"/>
  <c r="J938" i="4"/>
  <c r="J939" i="4"/>
  <c r="J940" i="4"/>
  <c r="J941" i="4"/>
  <c r="J942" i="4"/>
  <c r="J943" i="4"/>
  <c r="J944" i="4"/>
  <c r="J945" i="4"/>
  <c r="J946" i="4"/>
  <c r="J947" i="4"/>
  <c r="J948" i="4"/>
  <c r="J949" i="4"/>
  <c r="J950" i="4"/>
  <c r="J951" i="4"/>
  <c r="J952" i="4"/>
  <c r="J953" i="4"/>
  <c r="J954" i="4"/>
  <c r="J955" i="4"/>
  <c r="J956" i="4"/>
  <c r="J957" i="4"/>
  <c r="J958" i="4"/>
  <c r="J959" i="4"/>
  <c r="J960" i="4"/>
  <c r="J961" i="4"/>
  <c r="J962" i="4"/>
  <c r="J963" i="4"/>
  <c r="J964" i="4"/>
  <c r="J965" i="4"/>
  <c r="J966" i="4"/>
  <c r="J967" i="4"/>
  <c r="J968" i="4"/>
  <c r="J969" i="4"/>
  <c r="J970" i="4"/>
  <c r="J971" i="4"/>
  <c r="J972" i="4"/>
  <c r="J973" i="4"/>
  <c r="J974" i="4"/>
  <c r="J975" i="4"/>
  <c r="J976" i="4"/>
  <c r="J977" i="4"/>
  <c r="J978" i="4"/>
  <c r="J979" i="4"/>
  <c r="J980" i="4"/>
  <c r="J981" i="4"/>
  <c r="J982" i="4"/>
  <c r="J983" i="4"/>
  <c r="J984" i="4"/>
  <c r="J985" i="4"/>
  <c r="J986" i="4"/>
  <c r="J987" i="4"/>
  <c r="J988" i="4"/>
  <c r="J989" i="4"/>
  <c r="J990" i="4"/>
  <c r="J991" i="4"/>
  <c r="J992" i="4"/>
  <c r="J993" i="4"/>
  <c r="J994" i="4"/>
  <c r="J995" i="4"/>
  <c r="J996" i="4"/>
  <c r="J997" i="4"/>
  <c r="J998" i="4"/>
  <c r="J999" i="4"/>
  <c r="J1000" i="4"/>
  <c r="J1001" i="4"/>
  <c r="J1002" i="4"/>
  <c r="J1003" i="4"/>
  <c r="J1004" i="4"/>
  <c r="J1005" i="4"/>
  <c r="J1006" i="4"/>
  <c r="J1007" i="4"/>
  <c r="J1008" i="4"/>
  <c r="J1009" i="4"/>
  <c r="J1010" i="4"/>
  <c r="J1011" i="4"/>
  <c r="J1012" i="4"/>
  <c r="J1013" i="4"/>
  <c r="J1014" i="4"/>
  <c r="J1015" i="4"/>
  <c r="J1016" i="4"/>
  <c r="J1017" i="4"/>
  <c r="J1018" i="4"/>
  <c r="J1019" i="4"/>
  <c r="J1020" i="4"/>
  <c r="J1021" i="4"/>
  <c r="D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449" i="4"/>
  <c r="D450" i="4"/>
  <c r="D451" i="4"/>
  <c r="D452" i="4"/>
  <c r="D453" i="4"/>
  <c r="D454" i="4"/>
  <c r="D455" i="4"/>
  <c r="D456" i="4"/>
  <c r="D457" i="4"/>
  <c r="D458" i="4"/>
  <c r="D459" i="4"/>
  <c r="D460" i="4"/>
  <c r="D461" i="4"/>
  <c r="D462" i="4"/>
  <c r="D463" i="4"/>
  <c r="D464" i="4"/>
  <c r="D465" i="4"/>
  <c r="D466" i="4"/>
  <c r="D467" i="4"/>
  <c r="D468" i="4"/>
  <c r="D469" i="4"/>
  <c r="D470" i="4"/>
  <c r="D471" i="4"/>
  <c r="D472" i="4"/>
  <c r="D473" i="4"/>
  <c r="D474" i="4"/>
  <c r="D475" i="4"/>
  <c r="D476" i="4"/>
  <c r="D477" i="4"/>
  <c r="D478" i="4"/>
  <c r="D479" i="4"/>
  <c r="D480" i="4"/>
  <c r="D481" i="4"/>
  <c r="D482" i="4"/>
  <c r="D483" i="4"/>
  <c r="D484" i="4"/>
  <c r="D485" i="4"/>
  <c r="D486" i="4"/>
  <c r="D487" i="4"/>
  <c r="D488" i="4"/>
  <c r="D489" i="4"/>
  <c r="D490" i="4"/>
  <c r="D491" i="4"/>
  <c r="D492" i="4"/>
  <c r="D493" i="4"/>
  <c r="D494" i="4"/>
  <c r="D495" i="4"/>
  <c r="D496" i="4"/>
  <c r="D497" i="4"/>
  <c r="D498" i="4"/>
  <c r="D499" i="4"/>
  <c r="D500" i="4"/>
  <c r="D501" i="4"/>
  <c r="D502" i="4"/>
  <c r="D503" i="4"/>
  <c r="D504" i="4"/>
  <c r="D505" i="4"/>
  <c r="D506" i="4"/>
  <c r="D507" i="4"/>
  <c r="D508" i="4"/>
  <c r="D509" i="4"/>
  <c r="D510" i="4"/>
  <c r="D511" i="4"/>
  <c r="D512" i="4"/>
  <c r="D513" i="4"/>
  <c r="D514" i="4"/>
  <c r="D515" i="4"/>
  <c r="D516" i="4"/>
  <c r="D517" i="4"/>
  <c r="D518" i="4"/>
  <c r="D519" i="4"/>
  <c r="D520" i="4"/>
  <c r="D521" i="4"/>
  <c r="D522" i="4"/>
  <c r="D523" i="4"/>
  <c r="D524" i="4"/>
  <c r="D525" i="4"/>
  <c r="D526" i="4"/>
  <c r="D527" i="4"/>
  <c r="D528" i="4"/>
  <c r="D529" i="4"/>
  <c r="D530" i="4"/>
  <c r="D531" i="4"/>
  <c r="D532" i="4"/>
  <c r="D533" i="4"/>
  <c r="D534" i="4"/>
  <c r="D535" i="4"/>
  <c r="D536" i="4"/>
  <c r="D537" i="4"/>
  <c r="D538" i="4"/>
  <c r="D539" i="4"/>
  <c r="D540" i="4"/>
  <c r="D541" i="4"/>
  <c r="D542" i="4"/>
  <c r="D543" i="4"/>
  <c r="D544" i="4"/>
  <c r="D545" i="4"/>
  <c r="D546" i="4"/>
  <c r="D547" i="4"/>
  <c r="D548" i="4"/>
  <c r="D549" i="4"/>
  <c r="D550" i="4"/>
  <c r="D551" i="4"/>
  <c r="D552" i="4"/>
  <c r="D553" i="4"/>
  <c r="D554" i="4"/>
  <c r="D555" i="4"/>
  <c r="D556" i="4"/>
  <c r="D557" i="4"/>
  <c r="D558" i="4"/>
  <c r="D559" i="4"/>
  <c r="D560" i="4"/>
  <c r="D561" i="4"/>
  <c r="D562" i="4"/>
  <c r="D563" i="4"/>
  <c r="D564" i="4"/>
  <c r="D565" i="4"/>
  <c r="D566" i="4"/>
  <c r="D567" i="4"/>
  <c r="D568" i="4"/>
  <c r="D569" i="4"/>
  <c r="D570" i="4"/>
  <c r="D571" i="4"/>
  <c r="D572" i="4"/>
  <c r="D573" i="4"/>
  <c r="D574" i="4"/>
  <c r="D575" i="4"/>
  <c r="D576" i="4"/>
  <c r="D577" i="4"/>
  <c r="D578" i="4"/>
  <c r="D579" i="4"/>
  <c r="D580" i="4"/>
  <c r="D581" i="4"/>
  <c r="D582" i="4"/>
  <c r="D583" i="4"/>
  <c r="D584" i="4"/>
  <c r="D585" i="4"/>
  <c r="D586" i="4"/>
  <c r="D587" i="4"/>
  <c r="D588" i="4"/>
  <c r="D589" i="4"/>
  <c r="D590" i="4"/>
  <c r="D591" i="4"/>
  <c r="D592" i="4"/>
  <c r="D593" i="4"/>
  <c r="D594" i="4"/>
  <c r="D595" i="4"/>
  <c r="D596" i="4"/>
  <c r="D597" i="4"/>
  <c r="D598" i="4"/>
  <c r="D599" i="4"/>
  <c r="D600" i="4"/>
  <c r="D601" i="4"/>
  <c r="D602" i="4"/>
  <c r="D603" i="4"/>
  <c r="D604" i="4"/>
  <c r="D605" i="4"/>
  <c r="D606" i="4"/>
  <c r="D607" i="4"/>
  <c r="D608" i="4"/>
  <c r="D609" i="4"/>
  <c r="D610" i="4"/>
  <c r="D611" i="4"/>
  <c r="D612" i="4"/>
  <c r="D613" i="4"/>
  <c r="D614" i="4"/>
  <c r="D615" i="4"/>
  <c r="D616" i="4"/>
  <c r="D617" i="4"/>
  <c r="D618" i="4"/>
  <c r="D619" i="4"/>
  <c r="D620" i="4"/>
  <c r="D621" i="4"/>
  <c r="D622" i="4"/>
  <c r="D623" i="4"/>
  <c r="D624" i="4"/>
  <c r="D625" i="4"/>
  <c r="D626" i="4"/>
  <c r="D627" i="4"/>
  <c r="D628" i="4"/>
  <c r="D629" i="4"/>
  <c r="D630" i="4"/>
  <c r="D631" i="4"/>
  <c r="D632" i="4"/>
  <c r="D633" i="4"/>
  <c r="D634" i="4"/>
  <c r="D635" i="4"/>
  <c r="D636" i="4"/>
  <c r="D637" i="4"/>
  <c r="D638" i="4"/>
  <c r="D639" i="4"/>
  <c r="D640" i="4"/>
  <c r="D641" i="4"/>
  <c r="D642" i="4"/>
  <c r="D643" i="4"/>
  <c r="D644" i="4"/>
  <c r="D645" i="4"/>
  <c r="D646" i="4"/>
  <c r="D647" i="4"/>
  <c r="D648" i="4"/>
  <c r="D649" i="4"/>
  <c r="D650" i="4"/>
  <c r="D651" i="4"/>
  <c r="D652" i="4"/>
  <c r="D653" i="4"/>
  <c r="D654" i="4"/>
  <c r="D655" i="4"/>
  <c r="D656" i="4"/>
  <c r="D657" i="4"/>
  <c r="D658" i="4"/>
  <c r="D659" i="4"/>
  <c r="D660" i="4"/>
  <c r="D661" i="4"/>
  <c r="D662" i="4"/>
  <c r="D663" i="4"/>
  <c r="D664" i="4"/>
  <c r="D665" i="4"/>
  <c r="D666" i="4"/>
  <c r="D667" i="4"/>
  <c r="D668" i="4"/>
  <c r="D669" i="4"/>
  <c r="D670" i="4"/>
  <c r="D671" i="4"/>
  <c r="D672" i="4"/>
  <c r="D673" i="4"/>
  <c r="D674" i="4"/>
  <c r="D675" i="4"/>
  <c r="D676" i="4"/>
  <c r="D677" i="4"/>
  <c r="D678" i="4"/>
  <c r="D679" i="4"/>
  <c r="D680" i="4"/>
  <c r="D681" i="4"/>
  <c r="D682" i="4"/>
  <c r="D683" i="4"/>
  <c r="D684" i="4"/>
  <c r="D685" i="4"/>
  <c r="D686" i="4"/>
  <c r="D687" i="4"/>
  <c r="D688" i="4"/>
  <c r="D689" i="4"/>
  <c r="D690" i="4"/>
  <c r="D691" i="4"/>
  <c r="D692" i="4"/>
  <c r="D693" i="4"/>
  <c r="D694" i="4"/>
  <c r="D695" i="4"/>
  <c r="D696" i="4"/>
  <c r="D697" i="4"/>
  <c r="D698" i="4"/>
  <c r="D699" i="4"/>
  <c r="D700" i="4"/>
  <c r="D701" i="4"/>
  <c r="D702" i="4"/>
  <c r="D703" i="4"/>
  <c r="D704" i="4"/>
  <c r="D705" i="4"/>
  <c r="D706" i="4"/>
  <c r="D707" i="4"/>
  <c r="D708" i="4"/>
  <c r="D709" i="4"/>
  <c r="D710" i="4"/>
  <c r="D711" i="4"/>
  <c r="D712" i="4"/>
  <c r="D713" i="4"/>
  <c r="D714" i="4"/>
  <c r="D715" i="4"/>
  <c r="D716" i="4"/>
  <c r="D717" i="4"/>
  <c r="D718" i="4"/>
  <c r="D719" i="4"/>
  <c r="D720" i="4"/>
  <c r="D721" i="4"/>
  <c r="D722" i="4"/>
  <c r="D723" i="4"/>
  <c r="D724" i="4"/>
  <c r="D725" i="4"/>
  <c r="D726" i="4"/>
  <c r="D727" i="4"/>
  <c r="D728" i="4"/>
  <c r="D729" i="4"/>
  <c r="D730" i="4"/>
  <c r="D731" i="4"/>
  <c r="D732" i="4"/>
  <c r="D733" i="4"/>
  <c r="D734" i="4"/>
  <c r="D735" i="4"/>
  <c r="D736" i="4"/>
  <c r="D737" i="4"/>
  <c r="D738" i="4"/>
  <c r="D739" i="4"/>
  <c r="D740" i="4"/>
  <c r="D741" i="4"/>
  <c r="D742" i="4"/>
  <c r="D743" i="4"/>
  <c r="D744" i="4"/>
  <c r="D745" i="4"/>
  <c r="D746" i="4"/>
  <c r="D747" i="4"/>
  <c r="D748" i="4"/>
  <c r="D749" i="4"/>
  <c r="D750" i="4"/>
  <c r="D751" i="4"/>
  <c r="D752" i="4"/>
  <c r="D753" i="4"/>
  <c r="D754" i="4"/>
  <c r="D755" i="4"/>
  <c r="D756" i="4"/>
  <c r="D757" i="4"/>
  <c r="D758" i="4"/>
  <c r="D759" i="4"/>
  <c r="D760" i="4"/>
  <c r="D761" i="4"/>
  <c r="D762" i="4"/>
  <c r="D763" i="4"/>
  <c r="D764" i="4"/>
  <c r="D765" i="4"/>
  <c r="D766" i="4"/>
  <c r="D767" i="4"/>
  <c r="D768" i="4"/>
  <c r="D769" i="4"/>
  <c r="D770" i="4"/>
  <c r="D771" i="4"/>
  <c r="D772" i="4"/>
  <c r="D773" i="4"/>
  <c r="D774" i="4"/>
  <c r="D775" i="4"/>
  <c r="D776" i="4"/>
  <c r="D777" i="4"/>
  <c r="D778" i="4"/>
  <c r="D779" i="4"/>
  <c r="D780" i="4"/>
  <c r="D781" i="4"/>
  <c r="D782" i="4"/>
  <c r="D783" i="4"/>
  <c r="D784" i="4"/>
  <c r="D785" i="4"/>
  <c r="D786" i="4"/>
  <c r="D787" i="4"/>
  <c r="D788" i="4"/>
  <c r="D789" i="4"/>
  <c r="D790" i="4"/>
  <c r="D791" i="4"/>
  <c r="D792" i="4"/>
  <c r="D793" i="4"/>
  <c r="D794" i="4"/>
  <c r="D795" i="4"/>
  <c r="D796" i="4"/>
  <c r="D797" i="4"/>
  <c r="D798" i="4"/>
  <c r="D799" i="4"/>
  <c r="D800" i="4"/>
  <c r="D801" i="4"/>
  <c r="D802" i="4"/>
  <c r="D803" i="4"/>
  <c r="D804" i="4"/>
  <c r="D805" i="4"/>
  <c r="D806" i="4"/>
  <c r="D807" i="4"/>
  <c r="D808" i="4"/>
  <c r="D809" i="4"/>
  <c r="D810" i="4"/>
  <c r="D811" i="4"/>
  <c r="D812" i="4"/>
  <c r="D813" i="4"/>
  <c r="D814" i="4"/>
  <c r="D815" i="4"/>
  <c r="D816" i="4"/>
  <c r="D817" i="4"/>
  <c r="D818" i="4"/>
  <c r="D819" i="4"/>
  <c r="D820" i="4"/>
  <c r="D821" i="4"/>
  <c r="D822" i="4"/>
  <c r="D823" i="4"/>
  <c r="D824" i="4"/>
  <c r="D825" i="4"/>
  <c r="D826" i="4"/>
  <c r="D827" i="4"/>
  <c r="D828" i="4"/>
  <c r="D829" i="4"/>
  <c r="D830" i="4"/>
  <c r="D831" i="4"/>
  <c r="D832" i="4"/>
  <c r="D833" i="4"/>
  <c r="D834" i="4"/>
  <c r="D835" i="4"/>
  <c r="D836" i="4"/>
  <c r="D837" i="4"/>
  <c r="D838" i="4"/>
  <c r="D839" i="4"/>
  <c r="D840" i="4"/>
  <c r="D841" i="4"/>
  <c r="D842" i="4"/>
  <c r="D843" i="4"/>
  <c r="D844" i="4"/>
  <c r="D845" i="4"/>
  <c r="D846" i="4"/>
  <c r="D847" i="4"/>
  <c r="D848" i="4"/>
  <c r="D849" i="4"/>
  <c r="D850" i="4"/>
  <c r="D851" i="4"/>
  <c r="D852" i="4"/>
  <c r="D853" i="4"/>
  <c r="D854" i="4"/>
  <c r="D855" i="4"/>
  <c r="D856" i="4"/>
  <c r="D857" i="4"/>
  <c r="D858" i="4"/>
  <c r="D859" i="4"/>
  <c r="D860" i="4"/>
  <c r="D861" i="4"/>
  <c r="D862" i="4"/>
  <c r="D863" i="4"/>
  <c r="D864" i="4"/>
  <c r="D865" i="4"/>
  <c r="D866" i="4"/>
  <c r="D867" i="4"/>
  <c r="D868" i="4"/>
  <c r="D869" i="4"/>
  <c r="D870" i="4"/>
  <c r="D871" i="4"/>
  <c r="D872" i="4"/>
  <c r="D873" i="4"/>
  <c r="D874" i="4"/>
  <c r="D875" i="4"/>
  <c r="D876" i="4"/>
  <c r="D877" i="4"/>
  <c r="D878" i="4"/>
  <c r="D879" i="4"/>
  <c r="D880" i="4"/>
  <c r="D881" i="4"/>
  <c r="D882" i="4"/>
  <c r="D883" i="4"/>
  <c r="D884" i="4"/>
  <c r="D885" i="4"/>
  <c r="D886" i="4"/>
  <c r="D887" i="4"/>
  <c r="D888" i="4"/>
  <c r="D889" i="4"/>
  <c r="D890" i="4"/>
  <c r="D891" i="4"/>
  <c r="D892" i="4"/>
  <c r="D893" i="4"/>
  <c r="D894" i="4"/>
  <c r="D895" i="4"/>
  <c r="D896" i="4"/>
  <c r="D897" i="4"/>
  <c r="D898" i="4"/>
  <c r="D899" i="4"/>
  <c r="D900" i="4"/>
  <c r="D901" i="4"/>
  <c r="D902" i="4"/>
  <c r="D903" i="4"/>
  <c r="D904" i="4"/>
  <c r="D905" i="4"/>
  <c r="D906" i="4"/>
  <c r="D907" i="4"/>
  <c r="D908" i="4"/>
  <c r="D909" i="4"/>
  <c r="D910" i="4"/>
  <c r="D911" i="4"/>
  <c r="D912" i="4"/>
  <c r="D913" i="4"/>
  <c r="D914" i="4"/>
  <c r="D915" i="4"/>
  <c r="D916" i="4"/>
  <c r="D917" i="4"/>
  <c r="D918" i="4"/>
  <c r="D919" i="4"/>
  <c r="D920" i="4"/>
  <c r="D921" i="4"/>
  <c r="D922" i="4"/>
  <c r="D923" i="4"/>
  <c r="D924" i="4"/>
  <c r="D925" i="4"/>
  <c r="D926" i="4"/>
  <c r="D927" i="4"/>
  <c r="D928" i="4"/>
  <c r="D929" i="4"/>
  <c r="D930" i="4"/>
  <c r="D931" i="4"/>
  <c r="D932" i="4"/>
  <c r="D933" i="4"/>
  <c r="D934" i="4"/>
  <c r="D935" i="4"/>
  <c r="D936" i="4"/>
  <c r="D937" i="4"/>
  <c r="D938" i="4"/>
  <c r="D939" i="4"/>
  <c r="D940" i="4"/>
  <c r="D941" i="4"/>
  <c r="D942" i="4"/>
  <c r="D943" i="4"/>
  <c r="D944" i="4"/>
  <c r="D945" i="4"/>
  <c r="D946" i="4"/>
  <c r="D947" i="4"/>
  <c r="D948" i="4"/>
  <c r="D949" i="4"/>
  <c r="D950" i="4"/>
  <c r="D951" i="4"/>
  <c r="D952" i="4"/>
  <c r="D953" i="4"/>
  <c r="D954" i="4"/>
  <c r="D955" i="4"/>
  <c r="D956" i="4"/>
  <c r="D957" i="4"/>
  <c r="D958" i="4"/>
  <c r="D959" i="4"/>
  <c r="D960" i="4"/>
  <c r="D961" i="4"/>
  <c r="D962" i="4"/>
  <c r="D963" i="4"/>
  <c r="D964" i="4"/>
  <c r="D965" i="4"/>
  <c r="D966" i="4"/>
  <c r="D967" i="4"/>
  <c r="D968" i="4"/>
  <c r="D969" i="4"/>
  <c r="D970" i="4"/>
  <c r="D971" i="4"/>
  <c r="D972" i="4"/>
  <c r="D973" i="4"/>
  <c r="D974" i="4"/>
  <c r="D975" i="4"/>
  <c r="D976" i="4"/>
  <c r="D977" i="4"/>
  <c r="D978" i="4"/>
  <c r="D979" i="4"/>
  <c r="D980" i="4"/>
  <c r="D981" i="4"/>
  <c r="D982" i="4"/>
  <c r="D983" i="4"/>
  <c r="D984" i="4"/>
  <c r="D985" i="4"/>
  <c r="D986" i="4"/>
  <c r="D987" i="4"/>
  <c r="D988" i="4"/>
  <c r="D989" i="4"/>
  <c r="D990" i="4"/>
  <c r="D991" i="4"/>
  <c r="D992" i="4"/>
  <c r="D993" i="4"/>
  <c r="D994" i="4"/>
  <c r="D995" i="4"/>
  <c r="D996" i="4"/>
  <c r="D997" i="4"/>
  <c r="D998" i="4"/>
  <c r="D999" i="4"/>
  <c r="D1000" i="4"/>
  <c r="D1001" i="4"/>
  <c r="D1002" i="4"/>
  <c r="D1003" i="4"/>
  <c r="D1004" i="4"/>
  <c r="D1005" i="4"/>
  <c r="D1006" i="4"/>
  <c r="D1007" i="4"/>
  <c r="D1008" i="4"/>
  <c r="D1009" i="4"/>
  <c r="D1010" i="4"/>
  <c r="D1011" i="4"/>
  <c r="D1012" i="4"/>
  <c r="D1013" i="4"/>
  <c r="D1014" i="4"/>
  <c r="D1015" i="4"/>
  <c r="D1016" i="4"/>
  <c r="D1017" i="4"/>
  <c r="D1018" i="4"/>
  <c r="D1019" i="4"/>
  <c r="D1020" i="4"/>
  <c r="D1021" i="4"/>
  <c r="H2" i="4"/>
  <c r="H8" i="4"/>
  <c r="H3" i="4"/>
  <c r="H4" i="4"/>
  <c r="H5" i="4"/>
  <c r="H6" i="4"/>
  <c r="H7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379" i="4"/>
  <c r="H380" i="4"/>
  <c r="H381" i="4"/>
  <c r="H382" i="4"/>
  <c r="H383" i="4"/>
  <c r="H384" i="4"/>
  <c r="H385" i="4"/>
  <c r="H386" i="4"/>
  <c r="H387" i="4"/>
  <c r="H388" i="4"/>
  <c r="H389" i="4"/>
  <c r="H390" i="4"/>
  <c r="H391" i="4"/>
  <c r="H392" i="4"/>
  <c r="H393" i="4"/>
  <c r="H394" i="4"/>
  <c r="H395" i="4"/>
  <c r="H396" i="4"/>
  <c r="H397" i="4"/>
  <c r="H398" i="4"/>
  <c r="H399" i="4"/>
  <c r="H400" i="4"/>
  <c r="H401" i="4"/>
  <c r="H402" i="4"/>
  <c r="H403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H424" i="4"/>
  <c r="H425" i="4"/>
  <c r="H426" i="4"/>
  <c r="H427" i="4"/>
  <c r="H428" i="4"/>
  <c r="H429" i="4"/>
  <c r="H430" i="4"/>
  <c r="H431" i="4"/>
  <c r="H432" i="4"/>
  <c r="H433" i="4"/>
  <c r="H434" i="4"/>
  <c r="H435" i="4"/>
  <c r="H436" i="4"/>
  <c r="H437" i="4"/>
  <c r="H438" i="4"/>
  <c r="H439" i="4"/>
  <c r="H440" i="4"/>
  <c r="H441" i="4"/>
  <c r="H442" i="4"/>
  <c r="H443" i="4"/>
  <c r="H444" i="4"/>
  <c r="H445" i="4"/>
  <c r="H446" i="4"/>
  <c r="H447" i="4"/>
  <c r="H448" i="4"/>
  <c r="H449" i="4"/>
  <c r="H450" i="4"/>
  <c r="H451" i="4"/>
  <c r="H452" i="4"/>
  <c r="H453" i="4"/>
  <c r="H454" i="4"/>
  <c r="H455" i="4"/>
  <c r="H456" i="4"/>
  <c r="H457" i="4"/>
  <c r="H458" i="4"/>
  <c r="H459" i="4"/>
  <c r="H460" i="4"/>
  <c r="H461" i="4"/>
  <c r="H462" i="4"/>
  <c r="H463" i="4"/>
  <c r="H464" i="4"/>
  <c r="H465" i="4"/>
  <c r="H466" i="4"/>
  <c r="H467" i="4"/>
  <c r="H468" i="4"/>
  <c r="H469" i="4"/>
  <c r="H470" i="4"/>
  <c r="H471" i="4"/>
  <c r="H472" i="4"/>
  <c r="H473" i="4"/>
  <c r="H474" i="4"/>
  <c r="H475" i="4"/>
  <c r="H476" i="4"/>
  <c r="H477" i="4"/>
  <c r="H478" i="4"/>
  <c r="H479" i="4"/>
  <c r="H480" i="4"/>
  <c r="H481" i="4"/>
  <c r="H482" i="4"/>
  <c r="H483" i="4"/>
  <c r="H484" i="4"/>
  <c r="H485" i="4"/>
  <c r="H486" i="4"/>
  <c r="H487" i="4"/>
  <c r="H488" i="4"/>
  <c r="H489" i="4"/>
  <c r="H490" i="4"/>
  <c r="H491" i="4"/>
  <c r="H492" i="4"/>
  <c r="H493" i="4"/>
  <c r="H494" i="4"/>
  <c r="H495" i="4"/>
  <c r="H496" i="4"/>
  <c r="H497" i="4"/>
  <c r="H498" i="4"/>
  <c r="H499" i="4"/>
  <c r="H500" i="4"/>
  <c r="H501" i="4"/>
  <c r="H502" i="4"/>
  <c r="H503" i="4"/>
  <c r="H504" i="4"/>
  <c r="H505" i="4"/>
  <c r="H506" i="4"/>
  <c r="H507" i="4"/>
  <c r="H508" i="4"/>
  <c r="H509" i="4"/>
  <c r="H510" i="4"/>
  <c r="H511" i="4"/>
  <c r="H512" i="4"/>
  <c r="H513" i="4"/>
  <c r="H514" i="4"/>
  <c r="H515" i="4"/>
  <c r="H516" i="4"/>
  <c r="H517" i="4"/>
  <c r="H518" i="4"/>
  <c r="H519" i="4"/>
  <c r="H520" i="4"/>
  <c r="H521" i="4"/>
  <c r="H522" i="4"/>
  <c r="H523" i="4"/>
  <c r="H524" i="4"/>
  <c r="H525" i="4"/>
  <c r="H526" i="4"/>
  <c r="H527" i="4"/>
  <c r="H528" i="4"/>
  <c r="H529" i="4"/>
  <c r="H530" i="4"/>
  <c r="H531" i="4"/>
  <c r="H532" i="4"/>
  <c r="H533" i="4"/>
  <c r="H534" i="4"/>
  <c r="H535" i="4"/>
  <c r="H536" i="4"/>
  <c r="H537" i="4"/>
  <c r="H538" i="4"/>
  <c r="H539" i="4"/>
  <c r="H540" i="4"/>
  <c r="H541" i="4"/>
  <c r="H542" i="4"/>
  <c r="H543" i="4"/>
  <c r="H544" i="4"/>
  <c r="H545" i="4"/>
  <c r="H546" i="4"/>
  <c r="H547" i="4"/>
  <c r="H548" i="4"/>
  <c r="H549" i="4"/>
  <c r="H550" i="4"/>
  <c r="H551" i="4"/>
  <c r="H552" i="4"/>
  <c r="H553" i="4"/>
  <c r="H554" i="4"/>
  <c r="H555" i="4"/>
  <c r="H556" i="4"/>
  <c r="H557" i="4"/>
  <c r="H558" i="4"/>
  <c r="H559" i="4"/>
  <c r="H560" i="4"/>
  <c r="H561" i="4"/>
  <c r="H562" i="4"/>
  <c r="H563" i="4"/>
  <c r="H564" i="4"/>
  <c r="H565" i="4"/>
  <c r="H566" i="4"/>
  <c r="H567" i="4"/>
  <c r="H568" i="4"/>
  <c r="H569" i="4"/>
  <c r="H570" i="4"/>
  <c r="H571" i="4"/>
  <c r="H572" i="4"/>
  <c r="H573" i="4"/>
  <c r="H574" i="4"/>
  <c r="H575" i="4"/>
  <c r="H576" i="4"/>
  <c r="H577" i="4"/>
  <c r="H578" i="4"/>
  <c r="H579" i="4"/>
  <c r="H580" i="4"/>
  <c r="H581" i="4"/>
  <c r="H582" i="4"/>
  <c r="H583" i="4"/>
  <c r="H584" i="4"/>
  <c r="H585" i="4"/>
  <c r="H586" i="4"/>
  <c r="H587" i="4"/>
  <c r="H588" i="4"/>
  <c r="H589" i="4"/>
  <c r="H590" i="4"/>
  <c r="H591" i="4"/>
  <c r="H592" i="4"/>
  <c r="H593" i="4"/>
  <c r="H594" i="4"/>
  <c r="H595" i="4"/>
  <c r="H596" i="4"/>
  <c r="H597" i="4"/>
  <c r="H598" i="4"/>
  <c r="H599" i="4"/>
  <c r="H600" i="4"/>
  <c r="H601" i="4"/>
  <c r="H602" i="4"/>
  <c r="H603" i="4"/>
  <c r="H604" i="4"/>
  <c r="H605" i="4"/>
  <c r="H606" i="4"/>
  <c r="H607" i="4"/>
  <c r="H608" i="4"/>
  <c r="H609" i="4"/>
  <c r="H610" i="4"/>
  <c r="H611" i="4"/>
  <c r="H612" i="4"/>
  <c r="H613" i="4"/>
  <c r="H614" i="4"/>
  <c r="H615" i="4"/>
  <c r="H616" i="4"/>
  <c r="H617" i="4"/>
  <c r="H618" i="4"/>
  <c r="H619" i="4"/>
  <c r="H620" i="4"/>
  <c r="H621" i="4"/>
  <c r="H622" i="4"/>
  <c r="H623" i="4"/>
  <c r="H624" i="4"/>
  <c r="H625" i="4"/>
  <c r="H626" i="4"/>
  <c r="H627" i="4"/>
  <c r="H628" i="4"/>
  <c r="H629" i="4"/>
  <c r="H630" i="4"/>
  <c r="H631" i="4"/>
  <c r="H632" i="4"/>
  <c r="H633" i="4"/>
  <c r="H634" i="4"/>
  <c r="H635" i="4"/>
  <c r="H636" i="4"/>
  <c r="H637" i="4"/>
  <c r="H638" i="4"/>
  <c r="H639" i="4"/>
  <c r="H640" i="4"/>
  <c r="H641" i="4"/>
  <c r="H642" i="4"/>
  <c r="H643" i="4"/>
  <c r="H644" i="4"/>
  <c r="H645" i="4"/>
  <c r="H646" i="4"/>
  <c r="H647" i="4"/>
  <c r="H648" i="4"/>
  <c r="H649" i="4"/>
  <c r="H650" i="4"/>
  <c r="H651" i="4"/>
  <c r="H652" i="4"/>
  <c r="H653" i="4"/>
  <c r="H654" i="4"/>
  <c r="H655" i="4"/>
  <c r="H656" i="4"/>
  <c r="H657" i="4"/>
  <c r="H658" i="4"/>
  <c r="H659" i="4"/>
  <c r="H660" i="4"/>
  <c r="H661" i="4"/>
  <c r="H662" i="4"/>
  <c r="H663" i="4"/>
  <c r="H664" i="4"/>
  <c r="H665" i="4"/>
  <c r="H666" i="4"/>
  <c r="H667" i="4"/>
  <c r="H668" i="4"/>
  <c r="H669" i="4"/>
  <c r="H670" i="4"/>
  <c r="H671" i="4"/>
  <c r="H672" i="4"/>
  <c r="H673" i="4"/>
  <c r="H674" i="4"/>
  <c r="H675" i="4"/>
  <c r="H676" i="4"/>
  <c r="H677" i="4"/>
  <c r="H678" i="4"/>
  <c r="H679" i="4"/>
  <c r="H680" i="4"/>
  <c r="H681" i="4"/>
  <c r="H682" i="4"/>
  <c r="H683" i="4"/>
  <c r="H684" i="4"/>
  <c r="H685" i="4"/>
  <c r="H686" i="4"/>
  <c r="H687" i="4"/>
  <c r="H688" i="4"/>
  <c r="H689" i="4"/>
  <c r="H690" i="4"/>
  <c r="H691" i="4"/>
  <c r="H692" i="4"/>
  <c r="H693" i="4"/>
  <c r="H694" i="4"/>
  <c r="H695" i="4"/>
  <c r="H696" i="4"/>
  <c r="H697" i="4"/>
  <c r="H698" i="4"/>
  <c r="H699" i="4"/>
  <c r="H700" i="4"/>
  <c r="H701" i="4"/>
  <c r="H702" i="4"/>
  <c r="H703" i="4"/>
  <c r="H704" i="4"/>
  <c r="H705" i="4"/>
  <c r="H706" i="4"/>
  <c r="H707" i="4"/>
  <c r="H708" i="4"/>
  <c r="H709" i="4"/>
  <c r="H710" i="4"/>
  <c r="H711" i="4"/>
  <c r="H712" i="4"/>
  <c r="H713" i="4"/>
  <c r="H714" i="4"/>
  <c r="H715" i="4"/>
  <c r="H716" i="4"/>
  <c r="H717" i="4"/>
  <c r="H718" i="4"/>
  <c r="H719" i="4"/>
  <c r="H720" i="4"/>
  <c r="H721" i="4"/>
  <c r="H722" i="4"/>
  <c r="H723" i="4"/>
  <c r="H724" i="4"/>
  <c r="H725" i="4"/>
  <c r="H726" i="4"/>
  <c r="H727" i="4"/>
  <c r="H728" i="4"/>
  <c r="H729" i="4"/>
  <c r="H730" i="4"/>
  <c r="H731" i="4"/>
  <c r="H732" i="4"/>
  <c r="H733" i="4"/>
  <c r="H734" i="4"/>
  <c r="H735" i="4"/>
  <c r="H736" i="4"/>
  <c r="H737" i="4"/>
  <c r="H738" i="4"/>
  <c r="H739" i="4"/>
  <c r="H740" i="4"/>
  <c r="H741" i="4"/>
  <c r="H742" i="4"/>
  <c r="H743" i="4"/>
  <c r="H744" i="4"/>
  <c r="H745" i="4"/>
  <c r="H746" i="4"/>
  <c r="H747" i="4"/>
  <c r="H748" i="4"/>
  <c r="H749" i="4"/>
  <c r="H750" i="4"/>
  <c r="H751" i="4"/>
  <c r="H752" i="4"/>
  <c r="H753" i="4"/>
  <c r="H754" i="4"/>
  <c r="H755" i="4"/>
  <c r="H756" i="4"/>
  <c r="H757" i="4"/>
  <c r="H758" i="4"/>
  <c r="H759" i="4"/>
  <c r="H760" i="4"/>
  <c r="H761" i="4"/>
  <c r="H762" i="4"/>
  <c r="H763" i="4"/>
  <c r="H764" i="4"/>
  <c r="H765" i="4"/>
  <c r="H766" i="4"/>
  <c r="H767" i="4"/>
  <c r="H768" i="4"/>
  <c r="H769" i="4"/>
  <c r="H770" i="4"/>
  <c r="H771" i="4"/>
  <c r="H772" i="4"/>
  <c r="H773" i="4"/>
  <c r="H774" i="4"/>
  <c r="H775" i="4"/>
  <c r="H776" i="4"/>
  <c r="H777" i="4"/>
  <c r="H778" i="4"/>
  <c r="H779" i="4"/>
  <c r="H780" i="4"/>
  <c r="H781" i="4"/>
  <c r="H782" i="4"/>
  <c r="H783" i="4"/>
  <c r="H784" i="4"/>
  <c r="H785" i="4"/>
  <c r="H786" i="4"/>
  <c r="H787" i="4"/>
  <c r="H788" i="4"/>
  <c r="H789" i="4"/>
  <c r="H790" i="4"/>
  <c r="H791" i="4"/>
  <c r="H792" i="4"/>
  <c r="H793" i="4"/>
  <c r="H794" i="4"/>
  <c r="H795" i="4"/>
  <c r="H796" i="4"/>
  <c r="H797" i="4"/>
  <c r="H798" i="4"/>
  <c r="H799" i="4"/>
  <c r="H800" i="4"/>
  <c r="H801" i="4"/>
  <c r="H802" i="4"/>
  <c r="H803" i="4"/>
  <c r="H804" i="4"/>
  <c r="H805" i="4"/>
  <c r="H806" i="4"/>
  <c r="H807" i="4"/>
  <c r="H808" i="4"/>
  <c r="H809" i="4"/>
  <c r="H810" i="4"/>
  <c r="H811" i="4"/>
  <c r="H812" i="4"/>
  <c r="H813" i="4"/>
  <c r="H814" i="4"/>
  <c r="H815" i="4"/>
  <c r="H816" i="4"/>
  <c r="H817" i="4"/>
  <c r="H818" i="4"/>
  <c r="H819" i="4"/>
  <c r="H820" i="4"/>
  <c r="H821" i="4"/>
  <c r="H822" i="4"/>
  <c r="H823" i="4"/>
  <c r="H824" i="4"/>
  <c r="H825" i="4"/>
  <c r="H826" i="4"/>
  <c r="H827" i="4"/>
  <c r="H828" i="4"/>
  <c r="H829" i="4"/>
  <c r="H830" i="4"/>
  <c r="H831" i="4"/>
  <c r="H832" i="4"/>
  <c r="H833" i="4"/>
  <c r="H834" i="4"/>
  <c r="H835" i="4"/>
  <c r="H836" i="4"/>
  <c r="H837" i="4"/>
  <c r="H838" i="4"/>
  <c r="H839" i="4"/>
  <c r="H840" i="4"/>
  <c r="H841" i="4"/>
  <c r="H842" i="4"/>
  <c r="H843" i="4"/>
  <c r="H844" i="4"/>
  <c r="H845" i="4"/>
  <c r="H846" i="4"/>
  <c r="H847" i="4"/>
  <c r="H848" i="4"/>
  <c r="H849" i="4"/>
  <c r="H850" i="4"/>
  <c r="H851" i="4"/>
  <c r="H852" i="4"/>
  <c r="H853" i="4"/>
  <c r="H854" i="4"/>
  <c r="H855" i="4"/>
  <c r="H856" i="4"/>
  <c r="H857" i="4"/>
  <c r="H858" i="4"/>
  <c r="H859" i="4"/>
  <c r="H860" i="4"/>
  <c r="H861" i="4"/>
  <c r="H862" i="4"/>
  <c r="H863" i="4"/>
  <c r="H864" i="4"/>
  <c r="H865" i="4"/>
  <c r="H866" i="4"/>
  <c r="H867" i="4"/>
  <c r="H868" i="4"/>
  <c r="H869" i="4"/>
  <c r="H870" i="4"/>
  <c r="H871" i="4"/>
  <c r="H872" i="4"/>
  <c r="H873" i="4"/>
  <c r="H874" i="4"/>
  <c r="H875" i="4"/>
  <c r="H876" i="4"/>
  <c r="H877" i="4"/>
  <c r="H878" i="4"/>
  <c r="H879" i="4"/>
  <c r="H880" i="4"/>
  <c r="H881" i="4"/>
  <c r="H882" i="4"/>
  <c r="H883" i="4"/>
  <c r="H884" i="4"/>
  <c r="H885" i="4"/>
  <c r="H886" i="4"/>
  <c r="H887" i="4"/>
  <c r="H888" i="4"/>
  <c r="H889" i="4"/>
  <c r="H890" i="4"/>
  <c r="H891" i="4"/>
  <c r="H892" i="4"/>
  <c r="H893" i="4"/>
  <c r="H894" i="4"/>
  <c r="H895" i="4"/>
  <c r="H896" i="4"/>
  <c r="H897" i="4"/>
  <c r="H898" i="4"/>
  <c r="H899" i="4"/>
  <c r="H900" i="4"/>
  <c r="H901" i="4"/>
  <c r="H902" i="4"/>
  <c r="H903" i="4"/>
  <c r="H904" i="4"/>
  <c r="H905" i="4"/>
  <c r="H906" i="4"/>
  <c r="H907" i="4"/>
  <c r="H908" i="4"/>
  <c r="H909" i="4"/>
  <c r="H910" i="4"/>
  <c r="H911" i="4"/>
  <c r="H912" i="4"/>
  <c r="H913" i="4"/>
  <c r="H914" i="4"/>
  <c r="H915" i="4"/>
  <c r="H916" i="4"/>
  <c r="H917" i="4"/>
  <c r="H918" i="4"/>
  <c r="H919" i="4"/>
  <c r="H920" i="4"/>
  <c r="H921" i="4"/>
  <c r="H922" i="4"/>
  <c r="H923" i="4"/>
  <c r="H924" i="4"/>
  <c r="H925" i="4"/>
  <c r="H926" i="4"/>
  <c r="H927" i="4"/>
  <c r="H928" i="4"/>
  <c r="H929" i="4"/>
  <c r="H930" i="4"/>
  <c r="H931" i="4"/>
  <c r="H932" i="4"/>
  <c r="H933" i="4"/>
  <c r="H934" i="4"/>
  <c r="H935" i="4"/>
  <c r="H936" i="4"/>
  <c r="H937" i="4"/>
  <c r="H938" i="4"/>
  <c r="H939" i="4"/>
  <c r="H940" i="4"/>
  <c r="H941" i="4"/>
  <c r="H942" i="4"/>
  <c r="H943" i="4"/>
  <c r="H944" i="4"/>
  <c r="H945" i="4"/>
  <c r="H946" i="4"/>
  <c r="H947" i="4"/>
  <c r="H948" i="4"/>
  <c r="H949" i="4"/>
  <c r="H950" i="4"/>
  <c r="H951" i="4"/>
  <c r="H952" i="4"/>
  <c r="H953" i="4"/>
  <c r="H954" i="4"/>
  <c r="H955" i="4"/>
  <c r="H956" i="4"/>
  <c r="H957" i="4"/>
  <c r="H958" i="4"/>
  <c r="H959" i="4"/>
  <c r="H960" i="4"/>
  <c r="H961" i="4"/>
  <c r="H962" i="4"/>
  <c r="H963" i="4"/>
  <c r="H964" i="4"/>
  <c r="H965" i="4"/>
  <c r="H966" i="4"/>
  <c r="H967" i="4"/>
  <c r="H968" i="4"/>
  <c r="H969" i="4"/>
  <c r="H970" i="4"/>
  <c r="H971" i="4"/>
  <c r="H972" i="4"/>
  <c r="H973" i="4"/>
  <c r="H974" i="4"/>
  <c r="H975" i="4"/>
  <c r="H976" i="4"/>
  <c r="H977" i="4"/>
  <c r="H978" i="4"/>
  <c r="H979" i="4"/>
  <c r="H980" i="4"/>
  <c r="H981" i="4"/>
  <c r="H982" i="4"/>
  <c r="H983" i="4"/>
  <c r="H984" i="4"/>
  <c r="H985" i="4"/>
  <c r="H986" i="4"/>
  <c r="H987" i="4"/>
  <c r="H988" i="4"/>
  <c r="H989" i="4"/>
  <c r="H990" i="4"/>
  <c r="H991" i="4"/>
  <c r="H992" i="4"/>
  <c r="H993" i="4"/>
  <c r="H994" i="4"/>
  <c r="H995" i="4"/>
  <c r="H996" i="4"/>
  <c r="H997" i="4"/>
  <c r="H998" i="4"/>
  <c r="H999" i="4"/>
  <c r="H1000" i="4"/>
  <c r="H1001" i="4"/>
  <c r="H1002" i="4"/>
  <c r="H1003" i="4"/>
  <c r="H1004" i="4"/>
  <c r="H1005" i="4"/>
  <c r="H1006" i="4"/>
  <c r="H1007" i="4"/>
  <c r="H1008" i="4"/>
  <c r="H1009" i="4"/>
  <c r="H1010" i="4"/>
  <c r="H1011" i="4"/>
  <c r="H1012" i="4"/>
  <c r="H1013" i="4"/>
  <c r="H1014" i="4"/>
  <c r="H1015" i="4"/>
  <c r="H1016" i="4"/>
  <c r="H1017" i="4"/>
  <c r="H1018" i="4"/>
  <c r="H1019" i="4"/>
  <c r="H1020" i="4"/>
  <c r="H1021" i="4"/>
  <c r="G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374" i="4"/>
  <c r="G375" i="4"/>
  <c r="G376" i="4"/>
  <c r="G377" i="4"/>
  <c r="G378" i="4"/>
  <c r="G379" i="4"/>
  <c r="G380" i="4"/>
  <c r="G381" i="4"/>
  <c r="G382" i="4"/>
  <c r="G383" i="4"/>
  <c r="G384" i="4"/>
  <c r="G385" i="4"/>
  <c r="G386" i="4"/>
  <c r="G387" i="4"/>
  <c r="G388" i="4"/>
  <c r="G389" i="4"/>
  <c r="G390" i="4"/>
  <c r="G391" i="4"/>
  <c r="G392" i="4"/>
  <c r="G393" i="4"/>
  <c r="G394" i="4"/>
  <c r="G395" i="4"/>
  <c r="G396" i="4"/>
  <c r="G397" i="4"/>
  <c r="G398" i="4"/>
  <c r="G399" i="4"/>
  <c r="G400" i="4"/>
  <c r="G401" i="4"/>
  <c r="G402" i="4"/>
  <c r="G403" i="4"/>
  <c r="G404" i="4"/>
  <c r="G405" i="4"/>
  <c r="G406" i="4"/>
  <c r="G407" i="4"/>
  <c r="G408" i="4"/>
  <c r="G409" i="4"/>
  <c r="G410" i="4"/>
  <c r="G411" i="4"/>
  <c r="G412" i="4"/>
  <c r="G413" i="4"/>
  <c r="G414" i="4"/>
  <c r="G415" i="4"/>
  <c r="G416" i="4"/>
  <c r="G417" i="4"/>
  <c r="G418" i="4"/>
  <c r="G419" i="4"/>
  <c r="G420" i="4"/>
  <c r="G421" i="4"/>
  <c r="G422" i="4"/>
  <c r="G423" i="4"/>
  <c r="G424" i="4"/>
  <c r="G425" i="4"/>
  <c r="G426" i="4"/>
  <c r="G427" i="4"/>
  <c r="G428" i="4"/>
  <c r="G429" i="4"/>
  <c r="G430" i="4"/>
  <c r="G431" i="4"/>
  <c r="G432" i="4"/>
  <c r="G433" i="4"/>
  <c r="G434" i="4"/>
  <c r="G435" i="4"/>
  <c r="G436" i="4"/>
  <c r="G437" i="4"/>
  <c r="G438" i="4"/>
  <c r="G439" i="4"/>
  <c r="G440" i="4"/>
  <c r="G441" i="4"/>
  <c r="G442" i="4"/>
  <c r="G443" i="4"/>
  <c r="G444" i="4"/>
  <c r="G445" i="4"/>
  <c r="G446" i="4"/>
  <c r="G447" i="4"/>
  <c r="G448" i="4"/>
  <c r="G449" i="4"/>
  <c r="G450" i="4"/>
  <c r="G451" i="4"/>
  <c r="G452" i="4"/>
  <c r="G453" i="4"/>
  <c r="G454" i="4"/>
  <c r="G455" i="4"/>
  <c r="G456" i="4"/>
  <c r="G457" i="4"/>
  <c r="G458" i="4"/>
  <c r="G459" i="4"/>
  <c r="G460" i="4"/>
  <c r="G461" i="4"/>
  <c r="G462" i="4"/>
  <c r="G463" i="4"/>
  <c r="G464" i="4"/>
  <c r="G465" i="4"/>
  <c r="G466" i="4"/>
  <c r="G467" i="4"/>
  <c r="G468" i="4"/>
  <c r="G469" i="4"/>
  <c r="G470" i="4"/>
  <c r="G471" i="4"/>
  <c r="G472" i="4"/>
  <c r="G473" i="4"/>
  <c r="G474" i="4"/>
  <c r="G475" i="4"/>
  <c r="G476" i="4"/>
  <c r="G477" i="4"/>
  <c r="G478" i="4"/>
  <c r="G479" i="4"/>
  <c r="G480" i="4"/>
  <c r="G481" i="4"/>
  <c r="G482" i="4"/>
  <c r="G483" i="4"/>
  <c r="G484" i="4"/>
  <c r="G485" i="4"/>
  <c r="G486" i="4"/>
  <c r="G487" i="4"/>
  <c r="G488" i="4"/>
  <c r="G489" i="4"/>
  <c r="G490" i="4"/>
  <c r="G491" i="4"/>
  <c r="G492" i="4"/>
  <c r="G493" i="4"/>
  <c r="G494" i="4"/>
  <c r="G495" i="4"/>
  <c r="G496" i="4"/>
  <c r="G497" i="4"/>
  <c r="G498" i="4"/>
  <c r="G499" i="4"/>
  <c r="G500" i="4"/>
  <c r="G501" i="4"/>
  <c r="G502" i="4"/>
  <c r="G503" i="4"/>
  <c r="G504" i="4"/>
  <c r="G505" i="4"/>
  <c r="G506" i="4"/>
  <c r="G507" i="4"/>
  <c r="G508" i="4"/>
  <c r="G509" i="4"/>
  <c r="G510" i="4"/>
  <c r="G511" i="4"/>
  <c r="G512" i="4"/>
  <c r="G513" i="4"/>
  <c r="G514" i="4"/>
  <c r="G515" i="4"/>
  <c r="G516" i="4"/>
  <c r="G517" i="4"/>
  <c r="G518" i="4"/>
  <c r="G519" i="4"/>
  <c r="G520" i="4"/>
  <c r="G521" i="4"/>
  <c r="G522" i="4"/>
  <c r="G523" i="4"/>
  <c r="G524" i="4"/>
  <c r="G525" i="4"/>
  <c r="G526" i="4"/>
  <c r="G527" i="4"/>
  <c r="G528" i="4"/>
  <c r="G529" i="4"/>
  <c r="G530" i="4"/>
  <c r="G531" i="4"/>
  <c r="G532" i="4"/>
  <c r="G533" i="4"/>
  <c r="G534" i="4"/>
  <c r="G535" i="4"/>
  <c r="G536" i="4"/>
  <c r="G537" i="4"/>
  <c r="G538" i="4"/>
  <c r="G539" i="4"/>
  <c r="G540" i="4"/>
  <c r="G541" i="4"/>
  <c r="G542" i="4"/>
  <c r="G543" i="4"/>
  <c r="G544" i="4"/>
  <c r="G545" i="4"/>
  <c r="G546" i="4"/>
  <c r="G547" i="4"/>
  <c r="G548" i="4"/>
  <c r="G549" i="4"/>
  <c r="G550" i="4"/>
  <c r="G551" i="4"/>
  <c r="G552" i="4"/>
  <c r="G553" i="4"/>
  <c r="G554" i="4"/>
  <c r="G555" i="4"/>
  <c r="G556" i="4"/>
  <c r="G557" i="4"/>
  <c r="G558" i="4"/>
  <c r="G559" i="4"/>
  <c r="G560" i="4"/>
  <c r="G561" i="4"/>
  <c r="G562" i="4"/>
  <c r="G563" i="4"/>
  <c r="G564" i="4"/>
  <c r="G565" i="4"/>
  <c r="G566" i="4"/>
  <c r="G567" i="4"/>
  <c r="G568" i="4"/>
  <c r="G569" i="4"/>
  <c r="G570" i="4"/>
  <c r="G571" i="4"/>
  <c r="G572" i="4"/>
  <c r="G573" i="4"/>
  <c r="G574" i="4"/>
  <c r="G575" i="4"/>
  <c r="G576" i="4"/>
  <c r="G577" i="4"/>
  <c r="G578" i="4"/>
  <c r="G579" i="4"/>
  <c r="G580" i="4"/>
  <c r="G581" i="4"/>
  <c r="G582" i="4"/>
  <c r="G583" i="4"/>
  <c r="G584" i="4"/>
  <c r="G585" i="4"/>
  <c r="G586" i="4"/>
  <c r="G587" i="4"/>
  <c r="G588" i="4"/>
  <c r="G589" i="4"/>
  <c r="G590" i="4"/>
  <c r="G591" i="4"/>
  <c r="G592" i="4"/>
  <c r="G593" i="4"/>
  <c r="G594" i="4"/>
  <c r="G595" i="4"/>
  <c r="G596" i="4"/>
  <c r="G597" i="4"/>
  <c r="G598" i="4"/>
  <c r="G599" i="4"/>
  <c r="G600" i="4"/>
  <c r="G601" i="4"/>
  <c r="G602" i="4"/>
  <c r="G603" i="4"/>
  <c r="G604" i="4"/>
  <c r="G605" i="4"/>
  <c r="G606" i="4"/>
  <c r="G607" i="4"/>
  <c r="G608" i="4"/>
  <c r="G609" i="4"/>
  <c r="G610" i="4"/>
  <c r="G611" i="4"/>
  <c r="G612" i="4"/>
  <c r="G613" i="4"/>
  <c r="G614" i="4"/>
  <c r="G615" i="4"/>
  <c r="G616" i="4"/>
  <c r="G617" i="4"/>
  <c r="G618" i="4"/>
  <c r="G619" i="4"/>
  <c r="G620" i="4"/>
  <c r="G621" i="4"/>
  <c r="G622" i="4"/>
  <c r="G623" i="4"/>
  <c r="G624" i="4"/>
  <c r="G625" i="4"/>
  <c r="G626" i="4"/>
  <c r="G627" i="4"/>
  <c r="G628" i="4"/>
  <c r="G629" i="4"/>
  <c r="G630" i="4"/>
  <c r="G631" i="4"/>
  <c r="G632" i="4"/>
  <c r="G633" i="4"/>
  <c r="G634" i="4"/>
  <c r="G635" i="4"/>
  <c r="G636" i="4"/>
  <c r="G637" i="4"/>
  <c r="G638" i="4"/>
  <c r="G639" i="4"/>
  <c r="G640" i="4"/>
  <c r="G641" i="4"/>
  <c r="G642" i="4"/>
  <c r="G643" i="4"/>
  <c r="G644" i="4"/>
  <c r="G645" i="4"/>
  <c r="G646" i="4"/>
  <c r="G647" i="4"/>
  <c r="G648" i="4"/>
  <c r="G649" i="4"/>
  <c r="G650" i="4"/>
  <c r="G651" i="4"/>
  <c r="G652" i="4"/>
  <c r="G653" i="4"/>
  <c r="G654" i="4"/>
  <c r="G655" i="4"/>
  <c r="G656" i="4"/>
  <c r="G657" i="4"/>
  <c r="G658" i="4"/>
  <c r="G659" i="4"/>
  <c r="G660" i="4"/>
  <c r="G661" i="4"/>
  <c r="G662" i="4"/>
  <c r="G663" i="4"/>
  <c r="G664" i="4"/>
  <c r="G665" i="4"/>
  <c r="G666" i="4"/>
  <c r="G667" i="4"/>
  <c r="G668" i="4"/>
  <c r="G669" i="4"/>
  <c r="G670" i="4"/>
  <c r="G671" i="4"/>
  <c r="G672" i="4"/>
  <c r="G673" i="4"/>
  <c r="G674" i="4"/>
  <c r="G675" i="4"/>
  <c r="G676" i="4"/>
  <c r="G677" i="4"/>
  <c r="G678" i="4"/>
  <c r="G679" i="4"/>
  <c r="G680" i="4"/>
  <c r="G681" i="4"/>
  <c r="G682" i="4"/>
  <c r="G683" i="4"/>
  <c r="G684" i="4"/>
  <c r="G685" i="4"/>
  <c r="G686" i="4"/>
  <c r="G687" i="4"/>
  <c r="G688" i="4"/>
  <c r="G689" i="4"/>
  <c r="G690" i="4"/>
  <c r="G691" i="4"/>
  <c r="G692" i="4"/>
  <c r="G693" i="4"/>
  <c r="G694" i="4"/>
  <c r="G695" i="4"/>
  <c r="G696" i="4"/>
  <c r="G697" i="4"/>
  <c r="G698" i="4"/>
  <c r="G699" i="4"/>
  <c r="G700" i="4"/>
  <c r="G701" i="4"/>
  <c r="G702" i="4"/>
  <c r="G703" i="4"/>
  <c r="G704" i="4"/>
  <c r="G705" i="4"/>
  <c r="G706" i="4"/>
  <c r="G707" i="4"/>
  <c r="G708" i="4"/>
  <c r="G709" i="4"/>
  <c r="G710" i="4"/>
  <c r="G711" i="4"/>
  <c r="G712" i="4"/>
  <c r="G713" i="4"/>
  <c r="G714" i="4"/>
  <c r="G715" i="4"/>
  <c r="G716" i="4"/>
  <c r="G717" i="4"/>
  <c r="G718" i="4"/>
  <c r="G719" i="4"/>
  <c r="G720" i="4"/>
  <c r="G721" i="4"/>
  <c r="G722" i="4"/>
  <c r="G723" i="4"/>
  <c r="G724" i="4"/>
  <c r="G725" i="4"/>
  <c r="G726" i="4"/>
  <c r="G727" i="4"/>
  <c r="G728" i="4"/>
  <c r="G729" i="4"/>
  <c r="G730" i="4"/>
  <c r="G731" i="4"/>
  <c r="G732" i="4"/>
  <c r="G733" i="4"/>
  <c r="G734" i="4"/>
  <c r="G735" i="4"/>
  <c r="G736" i="4"/>
  <c r="G737" i="4"/>
  <c r="G738" i="4"/>
  <c r="G739" i="4"/>
  <c r="G740" i="4"/>
  <c r="G741" i="4"/>
  <c r="G742" i="4"/>
  <c r="G743" i="4"/>
  <c r="G744" i="4"/>
  <c r="G745" i="4"/>
  <c r="G746" i="4"/>
  <c r="G747" i="4"/>
  <c r="G748" i="4"/>
  <c r="G749" i="4"/>
  <c r="G750" i="4"/>
  <c r="G751" i="4"/>
  <c r="G752" i="4"/>
  <c r="G753" i="4"/>
  <c r="G754" i="4"/>
  <c r="G755" i="4"/>
  <c r="G756" i="4"/>
  <c r="G757" i="4"/>
  <c r="G758" i="4"/>
  <c r="G759" i="4"/>
  <c r="G760" i="4"/>
  <c r="G761" i="4"/>
  <c r="G762" i="4"/>
  <c r="G763" i="4"/>
  <c r="G764" i="4"/>
  <c r="G765" i="4"/>
  <c r="G766" i="4"/>
  <c r="G767" i="4"/>
  <c r="G768" i="4"/>
  <c r="G769" i="4"/>
  <c r="G770" i="4"/>
  <c r="G771" i="4"/>
  <c r="G772" i="4"/>
  <c r="G773" i="4"/>
  <c r="G774" i="4"/>
  <c r="G775" i="4"/>
  <c r="G776" i="4"/>
  <c r="G777" i="4"/>
  <c r="G778" i="4"/>
  <c r="G779" i="4"/>
  <c r="G780" i="4"/>
  <c r="G781" i="4"/>
  <c r="G782" i="4"/>
  <c r="G783" i="4"/>
  <c r="G784" i="4"/>
  <c r="G785" i="4"/>
  <c r="G786" i="4"/>
  <c r="G787" i="4"/>
  <c r="G788" i="4"/>
  <c r="G789" i="4"/>
  <c r="G790" i="4"/>
  <c r="G791" i="4"/>
  <c r="G792" i="4"/>
  <c r="G793" i="4"/>
  <c r="G794" i="4"/>
  <c r="G795" i="4"/>
  <c r="G796" i="4"/>
  <c r="G797" i="4"/>
  <c r="G798" i="4"/>
  <c r="G799" i="4"/>
  <c r="G800" i="4"/>
  <c r="G801" i="4"/>
  <c r="G802" i="4"/>
  <c r="G803" i="4"/>
  <c r="G804" i="4"/>
  <c r="G805" i="4"/>
  <c r="G806" i="4"/>
  <c r="G807" i="4"/>
  <c r="G808" i="4"/>
  <c r="G809" i="4"/>
  <c r="G810" i="4"/>
  <c r="G811" i="4"/>
  <c r="G812" i="4"/>
  <c r="G813" i="4"/>
  <c r="G814" i="4"/>
  <c r="G815" i="4"/>
  <c r="G816" i="4"/>
  <c r="G817" i="4"/>
  <c r="G818" i="4"/>
  <c r="G819" i="4"/>
  <c r="G820" i="4"/>
  <c r="G821" i="4"/>
  <c r="G822" i="4"/>
  <c r="G823" i="4"/>
  <c r="G824" i="4"/>
  <c r="G825" i="4"/>
  <c r="G826" i="4"/>
  <c r="G827" i="4"/>
  <c r="G828" i="4"/>
  <c r="G829" i="4"/>
  <c r="G830" i="4"/>
  <c r="G831" i="4"/>
  <c r="G832" i="4"/>
  <c r="G833" i="4"/>
  <c r="G834" i="4"/>
  <c r="G835" i="4"/>
  <c r="G836" i="4"/>
  <c r="G837" i="4"/>
  <c r="G838" i="4"/>
  <c r="G839" i="4"/>
  <c r="G840" i="4"/>
  <c r="G841" i="4"/>
  <c r="G842" i="4"/>
  <c r="G843" i="4"/>
  <c r="G844" i="4"/>
  <c r="G845" i="4"/>
  <c r="G846" i="4"/>
  <c r="G847" i="4"/>
  <c r="G848" i="4"/>
  <c r="G849" i="4"/>
  <c r="G850" i="4"/>
  <c r="G851" i="4"/>
  <c r="G852" i="4"/>
  <c r="G853" i="4"/>
  <c r="G854" i="4"/>
  <c r="G855" i="4"/>
  <c r="G856" i="4"/>
  <c r="G857" i="4"/>
  <c r="G858" i="4"/>
  <c r="G859" i="4"/>
  <c r="G860" i="4"/>
  <c r="G861" i="4"/>
  <c r="G862" i="4"/>
  <c r="G863" i="4"/>
  <c r="G864" i="4"/>
  <c r="G865" i="4"/>
  <c r="G866" i="4"/>
  <c r="G867" i="4"/>
  <c r="G868" i="4"/>
  <c r="G869" i="4"/>
  <c r="G870" i="4"/>
  <c r="G871" i="4"/>
  <c r="G872" i="4"/>
  <c r="G873" i="4"/>
  <c r="G874" i="4"/>
  <c r="G875" i="4"/>
  <c r="G876" i="4"/>
  <c r="G877" i="4"/>
  <c r="G878" i="4"/>
  <c r="G879" i="4"/>
  <c r="G880" i="4"/>
  <c r="G881" i="4"/>
  <c r="G882" i="4"/>
  <c r="G883" i="4"/>
  <c r="G884" i="4"/>
  <c r="G885" i="4"/>
  <c r="G886" i="4"/>
  <c r="G887" i="4"/>
  <c r="G888" i="4"/>
  <c r="G889" i="4"/>
  <c r="G890" i="4"/>
  <c r="G891" i="4"/>
  <c r="G892" i="4"/>
  <c r="G893" i="4"/>
  <c r="G894" i="4"/>
  <c r="G895" i="4"/>
  <c r="G896" i="4"/>
  <c r="G897" i="4"/>
  <c r="G898" i="4"/>
  <c r="G899" i="4"/>
  <c r="G900" i="4"/>
  <c r="G901" i="4"/>
  <c r="G902" i="4"/>
  <c r="G903" i="4"/>
  <c r="G904" i="4"/>
  <c r="G905" i="4"/>
  <c r="G906" i="4"/>
  <c r="G907" i="4"/>
  <c r="G908" i="4"/>
  <c r="G909" i="4"/>
  <c r="G910" i="4"/>
  <c r="G911" i="4"/>
  <c r="G912" i="4"/>
  <c r="G913" i="4"/>
  <c r="G914" i="4"/>
  <c r="G915" i="4"/>
  <c r="G916" i="4"/>
  <c r="G917" i="4"/>
  <c r="G918" i="4"/>
  <c r="G919" i="4"/>
  <c r="G920" i="4"/>
  <c r="G921" i="4"/>
  <c r="G922" i="4"/>
  <c r="G923" i="4"/>
  <c r="G924" i="4"/>
  <c r="G925" i="4"/>
  <c r="G926" i="4"/>
  <c r="G927" i="4"/>
  <c r="G928" i="4"/>
  <c r="G929" i="4"/>
  <c r="G930" i="4"/>
  <c r="G931" i="4"/>
  <c r="G932" i="4"/>
  <c r="G933" i="4"/>
  <c r="G934" i="4"/>
  <c r="G935" i="4"/>
  <c r="G936" i="4"/>
  <c r="G937" i="4"/>
  <c r="G938" i="4"/>
  <c r="G939" i="4"/>
  <c r="G940" i="4"/>
  <c r="G941" i="4"/>
  <c r="G942" i="4"/>
  <c r="G943" i="4"/>
  <c r="G944" i="4"/>
  <c r="G945" i="4"/>
  <c r="G946" i="4"/>
  <c r="G947" i="4"/>
  <c r="G948" i="4"/>
  <c r="G949" i="4"/>
  <c r="G950" i="4"/>
  <c r="G951" i="4"/>
  <c r="G952" i="4"/>
  <c r="G953" i="4"/>
  <c r="G954" i="4"/>
  <c r="G955" i="4"/>
  <c r="G956" i="4"/>
  <c r="G957" i="4"/>
  <c r="G958" i="4"/>
  <c r="G959" i="4"/>
  <c r="G960" i="4"/>
  <c r="G961" i="4"/>
  <c r="G962" i="4"/>
  <c r="G963" i="4"/>
  <c r="G964" i="4"/>
  <c r="G965" i="4"/>
  <c r="G966" i="4"/>
  <c r="G967" i="4"/>
  <c r="G968" i="4"/>
  <c r="G969" i="4"/>
  <c r="G970" i="4"/>
  <c r="G971" i="4"/>
  <c r="G972" i="4"/>
  <c r="G973" i="4"/>
  <c r="G974" i="4"/>
  <c r="G975" i="4"/>
  <c r="G976" i="4"/>
  <c r="G977" i="4"/>
  <c r="G978" i="4"/>
  <c r="G979" i="4"/>
  <c r="G980" i="4"/>
  <c r="G981" i="4"/>
  <c r="G982" i="4"/>
  <c r="G983" i="4"/>
  <c r="G984" i="4"/>
  <c r="G985" i="4"/>
  <c r="G986" i="4"/>
  <c r="G987" i="4"/>
  <c r="G988" i="4"/>
  <c r="G989" i="4"/>
  <c r="G990" i="4"/>
  <c r="G991" i="4"/>
  <c r="G992" i="4"/>
  <c r="G993" i="4"/>
  <c r="G994" i="4"/>
  <c r="G995" i="4"/>
  <c r="G996" i="4"/>
  <c r="G997" i="4"/>
  <c r="G998" i="4"/>
  <c r="G999" i="4"/>
  <c r="G1000" i="4"/>
  <c r="G1001" i="4"/>
  <c r="G1002" i="4"/>
  <c r="G1003" i="4"/>
  <c r="G1004" i="4"/>
  <c r="G1005" i="4"/>
  <c r="G1006" i="4"/>
  <c r="G1007" i="4"/>
  <c r="G1008" i="4"/>
  <c r="G1009" i="4"/>
  <c r="G1010" i="4"/>
  <c r="G1011" i="4"/>
  <c r="G1012" i="4"/>
  <c r="G1013" i="4"/>
  <c r="G1014" i="4"/>
  <c r="G1015" i="4"/>
  <c r="G1016" i="4"/>
  <c r="G1017" i="4"/>
  <c r="G1018" i="4"/>
  <c r="G1019" i="4"/>
  <c r="G1020" i="4"/>
  <c r="G1021" i="4"/>
  <c r="F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F502" i="4"/>
  <c r="F503" i="4"/>
  <c r="F504" i="4"/>
  <c r="F505" i="4"/>
  <c r="F506" i="4"/>
  <c r="F507" i="4"/>
  <c r="F508" i="4"/>
  <c r="F509" i="4"/>
  <c r="F510" i="4"/>
  <c r="F511" i="4"/>
  <c r="F512" i="4"/>
  <c r="F513" i="4"/>
  <c r="F514" i="4"/>
  <c r="F515" i="4"/>
  <c r="F516" i="4"/>
  <c r="F517" i="4"/>
  <c r="F518" i="4"/>
  <c r="F519" i="4"/>
  <c r="F520" i="4"/>
  <c r="F521" i="4"/>
  <c r="F522" i="4"/>
  <c r="F523" i="4"/>
  <c r="F524" i="4"/>
  <c r="F525" i="4"/>
  <c r="F526" i="4"/>
  <c r="F527" i="4"/>
  <c r="F528" i="4"/>
  <c r="F529" i="4"/>
  <c r="F530" i="4"/>
  <c r="F531" i="4"/>
  <c r="F532" i="4"/>
  <c r="F533" i="4"/>
  <c r="F534" i="4"/>
  <c r="F535" i="4"/>
  <c r="F536" i="4"/>
  <c r="F537" i="4"/>
  <c r="F538" i="4"/>
  <c r="F539" i="4"/>
  <c r="F540" i="4"/>
  <c r="F541" i="4"/>
  <c r="F542" i="4"/>
  <c r="F543" i="4"/>
  <c r="F544" i="4"/>
  <c r="F545" i="4"/>
  <c r="F546" i="4"/>
  <c r="F547" i="4"/>
  <c r="F548" i="4"/>
  <c r="F549" i="4"/>
  <c r="F550" i="4"/>
  <c r="F551" i="4"/>
  <c r="F552" i="4"/>
  <c r="F553" i="4"/>
  <c r="F554" i="4"/>
  <c r="F555" i="4"/>
  <c r="F556" i="4"/>
  <c r="F557" i="4"/>
  <c r="F558" i="4"/>
  <c r="F559" i="4"/>
  <c r="F560" i="4"/>
  <c r="F561" i="4"/>
  <c r="F562" i="4"/>
  <c r="F563" i="4"/>
  <c r="F564" i="4"/>
  <c r="F565" i="4"/>
  <c r="F566" i="4"/>
  <c r="F567" i="4"/>
  <c r="F568" i="4"/>
  <c r="F569" i="4"/>
  <c r="F570" i="4"/>
  <c r="F571" i="4"/>
  <c r="F572" i="4"/>
  <c r="F573" i="4"/>
  <c r="F574" i="4"/>
  <c r="F575" i="4"/>
  <c r="F576" i="4"/>
  <c r="F577" i="4"/>
  <c r="F578" i="4"/>
  <c r="F579" i="4"/>
  <c r="F580" i="4"/>
  <c r="F581" i="4"/>
  <c r="F582" i="4"/>
  <c r="F583" i="4"/>
  <c r="F584" i="4"/>
  <c r="F585" i="4"/>
  <c r="F586" i="4"/>
  <c r="F587" i="4"/>
  <c r="F588" i="4"/>
  <c r="F589" i="4"/>
  <c r="F590" i="4"/>
  <c r="F591" i="4"/>
  <c r="F592" i="4"/>
  <c r="F593" i="4"/>
  <c r="F594" i="4"/>
  <c r="F595" i="4"/>
  <c r="F596" i="4"/>
  <c r="F597" i="4"/>
  <c r="F598" i="4"/>
  <c r="F599" i="4"/>
  <c r="F600" i="4"/>
  <c r="F601" i="4"/>
  <c r="F602" i="4"/>
  <c r="F603" i="4"/>
  <c r="F604" i="4"/>
  <c r="F605" i="4"/>
  <c r="F606" i="4"/>
  <c r="F607" i="4"/>
  <c r="F608" i="4"/>
  <c r="F609" i="4"/>
  <c r="F610" i="4"/>
  <c r="F611" i="4"/>
  <c r="F612" i="4"/>
  <c r="F613" i="4"/>
  <c r="F614" i="4"/>
  <c r="F615" i="4"/>
  <c r="F616" i="4"/>
  <c r="F617" i="4"/>
  <c r="F618" i="4"/>
  <c r="F619" i="4"/>
  <c r="F620" i="4"/>
  <c r="F621" i="4"/>
  <c r="F622" i="4"/>
  <c r="F623" i="4"/>
  <c r="F624" i="4"/>
  <c r="F625" i="4"/>
  <c r="F626" i="4"/>
  <c r="F627" i="4"/>
  <c r="F628" i="4"/>
  <c r="F629" i="4"/>
  <c r="F630" i="4"/>
  <c r="F631" i="4"/>
  <c r="F632" i="4"/>
  <c r="F633" i="4"/>
  <c r="F634" i="4"/>
  <c r="F635" i="4"/>
  <c r="F636" i="4"/>
  <c r="F637" i="4"/>
  <c r="F638" i="4"/>
  <c r="F639" i="4"/>
  <c r="F640" i="4"/>
  <c r="F641" i="4"/>
  <c r="F642" i="4"/>
  <c r="F643" i="4"/>
  <c r="F644" i="4"/>
  <c r="F645" i="4"/>
  <c r="F646" i="4"/>
  <c r="F647" i="4"/>
  <c r="F648" i="4"/>
  <c r="F649" i="4"/>
  <c r="F650" i="4"/>
  <c r="F651" i="4"/>
  <c r="F652" i="4"/>
  <c r="F653" i="4"/>
  <c r="F654" i="4"/>
  <c r="F655" i="4"/>
  <c r="F656" i="4"/>
  <c r="F657" i="4"/>
  <c r="F658" i="4"/>
  <c r="F659" i="4"/>
  <c r="F660" i="4"/>
  <c r="F661" i="4"/>
  <c r="F662" i="4"/>
  <c r="F663" i="4"/>
  <c r="F664" i="4"/>
  <c r="F665" i="4"/>
  <c r="F666" i="4"/>
  <c r="F667" i="4"/>
  <c r="F668" i="4"/>
  <c r="F669" i="4"/>
  <c r="F670" i="4"/>
  <c r="F671" i="4"/>
  <c r="F672" i="4"/>
  <c r="F673" i="4"/>
  <c r="F674" i="4"/>
  <c r="F675" i="4"/>
  <c r="F676" i="4"/>
  <c r="F677" i="4"/>
  <c r="F678" i="4"/>
  <c r="F679" i="4"/>
  <c r="F680" i="4"/>
  <c r="F681" i="4"/>
  <c r="F682" i="4"/>
  <c r="F683" i="4"/>
  <c r="F684" i="4"/>
  <c r="F685" i="4"/>
  <c r="F686" i="4"/>
  <c r="F687" i="4"/>
  <c r="F688" i="4"/>
  <c r="F689" i="4"/>
  <c r="F690" i="4"/>
  <c r="F691" i="4"/>
  <c r="F692" i="4"/>
  <c r="F693" i="4"/>
  <c r="F694" i="4"/>
  <c r="F695" i="4"/>
  <c r="F696" i="4"/>
  <c r="F697" i="4"/>
  <c r="F698" i="4"/>
  <c r="F699" i="4"/>
  <c r="F700" i="4"/>
  <c r="F701" i="4"/>
  <c r="F702" i="4"/>
  <c r="F703" i="4"/>
  <c r="F704" i="4"/>
  <c r="F705" i="4"/>
  <c r="F706" i="4"/>
  <c r="F707" i="4"/>
  <c r="F708" i="4"/>
  <c r="F709" i="4"/>
  <c r="F710" i="4"/>
  <c r="F711" i="4"/>
  <c r="F712" i="4"/>
  <c r="F713" i="4"/>
  <c r="F714" i="4"/>
  <c r="F715" i="4"/>
  <c r="F716" i="4"/>
  <c r="F717" i="4"/>
  <c r="F718" i="4"/>
  <c r="F719" i="4"/>
  <c r="F720" i="4"/>
  <c r="F721" i="4"/>
  <c r="F722" i="4"/>
  <c r="F723" i="4"/>
  <c r="F724" i="4"/>
  <c r="F725" i="4"/>
  <c r="F726" i="4"/>
  <c r="F727" i="4"/>
  <c r="F728" i="4"/>
  <c r="F729" i="4"/>
  <c r="F730" i="4"/>
  <c r="F731" i="4"/>
  <c r="F732" i="4"/>
  <c r="F733" i="4"/>
  <c r="F734" i="4"/>
  <c r="F735" i="4"/>
  <c r="F736" i="4"/>
  <c r="F737" i="4"/>
  <c r="F738" i="4"/>
  <c r="F739" i="4"/>
  <c r="F740" i="4"/>
  <c r="F741" i="4"/>
  <c r="F742" i="4"/>
  <c r="F743" i="4"/>
  <c r="F744" i="4"/>
  <c r="F745" i="4"/>
  <c r="F746" i="4"/>
  <c r="F747" i="4"/>
  <c r="F748" i="4"/>
  <c r="F749" i="4"/>
  <c r="F750" i="4"/>
  <c r="F751" i="4"/>
  <c r="F752" i="4"/>
  <c r="F753" i="4"/>
  <c r="F754" i="4"/>
  <c r="F755" i="4"/>
  <c r="F756" i="4"/>
  <c r="F757" i="4"/>
  <c r="F758" i="4"/>
  <c r="F759" i="4"/>
  <c r="F760" i="4"/>
  <c r="F761" i="4"/>
  <c r="F762" i="4"/>
  <c r="F763" i="4"/>
  <c r="F764" i="4"/>
  <c r="F765" i="4"/>
  <c r="F766" i="4"/>
  <c r="F767" i="4"/>
  <c r="F768" i="4"/>
  <c r="F769" i="4"/>
  <c r="F770" i="4"/>
  <c r="F771" i="4"/>
  <c r="F772" i="4"/>
  <c r="F773" i="4"/>
  <c r="F774" i="4"/>
  <c r="F775" i="4"/>
  <c r="F776" i="4"/>
  <c r="F777" i="4"/>
  <c r="F778" i="4"/>
  <c r="F779" i="4"/>
  <c r="F780" i="4"/>
  <c r="F781" i="4"/>
  <c r="F782" i="4"/>
  <c r="F783" i="4"/>
  <c r="F784" i="4"/>
  <c r="F785" i="4"/>
  <c r="F786" i="4"/>
  <c r="F787" i="4"/>
  <c r="F788" i="4"/>
  <c r="F789" i="4"/>
  <c r="F790" i="4"/>
  <c r="F791" i="4"/>
  <c r="F792" i="4"/>
  <c r="F793" i="4"/>
  <c r="F794" i="4"/>
  <c r="F795" i="4"/>
  <c r="F796" i="4"/>
  <c r="F797" i="4"/>
  <c r="F798" i="4"/>
  <c r="F799" i="4"/>
  <c r="F800" i="4"/>
  <c r="F801" i="4"/>
  <c r="F802" i="4"/>
  <c r="F803" i="4"/>
  <c r="F804" i="4"/>
  <c r="F805" i="4"/>
  <c r="F806" i="4"/>
  <c r="F807" i="4"/>
  <c r="F808" i="4"/>
  <c r="F809" i="4"/>
  <c r="F810" i="4"/>
  <c r="F811" i="4"/>
  <c r="F812" i="4"/>
  <c r="F813" i="4"/>
  <c r="F814" i="4"/>
  <c r="F815" i="4"/>
  <c r="F816" i="4"/>
  <c r="F817" i="4"/>
  <c r="F818" i="4"/>
  <c r="F819" i="4"/>
  <c r="F820" i="4"/>
  <c r="F821" i="4"/>
  <c r="F822" i="4"/>
  <c r="F823" i="4"/>
  <c r="F824" i="4"/>
  <c r="F825" i="4"/>
  <c r="F826" i="4"/>
  <c r="F827" i="4"/>
  <c r="F828" i="4"/>
  <c r="F829" i="4"/>
  <c r="F830" i="4"/>
  <c r="F831" i="4"/>
  <c r="F832" i="4"/>
  <c r="F833" i="4"/>
  <c r="F834" i="4"/>
  <c r="F835" i="4"/>
  <c r="F836" i="4"/>
  <c r="F837" i="4"/>
  <c r="F838" i="4"/>
  <c r="F839" i="4"/>
  <c r="F840" i="4"/>
  <c r="F841" i="4"/>
  <c r="F842" i="4"/>
  <c r="F843" i="4"/>
  <c r="F844" i="4"/>
  <c r="F845" i="4"/>
  <c r="F846" i="4"/>
  <c r="F847" i="4"/>
  <c r="F848" i="4"/>
  <c r="F849" i="4"/>
  <c r="F850" i="4"/>
  <c r="F851" i="4"/>
  <c r="F852" i="4"/>
  <c r="F853" i="4"/>
  <c r="F854" i="4"/>
  <c r="F855" i="4"/>
  <c r="F856" i="4"/>
  <c r="F857" i="4"/>
  <c r="F858" i="4"/>
  <c r="F859" i="4"/>
  <c r="F860" i="4"/>
  <c r="F861" i="4"/>
  <c r="F862" i="4"/>
  <c r="F863" i="4"/>
  <c r="F864" i="4"/>
  <c r="F865" i="4"/>
  <c r="F866" i="4"/>
  <c r="F867" i="4"/>
  <c r="F868" i="4"/>
  <c r="F869" i="4"/>
  <c r="F870" i="4"/>
  <c r="F871" i="4"/>
  <c r="F872" i="4"/>
  <c r="F873" i="4"/>
  <c r="F874" i="4"/>
  <c r="F875" i="4"/>
  <c r="F876" i="4"/>
  <c r="F877" i="4"/>
  <c r="F878" i="4"/>
  <c r="F879" i="4"/>
  <c r="F880" i="4"/>
  <c r="F881" i="4"/>
  <c r="F882" i="4"/>
  <c r="F883" i="4"/>
  <c r="F884" i="4"/>
  <c r="F885" i="4"/>
  <c r="F886" i="4"/>
  <c r="F887" i="4"/>
  <c r="F888" i="4"/>
  <c r="F889" i="4"/>
  <c r="F890" i="4"/>
  <c r="F891" i="4"/>
  <c r="F892" i="4"/>
  <c r="F893" i="4"/>
  <c r="F894" i="4"/>
  <c r="F895" i="4"/>
  <c r="F896" i="4"/>
  <c r="F897" i="4"/>
  <c r="F898" i="4"/>
  <c r="F899" i="4"/>
  <c r="F900" i="4"/>
  <c r="F901" i="4"/>
  <c r="F902" i="4"/>
  <c r="F903" i="4"/>
  <c r="F904" i="4"/>
  <c r="F905" i="4"/>
  <c r="F906" i="4"/>
  <c r="F907" i="4"/>
  <c r="F908" i="4"/>
  <c r="F909" i="4"/>
  <c r="F910" i="4"/>
  <c r="F911" i="4"/>
  <c r="F912" i="4"/>
  <c r="F913" i="4"/>
  <c r="F914" i="4"/>
  <c r="F915" i="4"/>
  <c r="F916" i="4"/>
  <c r="F917" i="4"/>
  <c r="F918" i="4"/>
  <c r="F919" i="4"/>
  <c r="F920" i="4"/>
  <c r="F921" i="4"/>
  <c r="F922" i="4"/>
  <c r="F923" i="4"/>
  <c r="F924" i="4"/>
  <c r="F925" i="4"/>
  <c r="F926" i="4"/>
  <c r="F927" i="4"/>
  <c r="F928" i="4"/>
  <c r="F929" i="4"/>
  <c r="F930" i="4"/>
  <c r="F931" i="4"/>
  <c r="F932" i="4"/>
  <c r="F933" i="4"/>
  <c r="F934" i="4"/>
  <c r="F935" i="4"/>
  <c r="F936" i="4"/>
  <c r="F937" i="4"/>
  <c r="F938" i="4"/>
  <c r="F939" i="4"/>
  <c r="F940" i="4"/>
  <c r="F941" i="4"/>
  <c r="F942" i="4"/>
  <c r="F943" i="4"/>
  <c r="F944" i="4"/>
  <c r="F945" i="4"/>
  <c r="F946" i="4"/>
  <c r="F947" i="4"/>
  <c r="F948" i="4"/>
  <c r="F949" i="4"/>
  <c r="F950" i="4"/>
  <c r="F951" i="4"/>
  <c r="F952" i="4"/>
  <c r="F953" i="4"/>
  <c r="F954" i="4"/>
  <c r="F955" i="4"/>
  <c r="F956" i="4"/>
  <c r="F957" i="4"/>
  <c r="F958" i="4"/>
  <c r="F959" i="4"/>
  <c r="F960" i="4"/>
  <c r="F961" i="4"/>
  <c r="F962" i="4"/>
  <c r="F963" i="4"/>
  <c r="F964" i="4"/>
  <c r="F965" i="4"/>
  <c r="F966" i="4"/>
  <c r="F967" i="4"/>
  <c r="F968" i="4"/>
  <c r="F969" i="4"/>
  <c r="F970" i="4"/>
  <c r="F971" i="4"/>
  <c r="F972" i="4"/>
  <c r="F973" i="4"/>
  <c r="F974" i="4"/>
  <c r="F975" i="4"/>
  <c r="F976" i="4"/>
  <c r="F977" i="4"/>
  <c r="F978" i="4"/>
  <c r="F979" i="4"/>
  <c r="F980" i="4"/>
  <c r="F981" i="4"/>
  <c r="F982" i="4"/>
  <c r="F983" i="4"/>
  <c r="F984" i="4"/>
  <c r="F985" i="4"/>
  <c r="F986" i="4"/>
  <c r="F987" i="4"/>
  <c r="F988" i="4"/>
  <c r="F989" i="4"/>
  <c r="F990" i="4"/>
  <c r="F991" i="4"/>
  <c r="F992" i="4"/>
  <c r="F993" i="4"/>
  <c r="F994" i="4"/>
  <c r="F995" i="4"/>
  <c r="F996" i="4"/>
  <c r="F997" i="4"/>
  <c r="F998" i="4"/>
  <c r="F999" i="4"/>
  <c r="F1000" i="4"/>
  <c r="F1001" i="4"/>
  <c r="F1002" i="4"/>
  <c r="F1003" i="4"/>
  <c r="F1004" i="4"/>
  <c r="F1005" i="4"/>
  <c r="F1006" i="4"/>
  <c r="F1007" i="4"/>
  <c r="F1008" i="4"/>
  <c r="F1009" i="4"/>
  <c r="F1010" i="4"/>
  <c r="F1011" i="4"/>
  <c r="F1012" i="4"/>
  <c r="F1013" i="4"/>
  <c r="F1014" i="4"/>
  <c r="F1015" i="4"/>
  <c r="F1016" i="4"/>
  <c r="F1017" i="4"/>
  <c r="F1018" i="4"/>
  <c r="F1019" i="4"/>
  <c r="F1020" i="4"/>
  <c r="F1021" i="4"/>
  <c r="E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1" i="4"/>
  <c r="E462" i="4"/>
  <c r="E463" i="4"/>
  <c r="E464" i="4"/>
  <c r="E465" i="4"/>
  <c r="E466" i="4"/>
  <c r="E467" i="4"/>
  <c r="E468" i="4"/>
  <c r="E469" i="4"/>
  <c r="E470" i="4"/>
  <c r="E471" i="4"/>
  <c r="E472" i="4"/>
  <c r="E473" i="4"/>
  <c r="E474" i="4"/>
  <c r="E475" i="4"/>
  <c r="E476" i="4"/>
  <c r="E477" i="4"/>
  <c r="E478" i="4"/>
  <c r="E479" i="4"/>
  <c r="E480" i="4"/>
  <c r="E481" i="4"/>
  <c r="E482" i="4"/>
  <c r="E483" i="4"/>
  <c r="E484" i="4"/>
  <c r="E485" i="4"/>
  <c r="E486" i="4"/>
  <c r="E487" i="4"/>
  <c r="E488" i="4"/>
  <c r="E489" i="4"/>
  <c r="E490" i="4"/>
  <c r="E491" i="4"/>
  <c r="E492" i="4"/>
  <c r="E493" i="4"/>
  <c r="E494" i="4"/>
  <c r="E495" i="4"/>
  <c r="E496" i="4"/>
  <c r="E497" i="4"/>
  <c r="E498" i="4"/>
  <c r="E499" i="4"/>
  <c r="E500" i="4"/>
  <c r="E501" i="4"/>
  <c r="E502" i="4"/>
  <c r="E503" i="4"/>
  <c r="E504" i="4"/>
  <c r="E505" i="4"/>
  <c r="E506" i="4"/>
  <c r="E507" i="4"/>
  <c r="E508" i="4"/>
  <c r="E509" i="4"/>
  <c r="E510" i="4"/>
  <c r="E511" i="4"/>
  <c r="E512" i="4"/>
  <c r="E513" i="4"/>
  <c r="E514" i="4"/>
  <c r="E515" i="4"/>
  <c r="E516" i="4"/>
  <c r="E517" i="4"/>
  <c r="E518" i="4"/>
  <c r="E519" i="4"/>
  <c r="E520" i="4"/>
  <c r="E521" i="4"/>
  <c r="E522" i="4"/>
  <c r="E523" i="4"/>
  <c r="E524" i="4"/>
  <c r="E525" i="4"/>
  <c r="E526" i="4"/>
  <c r="E527" i="4"/>
  <c r="E528" i="4"/>
  <c r="E529" i="4"/>
  <c r="E530" i="4"/>
  <c r="E531" i="4"/>
  <c r="E532" i="4"/>
  <c r="E533" i="4"/>
  <c r="E534" i="4"/>
  <c r="E535" i="4"/>
  <c r="E536" i="4"/>
  <c r="E537" i="4"/>
  <c r="E538" i="4"/>
  <c r="E539" i="4"/>
  <c r="E540" i="4"/>
  <c r="E541" i="4"/>
  <c r="E542" i="4"/>
  <c r="E543" i="4"/>
  <c r="E544" i="4"/>
  <c r="E545" i="4"/>
  <c r="E546" i="4"/>
  <c r="E547" i="4"/>
  <c r="E548" i="4"/>
  <c r="E549" i="4"/>
  <c r="E550" i="4"/>
  <c r="E551" i="4"/>
  <c r="E552" i="4"/>
  <c r="E553" i="4"/>
  <c r="E554" i="4"/>
  <c r="E555" i="4"/>
  <c r="E556" i="4"/>
  <c r="E557" i="4"/>
  <c r="E558" i="4"/>
  <c r="E559" i="4"/>
  <c r="E560" i="4"/>
  <c r="E561" i="4"/>
  <c r="E562" i="4"/>
  <c r="E563" i="4"/>
  <c r="E564" i="4"/>
  <c r="E565" i="4"/>
  <c r="E566" i="4"/>
  <c r="E567" i="4"/>
  <c r="E568" i="4"/>
  <c r="E569" i="4"/>
  <c r="E570" i="4"/>
  <c r="E571" i="4"/>
  <c r="E572" i="4"/>
  <c r="E573" i="4"/>
  <c r="E574" i="4"/>
  <c r="E575" i="4"/>
  <c r="E576" i="4"/>
  <c r="E577" i="4"/>
  <c r="E578" i="4"/>
  <c r="E579" i="4"/>
  <c r="E580" i="4"/>
  <c r="E581" i="4"/>
  <c r="E582" i="4"/>
  <c r="E583" i="4"/>
  <c r="E584" i="4"/>
  <c r="E585" i="4"/>
  <c r="E586" i="4"/>
  <c r="E587" i="4"/>
  <c r="E588" i="4"/>
  <c r="E589" i="4"/>
  <c r="E590" i="4"/>
  <c r="E591" i="4"/>
  <c r="E592" i="4"/>
  <c r="E593" i="4"/>
  <c r="E594" i="4"/>
  <c r="E595" i="4"/>
  <c r="E596" i="4"/>
  <c r="E597" i="4"/>
  <c r="E598" i="4"/>
  <c r="E599" i="4"/>
  <c r="E600" i="4"/>
  <c r="E601" i="4"/>
  <c r="E602" i="4"/>
  <c r="E603" i="4"/>
  <c r="E604" i="4"/>
  <c r="E605" i="4"/>
  <c r="E606" i="4"/>
  <c r="E607" i="4"/>
  <c r="E608" i="4"/>
  <c r="E609" i="4"/>
  <c r="E610" i="4"/>
  <c r="E611" i="4"/>
  <c r="E612" i="4"/>
  <c r="E613" i="4"/>
  <c r="E614" i="4"/>
  <c r="E615" i="4"/>
  <c r="E616" i="4"/>
  <c r="E617" i="4"/>
  <c r="E618" i="4"/>
  <c r="E619" i="4"/>
  <c r="E620" i="4"/>
  <c r="E621" i="4"/>
  <c r="E622" i="4"/>
  <c r="E623" i="4"/>
  <c r="E624" i="4"/>
  <c r="E625" i="4"/>
  <c r="E626" i="4"/>
  <c r="E627" i="4"/>
  <c r="E628" i="4"/>
  <c r="E629" i="4"/>
  <c r="E630" i="4"/>
  <c r="E631" i="4"/>
  <c r="E632" i="4"/>
  <c r="E633" i="4"/>
  <c r="E634" i="4"/>
  <c r="E635" i="4"/>
  <c r="E636" i="4"/>
  <c r="E637" i="4"/>
  <c r="E638" i="4"/>
  <c r="E639" i="4"/>
  <c r="E640" i="4"/>
  <c r="E641" i="4"/>
  <c r="E642" i="4"/>
  <c r="E643" i="4"/>
  <c r="E644" i="4"/>
  <c r="E645" i="4"/>
  <c r="E646" i="4"/>
  <c r="E647" i="4"/>
  <c r="E648" i="4"/>
  <c r="E649" i="4"/>
  <c r="E650" i="4"/>
  <c r="E651" i="4"/>
  <c r="E652" i="4"/>
  <c r="E653" i="4"/>
  <c r="E654" i="4"/>
  <c r="E655" i="4"/>
  <c r="E656" i="4"/>
  <c r="E657" i="4"/>
  <c r="E658" i="4"/>
  <c r="E659" i="4"/>
  <c r="E660" i="4"/>
  <c r="E661" i="4"/>
  <c r="E662" i="4"/>
  <c r="E663" i="4"/>
  <c r="E664" i="4"/>
  <c r="E665" i="4"/>
  <c r="E666" i="4"/>
  <c r="E667" i="4"/>
  <c r="E668" i="4"/>
  <c r="E669" i="4"/>
  <c r="E670" i="4"/>
  <c r="E671" i="4"/>
  <c r="E672" i="4"/>
  <c r="E673" i="4"/>
  <c r="E674" i="4"/>
  <c r="E675" i="4"/>
  <c r="E676" i="4"/>
  <c r="E677" i="4"/>
  <c r="E678" i="4"/>
  <c r="E679" i="4"/>
  <c r="E680" i="4"/>
  <c r="E681" i="4"/>
  <c r="E682" i="4"/>
  <c r="E683" i="4"/>
  <c r="E684" i="4"/>
  <c r="E685" i="4"/>
  <c r="E686" i="4"/>
  <c r="E687" i="4"/>
  <c r="E688" i="4"/>
  <c r="E689" i="4"/>
  <c r="E690" i="4"/>
  <c r="E691" i="4"/>
  <c r="E692" i="4"/>
  <c r="E693" i="4"/>
  <c r="E694" i="4"/>
  <c r="E695" i="4"/>
  <c r="E696" i="4"/>
  <c r="E697" i="4"/>
  <c r="E698" i="4"/>
  <c r="E699" i="4"/>
  <c r="E700" i="4"/>
  <c r="E701" i="4"/>
  <c r="E702" i="4"/>
  <c r="E703" i="4"/>
  <c r="E704" i="4"/>
  <c r="E705" i="4"/>
  <c r="E706" i="4"/>
  <c r="E707" i="4"/>
  <c r="E708" i="4"/>
  <c r="E709" i="4"/>
  <c r="E710" i="4"/>
  <c r="E711" i="4"/>
  <c r="E712" i="4"/>
  <c r="E713" i="4"/>
  <c r="E714" i="4"/>
  <c r="E715" i="4"/>
  <c r="E716" i="4"/>
  <c r="E717" i="4"/>
  <c r="E718" i="4"/>
  <c r="E719" i="4"/>
  <c r="E720" i="4"/>
  <c r="E721" i="4"/>
  <c r="E722" i="4"/>
  <c r="E723" i="4"/>
  <c r="E724" i="4"/>
  <c r="E725" i="4"/>
  <c r="E726" i="4"/>
  <c r="E727" i="4"/>
  <c r="E728" i="4"/>
  <c r="E729" i="4"/>
  <c r="E730" i="4"/>
  <c r="E731" i="4"/>
  <c r="E732" i="4"/>
  <c r="E733" i="4"/>
  <c r="E734" i="4"/>
  <c r="E735" i="4"/>
  <c r="E736" i="4"/>
  <c r="E737" i="4"/>
  <c r="E738" i="4"/>
  <c r="E739" i="4"/>
  <c r="E740" i="4"/>
  <c r="E741" i="4"/>
  <c r="E742" i="4"/>
  <c r="E743" i="4"/>
  <c r="E744" i="4"/>
  <c r="E745" i="4"/>
  <c r="E746" i="4"/>
  <c r="E747" i="4"/>
  <c r="E748" i="4"/>
  <c r="E749" i="4"/>
  <c r="E750" i="4"/>
  <c r="E751" i="4"/>
  <c r="E752" i="4"/>
  <c r="E753" i="4"/>
  <c r="E754" i="4"/>
  <c r="E755" i="4"/>
  <c r="E756" i="4"/>
  <c r="E757" i="4"/>
  <c r="E758" i="4"/>
  <c r="E759" i="4"/>
  <c r="E760" i="4"/>
  <c r="E761" i="4"/>
  <c r="E762" i="4"/>
  <c r="E763" i="4"/>
  <c r="E764" i="4"/>
  <c r="E765" i="4"/>
  <c r="E766" i="4"/>
  <c r="E767" i="4"/>
  <c r="E768" i="4"/>
  <c r="E769" i="4"/>
  <c r="E770" i="4"/>
  <c r="E771" i="4"/>
  <c r="E772" i="4"/>
  <c r="E773" i="4"/>
  <c r="E774" i="4"/>
  <c r="E775" i="4"/>
  <c r="E776" i="4"/>
  <c r="E777" i="4"/>
  <c r="E778" i="4"/>
  <c r="E779" i="4"/>
  <c r="E780" i="4"/>
  <c r="E781" i="4"/>
  <c r="E782" i="4"/>
  <c r="E783" i="4"/>
  <c r="E784" i="4"/>
  <c r="E785" i="4"/>
  <c r="E786" i="4"/>
  <c r="E787" i="4"/>
  <c r="E788" i="4"/>
  <c r="E789" i="4"/>
  <c r="E790" i="4"/>
  <c r="E791" i="4"/>
  <c r="E792" i="4"/>
  <c r="E793" i="4"/>
  <c r="E794" i="4"/>
  <c r="E795" i="4"/>
  <c r="E796" i="4"/>
  <c r="E797" i="4"/>
  <c r="E798" i="4"/>
  <c r="E799" i="4"/>
  <c r="E800" i="4"/>
  <c r="E801" i="4"/>
  <c r="E802" i="4"/>
  <c r="E803" i="4"/>
  <c r="E804" i="4"/>
  <c r="E805" i="4"/>
  <c r="E806" i="4"/>
  <c r="E807" i="4"/>
  <c r="E808" i="4"/>
  <c r="E809" i="4"/>
  <c r="E810" i="4"/>
  <c r="E811" i="4"/>
  <c r="E812" i="4"/>
  <c r="E813" i="4"/>
  <c r="E814" i="4"/>
  <c r="E815" i="4"/>
  <c r="E816" i="4"/>
  <c r="E817" i="4"/>
  <c r="E818" i="4"/>
  <c r="E819" i="4"/>
  <c r="E820" i="4"/>
  <c r="E821" i="4"/>
  <c r="E822" i="4"/>
  <c r="E823" i="4"/>
  <c r="E824" i="4"/>
  <c r="E825" i="4"/>
  <c r="E826" i="4"/>
  <c r="E827" i="4"/>
  <c r="E828" i="4"/>
  <c r="E829" i="4"/>
  <c r="E830" i="4"/>
  <c r="E831" i="4"/>
  <c r="E832" i="4"/>
  <c r="E833" i="4"/>
  <c r="E834" i="4"/>
  <c r="E835" i="4"/>
  <c r="E836" i="4"/>
  <c r="E837" i="4"/>
  <c r="E838" i="4"/>
  <c r="E839" i="4"/>
  <c r="E840" i="4"/>
  <c r="E841" i="4"/>
  <c r="E842" i="4"/>
  <c r="E843" i="4"/>
  <c r="E844" i="4"/>
  <c r="E845" i="4"/>
  <c r="E846" i="4"/>
  <c r="E847" i="4"/>
  <c r="E848" i="4"/>
  <c r="E849" i="4"/>
  <c r="E850" i="4"/>
  <c r="E851" i="4"/>
  <c r="E852" i="4"/>
  <c r="E853" i="4"/>
  <c r="E854" i="4"/>
  <c r="E855" i="4"/>
  <c r="E856" i="4"/>
  <c r="E857" i="4"/>
  <c r="E858" i="4"/>
  <c r="E859" i="4"/>
  <c r="E860" i="4"/>
  <c r="E861" i="4"/>
  <c r="E862" i="4"/>
  <c r="E863" i="4"/>
  <c r="E864" i="4"/>
  <c r="E865" i="4"/>
  <c r="E866" i="4"/>
  <c r="E867" i="4"/>
  <c r="E868" i="4"/>
  <c r="E869" i="4"/>
  <c r="E870" i="4"/>
  <c r="E871" i="4"/>
  <c r="E872" i="4"/>
  <c r="E873" i="4"/>
  <c r="E874" i="4"/>
  <c r="E875" i="4"/>
  <c r="E876" i="4"/>
  <c r="E877" i="4"/>
  <c r="E878" i="4"/>
  <c r="E879" i="4"/>
  <c r="E880" i="4"/>
  <c r="E881" i="4"/>
  <c r="E882" i="4"/>
  <c r="E883" i="4"/>
  <c r="E884" i="4"/>
  <c r="E885" i="4"/>
  <c r="E886" i="4"/>
  <c r="E887" i="4"/>
  <c r="E888" i="4"/>
  <c r="E889" i="4"/>
  <c r="E890" i="4"/>
  <c r="E891" i="4"/>
  <c r="E892" i="4"/>
  <c r="E893" i="4"/>
  <c r="E894" i="4"/>
  <c r="E895" i="4"/>
  <c r="E896" i="4"/>
  <c r="E897" i="4"/>
  <c r="E898" i="4"/>
  <c r="E899" i="4"/>
  <c r="E900" i="4"/>
  <c r="E901" i="4"/>
  <c r="E902" i="4"/>
  <c r="E903" i="4"/>
  <c r="E904" i="4"/>
  <c r="E905" i="4"/>
  <c r="E906" i="4"/>
  <c r="E907" i="4"/>
  <c r="E908" i="4"/>
  <c r="E909" i="4"/>
  <c r="E910" i="4"/>
  <c r="E911" i="4"/>
  <c r="E912" i="4"/>
  <c r="E913" i="4"/>
  <c r="E914" i="4"/>
  <c r="E915" i="4"/>
  <c r="E916" i="4"/>
  <c r="E917" i="4"/>
  <c r="E918" i="4"/>
  <c r="E919" i="4"/>
  <c r="E920" i="4"/>
  <c r="E921" i="4"/>
  <c r="E922" i="4"/>
  <c r="E923" i="4"/>
  <c r="E924" i="4"/>
  <c r="E925" i="4"/>
  <c r="E926" i="4"/>
  <c r="E927" i="4"/>
  <c r="E928" i="4"/>
  <c r="E929" i="4"/>
  <c r="E930" i="4"/>
  <c r="E931" i="4"/>
  <c r="E932" i="4"/>
  <c r="E933" i="4"/>
  <c r="E934" i="4"/>
  <c r="E935" i="4"/>
  <c r="E936" i="4"/>
  <c r="E937" i="4"/>
  <c r="E938" i="4"/>
  <c r="E939" i="4"/>
  <c r="E940" i="4"/>
  <c r="E941" i="4"/>
  <c r="E942" i="4"/>
  <c r="E943" i="4"/>
  <c r="E944" i="4"/>
  <c r="E945" i="4"/>
  <c r="E946" i="4"/>
  <c r="E947" i="4"/>
  <c r="E948" i="4"/>
  <c r="E949" i="4"/>
  <c r="E950" i="4"/>
  <c r="E951" i="4"/>
  <c r="E952" i="4"/>
  <c r="E953" i="4"/>
  <c r="E954" i="4"/>
  <c r="E955" i="4"/>
  <c r="E956" i="4"/>
  <c r="E957" i="4"/>
  <c r="E958" i="4"/>
  <c r="E959" i="4"/>
  <c r="E960" i="4"/>
  <c r="E961" i="4"/>
  <c r="E962" i="4"/>
  <c r="E963" i="4"/>
  <c r="E964" i="4"/>
  <c r="E965" i="4"/>
  <c r="E966" i="4"/>
  <c r="E967" i="4"/>
  <c r="E968" i="4"/>
  <c r="E969" i="4"/>
  <c r="E970" i="4"/>
  <c r="E971" i="4"/>
  <c r="E972" i="4"/>
  <c r="E973" i="4"/>
  <c r="E974" i="4"/>
  <c r="E975" i="4"/>
  <c r="E976" i="4"/>
  <c r="E977" i="4"/>
  <c r="E978" i="4"/>
  <c r="E979" i="4"/>
  <c r="E980" i="4"/>
  <c r="E981" i="4"/>
  <c r="E982" i="4"/>
  <c r="E983" i="4"/>
  <c r="E984" i="4"/>
  <c r="E985" i="4"/>
  <c r="E986" i="4"/>
  <c r="E987" i="4"/>
  <c r="E988" i="4"/>
  <c r="E989" i="4"/>
  <c r="E990" i="4"/>
  <c r="E991" i="4"/>
  <c r="E992" i="4"/>
  <c r="E993" i="4"/>
  <c r="E994" i="4"/>
  <c r="E995" i="4"/>
  <c r="E996" i="4"/>
  <c r="E997" i="4"/>
  <c r="E998" i="4"/>
  <c r="E999" i="4"/>
  <c r="E1000" i="4"/>
  <c r="E1001" i="4"/>
  <c r="E1002" i="4"/>
  <c r="E1003" i="4"/>
  <c r="E1004" i="4"/>
  <c r="E1005" i="4"/>
  <c r="E1006" i="4"/>
  <c r="E1007" i="4"/>
  <c r="E1008" i="4"/>
  <c r="E1009" i="4"/>
  <c r="E1010" i="4"/>
  <c r="E1011" i="4"/>
  <c r="E1012" i="4"/>
  <c r="E1013" i="4"/>
  <c r="E1014" i="4"/>
  <c r="E1015" i="4"/>
  <c r="E1016" i="4"/>
  <c r="E1017" i="4"/>
  <c r="E1018" i="4"/>
  <c r="E1019" i="4"/>
  <c r="E1020" i="4"/>
  <c r="E1021" i="4"/>
  <c r="C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502" i="4"/>
  <c r="C503" i="4"/>
  <c r="C504" i="4"/>
  <c r="C505" i="4"/>
  <c r="C506" i="4"/>
  <c r="C507" i="4"/>
  <c r="C508" i="4"/>
  <c r="C509" i="4"/>
  <c r="C510" i="4"/>
  <c r="C511" i="4"/>
  <c r="C512" i="4"/>
  <c r="C513" i="4"/>
  <c r="C514" i="4"/>
  <c r="C515" i="4"/>
  <c r="C516" i="4"/>
  <c r="C517" i="4"/>
  <c r="C518" i="4"/>
  <c r="C519" i="4"/>
  <c r="C520" i="4"/>
  <c r="C521" i="4"/>
  <c r="C522" i="4"/>
  <c r="C523" i="4"/>
  <c r="C524" i="4"/>
  <c r="C525" i="4"/>
  <c r="C526" i="4"/>
  <c r="C527" i="4"/>
  <c r="C528" i="4"/>
  <c r="C529" i="4"/>
  <c r="C530" i="4"/>
  <c r="C531" i="4"/>
  <c r="C532" i="4"/>
  <c r="C533" i="4"/>
  <c r="C534" i="4"/>
  <c r="C535" i="4"/>
  <c r="C536" i="4"/>
  <c r="C537" i="4"/>
  <c r="C538" i="4"/>
  <c r="C539" i="4"/>
  <c r="C540" i="4"/>
  <c r="C541" i="4"/>
  <c r="C542" i="4"/>
  <c r="C543" i="4"/>
  <c r="C544" i="4"/>
  <c r="C545" i="4"/>
  <c r="C546" i="4"/>
  <c r="C547" i="4"/>
  <c r="C548" i="4"/>
  <c r="C549" i="4"/>
  <c r="C550" i="4"/>
  <c r="C551" i="4"/>
  <c r="C552" i="4"/>
  <c r="C553" i="4"/>
  <c r="C554" i="4"/>
  <c r="C555" i="4"/>
  <c r="C556" i="4"/>
  <c r="C557" i="4"/>
  <c r="C558" i="4"/>
  <c r="C559" i="4"/>
  <c r="C560" i="4"/>
  <c r="C561" i="4"/>
  <c r="C562" i="4"/>
  <c r="C563" i="4"/>
  <c r="C564" i="4"/>
  <c r="C565" i="4"/>
  <c r="C566" i="4"/>
  <c r="C567" i="4"/>
  <c r="C568" i="4"/>
  <c r="C569" i="4"/>
  <c r="C570" i="4"/>
  <c r="C571" i="4"/>
  <c r="C572" i="4"/>
  <c r="C573" i="4"/>
  <c r="C574" i="4"/>
  <c r="C575" i="4"/>
  <c r="C576" i="4"/>
  <c r="C577" i="4"/>
  <c r="C578" i="4"/>
  <c r="C579" i="4"/>
  <c r="C580" i="4"/>
  <c r="C581" i="4"/>
  <c r="C582" i="4"/>
  <c r="C583" i="4"/>
  <c r="C584" i="4"/>
  <c r="C585" i="4"/>
  <c r="C586" i="4"/>
  <c r="C587" i="4"/>
  <c r="C588" i="4"/>
  <c r="C589" i="4"/>
  <c r="C590" i="4"/>
  <c r="C591" i="4"/>
  <c r="C592" i="4"/>
  <c r="C593" i="4"/>
  <c r="C594" i="4"/>
  <c r="C595" i="4"/>
  <c r="C596" i="4"/>
  <c r="C597" i="4"/>
  <c r="C598" i="4"/>
  <c r="C599" i="4"/>
  <c r="C600" i="4"/>
  <c r="C601" i="4"/>
  <c r="C602" i="4"/>
  <c r="C603" i="4"/>
  <c r="C604" i="4"/>
  <c r="C605" i="4"/>
  <c r="C606" i="4"/>
  <c r="C607" i="4"/>
  <c r="C608" i="4"/>
  <c r="C609" i="4"/>
  <c r="C610" i="4"/>
  <c r="C611" i="4"/>
  <c r="C612" i="4"/>
  <c r="C613" i="4"/>
  <c r="C614" i="4"/>
  <c r="C615" i="4"/>
  <c r="C616" i="4"/>
  <c r="C617" i="4"/>
  <c r="C618" i="4"/>
  <c r="C619" i="4"/>
  <c r="C620" i="4"/>
  <c r="C621" i="4"/>
  <c r="C622" i="4"/>
  <c r="C623" i="4"/>
  <c r="C624" i="4"/>
  <c r="C625" i="4"/>
  <c r="C626" i="4"/>
  <c r="C627" i="4"/>
  <c r="C628" i="4"/>
  <c r="C629" i="4"/>
  <c r="C630" i="4"/>
  <c r="C631" i="4"/>
  <c r="C632" i="4"/>
  <c r="C633" i="4"/>
  <c r="C634" i="4"/>
  <c r="C635" i="4"/>
  <c r="C636" i="4"/>
  <c r="C637" i="4"/>
  <c r="C638" i="4"/>
  <c r="C639" i="4"/>
  <c r="C640" i="4"/>
  <c r="C641" i="4"/>
  <c r="C642" i="4"/>
  <c r="C643" i="4"/>
  <c r="C644" i="4"/>
  <c r="C645" i="4"/>
  <c r="C646" i="4"/>
  <c r="C647" i="4"/>
  <c r="C648" i="4"/>
  <c r="C649" i="4"/>
  <c r="C650" i="4"/>
  <c r="C651" i="4"/>
  <c r="C652" i="4"/>
  <c r="C653" i="4"/>
  <c r="C654" i="4"/>
  <c r="C655" i="4"/>
  <c r="C656" i="4"/>
  <c r="C657" i="4"/>
  <c r="C658" i="4"/>
  <c r="C659" i="4"/>
  <c r="C660" i="4"/>
  <c r="C661" i="4"/>
  <c r="C662" i="4"/>
  <c r="C663" i="4"/>
  <c r="C664" i="4"/>
  <c r="C665" i="4"/>
  <c r="C666" i="4"/>
  <c r="C667" i="4"/>
  <c r="C668" i="4"/>
  <c r="C669" i="4"/>
  <c r="C670" i="4"/>
  <c r="C671" i="4"/>
  <c r="C672" i="4"/>
  <c r="C673" i="4"/>
  <c r="C674" i="4"/>
  <c r="C675" i="4"/>
  <c r="C676" i="4"/>
  <c r="C677" i="4"/>
  <c r="C678" i="4"/>
  <c r="C679" i="4"/>
  <c r="C680" i="4"/>
  <c r="C681" i="4"/>
  <c r="C682" i="4"/>
  <c r="C683" i="4"/>
  <c r="C684" i="4"/>
  <c r="C685" i="4"/>
  <c r="C686" i="4"/>
  <c r="C687" i="4"/>
  <c r="C688" i="4"/>
  <c r="C689" i="4"/>
  <c r="C690" i="4"/>
  <c r="C691" i="4"/>
  <c r="C692" i="4"/>
  <c r="C693" i="4"/>
  <c r="C694" i="4"/>
  <c r="C695" i="4"/>
  <c r="C696" i="4"/>
  <c r="C697" i="4"/>
  <c r="C698" i="4"/>
  <c r="C699" i="4"/>
  <c r="C700" i="4"/>
  <c r="C701" i="4"/>
  <c r="C702" i="4"/>
  <c r="C703" i="4"/>
  <c r="C704" i="4"/>
  <c r="C705" i="4"/>
  <c r="C706" i="4"/>
  <c r="C707" i="4"/>
  <c r="C708" i="4"/>
  <c r="C709" i="4"/>
  <c r="C710" i="4"/>
  <c r="C711" i="4"/>
  <c r="C712" i="4"/>
  <c r="C713" i="4"/>
  <c r="C714" i="4"/>
  <c r="C715" i="4"/>
  <c r="C716" i="4"/>
  <c r="C717" i="4"/>
  <c r="C718" i="4"/>
  <c r="C719" i="4"/>
  <c r="C720" i="4"/>
  <c r="C721" i="4"/>
  <c r="C722" i="4"/>
  <c r="C723" i="4"/>
  <c r="C724" i="4"/>
  <c r="C725" i="4"/>
  <c r="C726" i="4"/>
  <c r="C727" i="4"/>
  <c r="C728" i="4"/>
  <c r="C729" i="4"/>
  <c r="C730" i="4"/>
  <c r="C731" i="4"/>
  <c r="C732" i="4"/>
  <c r="C733" i="4"/>
  <c r="C734" i="4"/>
  <c r="C735" i="4"/>
  <c r="C736" i="4"/>
  <c r="C737" i="4"/>
  <c r="C738" i="4"/>
  <c r="C739" i="4"/>
  <c r="C740" i="4"/>
  <c r="C741" i="4"/>
  <c r="C742" i="4"/>
  <c r="C743" i="4"/>
  <c r="C744" i="4"/>
  <c r="C745" i="4"/>
  <c r="C746" i="4"/>
  <c r="C747" i="4"/>
  <c r="C748" i="4"/>
  <c r="C749" i="4"/>
  <c r="C750" i="4"/>
  <c r="C751" i="4"/>
  <c r="C752" i="4"/>
  <c r="C753" i="4"/>
  <c r="C754" i="4"/>
  <c r="C755" i="4"/>
  <c r="C756" i="4"/>
  <c r="C757" i="4"/>
  <c r="C758" i="4"/>
  <c r="C759" i="4"/>
  <c r="C760" i="4"/>
  <c r="C761" i="4"/>
  <c r="C762" i="4"/>
  <c r="C763" i="4"/>
  <c r="C764" i="4"/>
  <c r="C765" i="4"/>
  <c r="C766" i="4"/>
  <c r="C767" i="4"/>
  <c r="C768" i="4"/>
  <c r="C769" i="4"/>
  <c r="C770" i="4"/>
  <c r="C771" i="4"/>
  <c r="C772" i="4"/>
  <c r="C773" i="4"/>
  <c r="C774" i="4"/>
  <c r="C775" i="4"/>
  <c r="C776" i="4"/>
  <c r="C777" i="4"/>
  <c r="C778" i="4"/>
  <c r="C779" i="4"/>
  <c r="C780" i="4"/>
  <c r="C781" i="4"/>
  <c r="C782" i="4"/>
  <c r="C783" i="4"/>
  <c r="C784" i="4"/>
  <c r="C785" i="4"/>
  <c r="C786" i="4"/>
  <c r="C787" i="4"/>
  <c r="C788" i="4"/>
  <c r="C789" i="4"/>
  <c r="C790" i="4"/>
  <c r="C791" i="4"/>
  <c r="C792" i="4"/>
  <c r="C793" i="4"/>
  <c r="C794" i="4"/>
  <c r="C795" i="4"/>
  <c r="C796" i="4"/>
  <c r="C797" i="4"/>
  <c r="C798" i="4"/>
  <c r="C799" i="4"/>
  <c r="C800" i="4"/>
  <c r="C801" i="4"/>
  <c r="C802" i="4"/>
  <c r="C803" i="4"/>
  <c r="C804" i="4"/>
  <c r="C805" i="4"/>
  <c r="C806" i="4"/>
  <c r="C807" i="4"/>
  <c r="C808" i="4"/>
  <c r="C809" i="4"/>
  <c r="C810" i="4"/>
  <c r="C811" i="4"/>
  <c r="C812" i="4"/>
  <c r="C813" i="4"/>
  <c r="C814" i="4"/>
  <c r="C815" i="4"/>
  <c r="C816" i="4"/>
  <c r="C817" i="4"/>
  <c r="C818" i="4"/>
  <c r="C819" i="4"/>
  <c r="C820" i="4"/>
  <c r="C821" i="4"/>
  <c r="C822" i="4"/>
  <c r="C823" i="4"/>
  <c r="C824" i="4"/>
  <c r="C825" i="4"/>
  <c r="C826" i="4"/>
  <c r="C827" i="4"/>
  <c r="C828" i="4"/>
  <c r="C829" i="4"/>
  <c r="C830" i="4"/>
  <c r="C831" i="4"/>
  <c r="C832" i="4"/>
  <c r="C833" i="4"/>
  <c r="C834" i="4"/>
  <c r="C835" i="4"/>
  <c r="C836" i="4"/>
  <c r="C837" i="4"/>
  <c r="C838" i="4"/>
  <c r="C839" i="4"/>
  <c r="C840" i="4"/>
  <c r="C841" i="4"/>
  <c r="C842" i="4"/>
  <c r="C843" i="4"/>
  <c r="C844" i="4"/>
  <c r="C845" i="4"/>
  <c r="C846" i="4"/>
  <c r="C847" i="4"/>
  <c r="C848" i="4"/>
  <c r="C849" i="4"/>
  <c r="C850" i="4"/>
  <c r="C851" i="4"/>
  <c r="C852" i="4"/>
  <c r="C853" i="4"/>
  <c r="C854" i="4"/>
  <c r="C855" i="4"/>
  <c r="C856" i="4"/>
  <c r="C857" i="4"/>
  <c r="C858" i="4"/>
  <c r="C859" i="4"/>
  <c r="C860" i="4"/>
  <c r="C861" i="4"/>
  <c r="C862" i="4"/>
  <c r="C863" i="4"/>
  <c r="C864" i="4"/>
  <c r="C865" i="4"/>
  <c r="C866" i="4"/>
  <c r="C867" i="4"/>
  <c r="C868" i="4"/>
  <c r="C869" i="4"/>
  <c r="C870" i="4"/>
  <c r="C871" i="4"/>
  <c r="C872" i="4"/>
  <c r="C873" i="4"/>
  <c r="C874" i="4"/>
  <c r="C875" i="4"/>
  <c r="C876" i="4"/>
  <c r="C877" i="4"/>
  <c r="C878" i="4"/>
  <c r="C879" i="4"/>
  <c r="C880" i="4"/>
  <c r="C881" i="4"/>
  <c r="C882" i="4"/>
  <c r="C883" i="4"/>
  <c r="C884" i="4"/>
  <c r="C885" i="4"/>
  <c r="C886" i="4"/>
  <c r="C887" i="4"/>
  <c r="C888" i="4"/>
  <c r="C889" i="4"/>
  <c r="C890" i="4"/>
  <c r="C891" i="4"/>
  <c r="C892" i="4"/>
  <c r="C893" i="4"/>
  <c r="C894" i="4"/>
  <c r="C895" i="4"/>
  <c r="C896" i="4"/>
  <c r="C897" i="4"/>
  <c r="C898" i="4"/>
  <c r="C899" i="4"/>
  <c r="C900" i="4"/>
  <c r="C901" i="4"/>
  <c r="C902" i="4"/>
  <c r="C903" i="4"/>
  <c r="C904" i="4"/>
  <c r="C905" i="4"/>
  <c r="C906" i="4"/>
  <c r="C907" i="4"/>
  <c r="C908" i="4"/>
  <c r="C909" i="4"/>
  <c r="C910" i="4"/>
  <c r="C911" i="4"/>
  <c r="C912" i="4"/>
  <c r="C913" i="4"/>
  <c r="C914" i="4"/>
  <c r="C915" i="4"/>
  <c r="C916" i="4"/>
  <c r="C917" i="4"/>
  <c r="C918" i="4"/>
  <c r="C919" i="4"/>
  <c r="C920" i="4"/>
  <c r="C921" i="4"/>
  <c r="C922" i="4"/>
  <c r="C923" i="4"/>
  <c r="C924" i="4"/>
  <c r="C925" i="4"/>
  <c r="C926" i="4"/>
  <c r="C927" i="4"/>
  <c r="C928" i="4"/>
  <c r="C929" i="4"/>
  <c r="C930" i="4"/>
  <c r="C931" i="4"/>
  <c r="C932" i="4"/>
  <c r="C933" i="4"/>
  <c r="C934" i="4"/>
  <c r="C935" i="4"/>
  <c r="C936" i="4"/>
  <c r="C937" i="4"/>
  <c r="C938" i="4"/>
  <c r="C939" i="4"/>
  <c r="C940" i="4"/>
  <c r="C941" i="4"/>
  <c r="C942" i="4"/>
  <c r="C943" i="4"/>
  <c r="C944" i="4"/>
  <c r="C945" i="4"/>
  <c r="C946" i="4"/>
  <c r="C947" i="4"/>
  <c r="C948" i="4"/>
  <c r="C949" i="4"/>
  <c r="C950" i="4"/>
  <c r="C951" i="4"/>
  <c r="C952" i="4"/>
  <c r="C953" i="4"/>
  <c r="C954" i="4"/>
  <c r="C955" i="4"/>
  <c r="C956" i="4"/>
  <c r="C957" i="4"/>
  <c r="C958" i="4"/>
  <c r="C959" i="4"/>
  <c r="C960" i="4"/>
  <c r="C961" i="4"/>
  <c r="C962" i="4"/>
  <c r="C963" i="4"/>
  <c r="C964" i="4"/>
  <c r="C965" i="4"/>
  <c r="C966" i="4"/>
  <c r="C967" i="4"/>
  <c r="C968" i="4"/>
  <c r="C969" i="4"/>
  <c r="C970" i="4"/>
  <c r="C971" i="4"/>
  <c r="C972" i="4"/>
  <c r="C973" i="4"/>
  <c r="C974" i="4"/>
  <c r="C975" i="4"/>
  <c r="C976" i="4"/>
  <c r="C977" i="4"/>
  <c r="C978" i="4"/>
  <c r="C979" i="4"/>
  <c r="C980" i="4"/>
  <c r="C981" i="4"/>
  <c r="C982" i="4"/>
  <c r="C983" i="4"/>
  <c r="C984" i="4"/>
  <c r="C985" i="4"/>
  <c r="C986" i="4"/>
  <c r="C987" i="4"/>
  <c r="C988" i="4"/>
  <c r="C989" i="4"/>
  <c r="C990" i="4"/>
  <c r="C991" i="4"/>
  <c r="C992" i="4"/>
  <c r="C993" i="4"/>
  <c r="C994" i="4"/>
  <c r="C995" i="4"/>
  <c r="C996" i="4"/>
  <c r="C997" i="4"/>
  <c r="C998" i="4"/>
  <c r="C999" i="4"/>
  <c r="C1000" i="4"/>
  <c r="C1001" i="4"/>
  <c r="C1002" i="4"/>
  <c r="C1003" i="4"/>
  <c r="C1004" i="4"/>
  <c r="C1005" i="4"/>
  <c r="C1006" i="4"/>
  <c r="C1007" i="4"/>
  <c r="C1008" i="4"/>
  <c r="C1009" i="4"/>
  <c r="C1010" i="4"/>
  <c r="C1011" i="4"/>
  <c r="C1012" i="4"/>
  <c r="C1013" i="4"/>
  <c r="C1014" i="4"/>
  <c r="C1015" i="4"/>
  <c r="C1016" i="4"/>
  <c r="C1017" i="4"/>
  <c r="C1018" i="4"/>
  <c r="C1019" i="4"/>
  <c r="C1020" i="4"/>
  <c r="C1021" i="4"/>
  <c r="B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275" i="4"/>
  <c r="B276" i="4"/>
  <c r="B277" i="4"/>
  <c r="B278" i="4"/>
  <c r="B279" i="4"/>
  <c r="B280" i="4"/>
  <c r="B281" i="4"/>
  <c r="B282" i="4"/>
  <c r="B283" i="4"/>
  <c r="B284" i="4"/>
  <c r="B285" i="4"/>
  <c r="B286" i="4"/>
  <c r="B287" i="4"/>
  <c r="B288" i="4"/>
  <c r="B289" i="4"/>
  <c r="B290" i="4"/>
  <c r="B291" i="4"/>
  <c r="B292" i="4"/>
  <c r="B293" i="4"/>
  <c r="B294" i="4"/>
  <c r="B295" i="4"/>
  <c r="B296" i="4"/>
  <c r="B297" i="4"/>
  <c r="B298" i="4"/>
  <c r="B299" i="4"/>
  <c r="B300" i="4"/>
  <c r="B301" i="4"/>
  <c r="B302" i="4"/>
  <c r="B303" i="4"/>
  <c r="B304" i="4"/>
  <c r="B305" i="4"/>
  <c r="B306" i="4"/>
  <c r="B307" i="4"/>
  <c r="B308" i="4"/>
  <c r="B309" i="4"/>
  <c r="B310" i="4"/>
  <c r="B311" i="4"/>
  <c r="B312" i="4"/>
  <c r="B313" i="4"/>
  <c r="B314" i="4"/>
  <c r="B315" i="4"/>
  <c r="B316" i="4"/>
  <c r="B317" i="4"/>
  <c r="B318" i="4"/>
  <c r="B319" i="4"/>
  <c r="B320" i="4"/>
  <c r="B321" i="4"/>
  <c r="B322" i="4"/>
  <c r="B323" i="4"/>
  <c r="B324" i="4"/>
  <c r="B325" i="4"/>
  <c r="B326" i="4"/>
  <c r="B327" i="4"/>
  <c r="B328" i="4"/>
  <c r="B329" i="4"/>
  <c r="B330" i="4"/>
  <c r="B331" i="4"/>
  <c r="B332" i="4"/>
  <c r="B333" i="4"/>
  <c r="B334" i="4"/>
  <c r="B335" i="4"/>
  <c r="B336" i="4"/>
  <c r="B337" i="4"/>
  <c r="B338" i="4"/>
  <c r="B339" i="4"/>
  <c r="B340" i="4"/>
  <c r="B341" i="4"/>
  <c r="B342" i="4"/>
  <c r="B343" i="4"/>
  <c r="B344" i="4"/>
  <c r="B345" i="4"/>
  <c r="B346" i="4"/>
  <c r="B347" i="4"/>
  <c r="B348" i="4"/>
  <c r="B349" i="4"/>
  <c r="B350" i="4"/>
  <c r="B351" i="4"/>
  <c r="B352" i="4"/>
  <c r="B353" i="4"/>
  <c r="B354" i="4"/>
  <c r="B355" i="4"/>
  <c r="B356" i="4"/>
  <c r="B357" i="4"/>
  <c r="B358" i="4"/>
  <c r="B359" i="4"/>
  <c r="B360" i="4"/>
  <c r="B361" i="4"/>
  <c r="B362" i="4"/>
  <c r="B363" i="4"/>
  <c r="B364" i="4"/>
  <c r="B365" i="4"/>
  <c r="B366" i="4"/>
  <c r="B367" i="4"/>
  <c r="B368" i="4"/>
  <c r="B369" i="4"/>
  <c r="B370" i="4"/>
  <c r="B371" i="4"/>
  <c r="B372" i="4"/>
  <c r="B373" i="4"/>
  <c r="B374" i="4"/>
  <c r="B375" i="4"/>
  <c r="B376" i="4"/>
  <c r="B377" i="4"/>
  <c r="B378" i="4"/>
  <c r="B379" i="4"/>
  <c r="B380" i="4"/>
  <c r="B381" i="4"/>
  <c r="B382" i="4"/>
  <c r="B383" i="4"/>
  <c r="B384" i="4"/>
  <c r="B385" i="4"/>
  <c r="B386" i="4"/>
  <c r="B387" i="4"/>
  <c r="B388" i="4"/>
  <c r="B389" i="4"/>
  <c r="B390" i="4"/>
  <c r="B391" i="4"/>
  <c r="B392" i="4"/>
  <c r="B393" i="4"/>
  <c r="B394" i="4"/>
  <c r="B395" i="4"/>
  <c r="B396" i="4"/>
  <c r="B397" i="4"/>
  <c r="B398" i="4"/>
  <c r="B399" i="4"/>
  <c r="B400" i="4"/>
  <c r="B401" i="4"/>
  <c r="B402" i="4"/>
  <c r="B403" i="4"/>
  <c r="B404" i="4"/>
  <c r="B405" i="4"/>
  <c r="B406" i="4"/>
  <c r="B407" i="4"/>
  <c r="B408" i="4"/>
  <c r="B409" i="4"/>
  <c r="B410" i="4"/>
  <c r="B411" i="4"/>
  <c r="B412" i="4"/>
  <c r="B413" i="4"/>
  <c r="B414" i="4"/>
  <c r="B415" i="4"/>
  <c r="B416" i="4"/>
  <c r="B417" i="4"/>
  <c r="B418" i="4"/>
  <c r="B419" i="4"/>
  <c r="B420" i="4"/>
  <c r="B421" i="4"/>
  <c r="B422" i="4"/>
  <c r="B423" i="4"/>
  <c r="B424" i="4"/>
  <c r="B425" i="4"/>
  <c r="B426" i="4"/>
  <c r="B427" i="4"/>
  <c r="B428" i="4"/>
  <c r="B429" i="4"/>
  <c r="B430" i="4"/>
  <c r="B431" i="4"/>
  <c r="B432" i="4"/>
  <c r="B433" i="4"/>
  <c r="B434" i="4"/>
  <c r="B435" i="4"/>
  <c r="B436" i="4"/>
  <c r="B437" i="4"/>
  <c r="B438" i="4"/>
  <c r="B439" i="4"/>
  <c r="B440" i="4"/>
  <c r="B441" i="4"/>
  <c r="B442" i="4"/>
  <c r="B443" i="4"/>
  <c r="B444" i="4"/>
  <c r="B445" i="4"/>
  <c r="B446" i="4"/>
  <c r="B447" i="4"/>
  <c r="B448" i="4"/>
  <c r="B449" i="4"/>
  <c r="B450" i="4"/>
  <c r="B451" i="4"/>
  <c r="B452" i="4"/>
  <c r="B453" i="4"/>
  <c r="B454" i="4"/>
  <c r="B455" i="4"/>
  <c r="B456" i="4"/>
  <c r="B457" i="4"/>
  <c r="B458" i="4"/>
  <c r="B459" i="4"/>
  <c r="B460" i="4"/>
  <c r="B461" i="4"/>
  <c r="B462" i="4"/>
  <c r="B463" i="4"/>
  <c r="B464" i="4"/>
  <c r="B465" i="4"/>
  <c r="B466" i="4"/>
  <c r="B467" i="4"/>
  <c r="B468" i="4"/>
  <c r="B469" i="4"/>
  <c r="B470" i="4"/>
  <c r="B471" i="4"/>
  <c r="B472" i="4"/>
  <c r="B473" i="4"/>
  <c r="B474" i="4"/>
  <c r="B475" i="4"/>
  <c r="B476" i="4"/>
  <c r="B477" i="4"/>
  <c r="B478" i="4"/>
  <c r="B479" i="4"/>
  <c r="B480" i="4"/>
  <c r="B481" i="4"/>
  <c r="B482" i="4"/>
  <c r="B483" i="4"/>
  <c r="B484" i="4"/>
  <c r="B485" i="4"/>
  <c r="B486" i="4"/>
  <c r="B487" i="4"/>
  <c r="B488" i="4"/>
  <c r="B489" i="4"/>
  <c r="B490" i="4"/>
  <c r="B491" i="4"/>
  <c r="B492" i="4"/>
  <c r="B493" i="4"/>
  <c r="B494" i="4"/>
  <c r="B495" i="4"/>
  <c r="B496" i="4"/>
  <c r="B497" i="4"/>
  <c r="B498" i="4"/>
  <c r="B499" i="4"/>
  <c r="B500" i="4"/>
  <c r="B501" i="4"/>
  <c r="B502" i="4"/>
  <c r="B503" i="4"/>
  <c r="B504" i="4"/>
  <c r="B505" i="4"/>
  <c r="B506" i="4"/>
  <c r="B507" i="4"/>
  <c r="B508" i="4"/>
  <c r="B509" i="4"/>
  <c r="B510" i="4"/>
  <c r="B511" i="4"/>
  <c r="B512" i="4"/>
  <c r="B513" i="4"/>
  <c r="B514" i="4"/>
  <c r="B515" i="4"/>
  <c r="B516" i="4"/>
  <c r="B517" i="4"/>
  <c r="B518" i="4"/>
  <c r="B519" i="4"/>
  <c r="B520" i="4"/>
  <c r="B521" i="4"/>
  <c r="B522" i="4"/>
  <c r="B523" i="4"/>
  <c r="B524" i="4"/>
  <c r="B525" i="4"/>
  <c r="B526" i="4"/>
  <c r="B527" i="4"/>
  <c r="B528" i="4"/>
  <c r="B529" i="4"/>
  <c r="B530" i="4"/>
  <c r="B531" i="4"/>
  <c r="B532" i="4"/>
  <c r="B533" i="4"/>
  <c r="B534" i="4"/>
  <c r="B535" i="4"/>
  <c r="B536" i="4"/>
  <c r="B537" i="4"/>
  <c r="B538" i="4"/>
  <c r="B539" i="4"/>
  <c r="B540" i="4"/>
  <c r="B541" i="4"/>
  <c r="B542" i="4"/>
  <c r="B543" i="4"/>
  <c r="B544" i="4"/>
  <c r="B545" i="4"/>
  <c r="B546" i="4"/>
  <c r="B547" i="4"/>
  <c r="B548" i="4"/>
  <c r="B549" i="4"/>
  <c r="B550" i="4"/>
  <c r="B551" i="4"/>
  <c r="B552" i="4"/>
  <c r="B553" i="4"/>
  <c r="B554" i="4"/>
  <c r="B555" i="4"/>
  <c r="B556" i="4"/>
  <c r="B557" i="4"/>
  <c r="B558" i="4"/>
  <c r="B559" i="4"/>
  <c r="B560" i="4"/>
  <c r="B561" i="4"/>
  <c r="B562" i="4"/>
  <c r="B563" i="4"/>
  <c r="B564" i="4"/>
  <c r="B565" i="4"/>
  <c r="B566" i="4"/>
  <c r="B567" i="4"/>
  <c r="B568" i="4"/>
  <c r="B569" i="4"/>
  <c r="B570" i="4"/>
  <c r="B571" i="4"/>
  <c r="B572" i="4"/>
  <c r="B573" i="4"/>
  <c r="B574" i="4"/>
  <c r="B575" i="4"/>
  <c r="B576" i="4"/>
  <c r="B577" i="4"/>
  <c r="B578" i="4"/>
  <c r="B579" i="4"/>
  <c r="B580" i="4"/>
  <c r="B581" i="4"/>
  <c r="B582" i="4"/>
  <c r="B583" i="4"/>
  <c r="B584" i="4"/>
  <c r="B585" i="4"/>
  <c r="B586" i="4"/>
  <c r="B587" i="4"/>
  <c r="B588" i="4"/>
  <c r="B589" i="4"/>
  <c r="B590" i="4"/>
  <c r="B591" i="4"/>
  <c r="B592" i="4"/>
  <c r="B593" i="4"/>
  <c r="B594" i="4"/>
  <c r="B595" i="4"/>
  <c r="B596" i="4"/>
  <c r="B597" i="4"/>
  <c r="B598" i="4"/>
  <c r="B599" i="4"/>
  <c r="B600" i="4"/>
  <c r="B601" i="4"/>
  <c r="B602" i="4"/>
  <c r="B603" i="4"/>
  <c r="B604" i="4"/>
  <c r="B605" i="4"/>
  <c r="B606" i="4"/>
  <c r="B607" i="4"/>
  <c r="B608" i="4"/>
  <c r="B609" i="4"/>
  <c r="B610" i="4"/>
  <c r="B611" i="4"/>
  <c r="B612" i="4"/>
  <c r="B613" i="4"/>
  <c r="B614" i="4"/>
  <c r="B615" i="4"/>
  <c r="B616" i="4"/>
  <c r="B617" i="4"/>
  <c r="B618" i="4"/>
  <c r="B619" i="4"/>
  <c r="B620" i="4"/>
  <c r="B621" i="4"/>
  <c r="B622" i="4"/>
  <c r="B623" i="4"/>
  <c r="B624" i="4"/>
  <c r="B625" i="4"/>
  <c r="B626" i="4"/>
  <c r="B627" i="4"/>
  <c r="B628" i="4"/>
  <c r="B629" i="4"/>
  <c r="B630" i="4"/>
  <c r="B631" i="4"/>
  <c r="B632" i="4"/>
  <c r="B633" i="4"/>
  <c r="B634" i="4"/>
  <c r="B635" i="4"/>
  <c r="B636" i="4"/>
  <c r="B637" i="4"/>
  <c r="B638" i="4"/>
  <c r="B639" i="4"/>
  <c r="B640" i="4"/>
  <c r="B641" i="4"/>
  <c r="B642" i="4"/>
  <c r="B643" i="4"/>
  <c r="B644" i="4"/>
  <c r="B645" i="4"/>
  <c r="B646" i="4"/>
  <c r="B647" i="4"/>
  <c r="B648" i="4"/>
  <c r="B649" i="4"/>
  <c r="B650" i="4"/>
  <c r="B651" i="4"/>
  <c r="B652" i="4"/>
  <c r="B653" i="4"/>
  <c r="B654" i="4"/>
  <c r="B655" i="4"/>
  <c r="B656" i="4"/>
  <c r="B657" i="4"/>
  <c r="B658" i="4"/>
  <c r="B659" i="4"/>
  <c r="B660" i="4"/>
  <c r="B661" i="4"/>
  <c r="B662" i="4"/>
  <c r="B663" i="4"/>
  <c r="B664" i="4"/>
  <c r="B665" i="4"/>
  <c r="B666" i="4"/>
  <c r="B667" i="4"/>
  <c r="B668" i="4"/>
  <c r="B669" i="4"/>
  <c r="B670" i="4"/>
  <c r="B671" i="4"/>
  <c r="B672" i="4"/>
  <c r="B673" i="4"/>
  <c r="B674" i="4"/>
  <c r="B675" i="4"/>
  <c r="B676" i="4"/>
  <c r="B677" i="4"/>
  <c r="B678" i="4"/>
  <c r="B679" i="4"/>
  <c r="B680" i="4"/>
  <c r="B681" i="4"/>
  <c r="B682" i="4"/>
  <c r="B683" i="4"/>
  <c r="B684" i="4"/>
  <c r="B685" i="4"/>
  <c r="B686" i="4"/>
  <c r="B687" i="4"/>
  <c r="B688" i="4"/>
  <c r="B689" i="4"/>
  <c r="B690" i="4"/>
  <c r="B691" i="4"/>
  <c r="B692" i="4"/>
  <c r="B693" i="4"/>
  <c r="B694" i="4"/>
  <c r="B695" i="4"/>
  <c r="B696" i="4"/>
  <c r="B697" i="4"/>
  <c r="B698" i="4"/>
  <c r="B699" i="4"/>
  <c r="B700" i="4"/>
  <c r="B701" i="4"/>
  <c r="B702" i="4"/>
  <c r="B703" i="4"/>
  <c r="B704" i="4"/>
  <c r="B705" i="4"/>
  <c r="B706" i="4"/>
  <c r="B707" i="4"/>
  <c r="B708" i="4"/>
  <c r="B709" i="4"/>
  <c r="B710" i="4"/>
  <c r="B711" i="4"/>
  <c r="B712" i="4"/>
  <c r="B713" i="4"/>
  <c r="B714" i="4"/>
  <c r="B715" i="4"/>
  <c r="B716" i="4"/>
  <c r="B717" i="4"/>
  <c r="B718" i="4"/>
  <c r="B719" i="4"/>
  <c r="B720" i="4"/>
  <c r="B721" i="4"/>
  <c r="B722" i="4"/>
  <c r="B723" i="4"/>
  <c r="B724" i="4"/>
  <c r="B725" i="4"/>
  <c r="B726" i="4"/>
  <c r="B727" i="4"/>
  <c r="B728" i="4"/>
  <c r="B729" i="4"/>
  <c r="B730" i="4"/>
  <c r="B731" i="4"/>
  <c r="B732" i="4"/>
  <c r="B733" i="4"/>
  <c r="B734" i="4"/>
  <c r="B735" i="4"/>
  <c r="B736" i="4"/>
  <c r="B737" i="4"/>
  <c r="B738" i="4"/>
  <c r="B739" i="4"/>
  <c r="B740" i="4"/>
  <c r="B741" i="4"/>
  <c r="B742" i="4"/>
  <c r="B743" i="4"/>
  <c r="B744" i="4"/>
  <c r="B745" i="4"/>
  <c r="B746" i="4"/>
  <c r="B747" i="4"/>
  <c r="B748" i="4"/>
  <c r="B749" i="4"/>
  <c r="B750" i="4"/>
  <c r="B751" i="4"/>
  <c r="B752" i="4"/>
  <c r="B753" i="4"/>
  <c r="B754" i="4"/>
  <c r="B755" i="4"/>
  <c r="B756" i="4"/>
  <c r="B757" i="4"/>
  <c r="B758" i="4"/>
  <c r="B759" i="4"/>
  <c r="B760" i="4"/>
  <c r="B761" i="4"/>
  <c r="B762" i="4"/>
  <c r="B763" i="4"/>
  <c r="B764" i="4"/>
  <c r="B765" i="4"/>
  <c r="B766" i="4"/>
  <c r="B767" i="4"/>
  <c r="B768" i="4"/>
  <c r="B769" i="4"/>
  <c r="B770" i="4"/>
  <c r="B771" i="4"/>
  <c r="B772" i="4"/>
  <c r="B773" i="4"/>
  <c r="B774" i="4"/>
  <c r="B775" i="4"/>
  <c r="B776" i="4"/>
  <c r="B777" i="4"/>
  <c r="B778" i="4"/>
  <c r="B779" i="4"/>
  <c r="B780" i="4"/>
  <c r="B781" i="4"/>
  <c r="B782" i="4"/>
  <c r="B783" i="4"/>
  <c r="B784" i="4"/>
  <c r="B785" i="4"/>
  <c r="B786" i="4"/>
  <c r="B787" i="4"/>
  <c r="B788" i="4"/>
  <c r="B789" i="4"/>
  <c r="B790" i="4"/>
  <c r="B791" i="4"/>
  <c r="B792" i="4"/>
  <c r="B793" i="4"/>
  <c r="B794" i="4"/>
  <c r="B795" i="4"/>
  <c r="B796" i="4"/>
  <c r="B797" i="4"/>
  <c r="B798" i="4"/>
  <c r="B799" i="4"/>
  <c r="B800" i="4"/>
  <c r="B801" i="4"/>
  <c r="B802" i="4"/>
  <c r="B803" i="4"/>
  <c r="B804" i="4"/>
  <c r="B805" i="4"/>
  <c r="B806" i="4"/>
  <c r="B807" i="4"/>
  <c r="B808" i="4"/>
  <c r="B809" i="4"/>
  <c r="B810" i="4"/>
  <c r="B811" i="4"/>
  <c r="B812" i="4"/>
  <c r="B813" i="4"/>
  <c r="B814" i="4"/>
  <c r="B815" i="4"/>
  <c r="B816" i="4"/>
  <c r="B817" i="4"/>
  <c r="B818" i="4"/>
  <c r="B819" i="4"/>
  <c r="B820" i="4"/>
  <c r="B821" i="4"/>
  <c r="B822" i="4"/>
  <c r="B823" i="4"/>
  <c r="B824" i="4"/>
  <c r="B825" i="4"/>
  <c r="B826" i="4"/>
  <c r="B827" i="4"/>
  <c r="B828" i="4"/>
  <c r="B829" i="4"/>
  <c r="B830" i="4"/>
  <c r="B831" i="4"/>
  <c r="B832" i="4"/>
  <c r="B833" i="4"/>
  <c r="B834" i="4"/>
  <c r="B835" i="4"/>
  <c r="B836" i="4"/>
  <c r="B837" i="4"/>
  <c r="B838" i="4"/>
  <c r="B839" i="4"/>
  <c r="B840" i="4"/>
  <c r="B841" i="4"/>
  <c r="B842" i="4"/>
  <c r="B843" i="4"/>
  <c r="B844" i="4"/>
  <c r="B845" i="4"/>
  <c r="B846" i="4"/>
  <c r="B847" i="4"/>
  <c r="B848" i="4"/>
  <c r="B849" i="4"/>
  <c r="B850" i="4"/>
  <c r="B851" i="4"/>
  <c r="B852" i="4"/>
  <c r="B853" i="4"/>
  <c r="B854" i="4"/>
  <c r="B855" i="4"/>
  <c r="B856" i="4"/>
  <c r="B857" i="4"/>
  <c r="B858" i="4"/>
  <c r="B859" i="4"/>
  <c r="B860" i="4"/>
  <c r="B861" i="4"/>
  <c r="B862" i="4"/>
  <c r="B863" i="4"/>
  <c r="B864" i="4"/>
  <c r="B865" i="4"/>
  <c r="B866" i="4"/>
  <c r="B867" i="4"/>
  <c r="B868" i="4"/>
  <c r="B869" i="4"/>
  <c r="B870" i="4"/>
  <c r="B871" i="4"/>
  <c r="B872" i="4"/>
  <c r="B873" i="4"/>
  <c r="B874" i="4"/>
  <c r="B875" i="4"/>
  <c r="B876" i="4"/>
  <c r="B877" i="4"/>
  <c r="B878" i="4"/>
  <c r="B879" i="4"/>
  <c r="B880" i="4"/>
  <c r="B881" i="4"/>
  <c r="B882" i="4"/>
  <c r="B883" i="4"/>
  <c r="B884" i="4"/>
  <c r="B885" i="4"/>
  <c r="B886" i="4"/>
  <c r="B887" i="4"/>
  <c r="B888" i="4"/>
  <c r="B889" i="4"/>
  <c r="B890" i="4"/>
  <c r="B891" i="4"/>
  <c r="B892" i="4"/>
  <c r="B893" i="4"/>
  <c r="B894" i="4"/>
  <c r="B895" i="4"/>
  <c r="B896" i="4"/>
  <c r="B897" i="4"/>
  <c r="B898" i="4"/>
  <c r="B899" i="4"/>
  <c r="B900" i="4"/>
  <c r="B901" i="4"/>
  <c r="B902" i="4"/>
  <c r="B903" i="4"/>
  <c r="B904" i="4"/>
  <c r="B905" i="4"/>
  <c r="B906" i="4"/>
  <c r="B907" i="4"/>
  <c r="B908" i="4"/>
  <c r="B909" i="4"/>
  <c r="B910" i="4"/>
  <c r="B911" i="4"/>
  <c r="B912" i="4"/>
  <c r="B913" i="4"/>
  <c r="B914" i="4"/>
  <c r="B915" i="4"/>
  <c r="B916" i="4"/>
  <c r="B917" i="4"/>
  <c r="B918" i="4"/>
  <c r="B919" i="4"/>
  <c r="B920" i="4"/>
  <c r="B921" i="4"/>
  <c r="B922" i="4"/>
  <c r="B923" i="4"/>
  <c r="B924" i="4"/>
  <c r="B925" i="4"/>
  <c r="B926" i="4"/>
  <c r="B927" i="4"/>
  <c r="B928" i="4"/>
  <c r="B929" i="4"/>
  <c r="B930" i="4"/>
  <c r="B931" i="4"/>
  <c r="B932" i="4"/>
  <c r="B933" i="4"/>
  <c r="B934" i="4"/>
  <c r="B935" i="4"/>
  <c r="B936" i="4"/>
  <c r="B937" i="4"/>
  <c r="B938" i="4"/>
  <c r="B939" i="4"/>
  <c r="B940" i="4"/>
  <c r="B941" i="4"/>
  <c r="B942" i="4"/>
  <c r="B943" i="4"/>
  <c r="B944" i="4"/>
  <c r="B945" i="4"/>
  <c r="B946" i="4"/>
  <c r="B947" i="4"/>
  <c r="B948" i="4"/>
  <c r="B949" i="4"/>
  <c r="B950" i="4"/>
  <c r="B951" i="4"/>
  <c r="B952" i="4"/>
  <c r="B953" i="4"/>
  <c r="B954" i="4"/>
  <c r="B955" i="4"/>
  <c r="B956" i="4"/>
  <c r="B957" i="4"/>
  <c r="B958" i="4"/>
  <c r="B959" i="4"/>
  <c r="B960" i="4"/>
  <c r="B961" i="4"/>
  <c r="B962" i="4"/>
  <c r="B963" i="4"/>
  <c r="B964" i="4"/>
  <c r="B965" i="4"/>
  <c r="B966" i="4"/>
  <c r="B967" i="4"/>
  <c r="B968" i="4"/>
  <c r="B969" i="4"/>
  <c r="B970" i="4"/>
  <c r="B971" i="4"/>
  <c r="B972" i="4"/>
  <c r="B973" i="4"/>
  <c r="B974" i="4"/>
  <c r="B975" i="4"/>
  <c r="B976" i="4"/>
  <c r="B977" i="4"/>
  <c r="B978" i="4"/>
  <c r="B979" i="4"/>
  <c r="B980" i="4"/>
  <c r="B981" i="4"/>
  <c r="B982" i="4"/>
  <c r="B983" i="4"/>
  <c r="B984" i="4"/>
  <c r="B985" i="4"/>
  <c r="B986" i="4"/>
  <c r="B987" i="4"/>
  <c r="B988" i="4"/>
  <c r="B989" i="4"/>
  <c r="B990" i="4"/>
  <c r="B991" i="4"/>
  <c r="B992" i="4"/>
  <c r="B993" i="4"/>
  <c r="B994" i="4"/>
  <c r="B995" i="4"/>
  <c r="B996" i="4"/>
  <c r="B997" i="4"/>
  <c r="B998" i="4"/>
  <c r="B999" i="4"/>
  <c r="B1000" i="4"/>
  <c r="B1001" i="4"/>
  <c r="B1002" i="4"/>
  <c r="B1003" i="4"/>
  <c r="B1004" i="4"/>
  <c r="B1005" i="4"/>
  <c r="B1006" i="4"/>
  <c r="B1007" i="4"/>
  <c r="B1008" i="4"/>
  <c r="B1009" i="4"/>
  <c r="B1010" i="4"/>
  <c r="B1011" i="4"/>
  <c r="B1012" i="4"/>
  <c r="B1013" i="4"/>
  <c r="B1014" i="4"/>
  <c r="B1015" i="4"/>
  <c r="B1016" i="4"/>
  <c r="B1017" i="4"/>
  <c r="B1018" i="4"/>
  <c r="B1019" i="4"/>
  <c r="B1020" i="4"/>
  <c r="B1021" i="4"/>
  <c r="A295" i="4"/>
  <c r="A296" i="4"/>
  <c r="A297" i="4"/>
  <c r="A298" i="4"/>
  <c r="A299" i="4"/>
  <c r="A300" i="4"/>
  <c r="A301" i="4"/>
  <c r="A302" i="4"/>
  <c r="A303" i="4"/>
  <c r="A304" i="4"/>
  <c r="A305" i="4"/>
  <c r="A306" i="4"/>
  <c r="A307" i="4"/>
  <c r="A308" i="4"/>
  <c r="A309" i="4"/>
  <c r="A310" i="4"/>
  <c r="A311" i="4"/>
  <c r="A312" i="4"/>
  <c r="A313" i="4"/>
  <c r="A314" i="4"/>
  <c r="A315" i="4"/>
  <c r="A316" i="4"/>
  <c r="A317" i="4"/>
  <c r="A318" i="4"/>
  <c r="A319" i="4"/>
  <c r="A320" i="4"/>
  <c r="A321" i="4"/>
  <c r="A322" i="4"/>
  <c r="A323" i="4"/>
  <c r="A324" i="4"/>
  <c r="A325" i="4"/>
  <c r="A326" i="4"/>
  <c r="A327" i="4"/>
  <c r="A328" i="4"/>
  <c r="A329" i="4"/>
  <c r="A330" i="4"/>
  <c r="A331" i="4"/>
  <c r="A332" i="4"/>
  <c r="A333" i="4"/>
  <c r="A334" i="4"/>
  <c r="A335" i="4"/>
  <c r="A336" i="4"/>
  <c r="A337" i="4"/>
  <c r="A338" i="4"/>
  <c r="A339" i="4"/>
  <c r="A340" i="4"/>
  <c r="A341" i="4"/>
  <c r="A342" i="4"/>
  <c r="A343" i="4"/>
  <c r="A344" i="4"/>
  <c r="A345" i="4"/>
  <c r="A346" i="4"/>
  <c r="A347" i="4"/>
  <c r="A348" i="4"/>
  <c r="A349" i="4"/>
  <c r="A350" i="4"/>
  <c r="A351" i="4"/>
  <c r="A352" i="4"/>
  <c r="A353" i="4"/>
  <c r="A354" i="4"/>
  <c r="A355" i="4"/>
  <c r="A356" i="4"/>
  <c r="A357" i="4"/>
  <c r="A358" i="4"/>
  <c r="A359" i="4"/>
  <c r="A360" i="4"/>
  <c r="A361" i="4"/>
  <c r="A362" i="4"/>
  <c r="A363" i="4"/>
  <c r="A364" i="4"/>
  <c r="A365" i="4"/>
  <c r="A366" i="4"/>
  <c r="A367" i="4"/>
  <c r="A368" i="4"/>
  <c r="A369" i="4"/>
  <c r="A370" i="4"/>
  <c r="A371" i="4"/>
  <c r="A372" i="4"/>
  <c r="A373" i="4"/>
  <c r="A374" i="4"/>
  <c r="A375" i="4"/>
  <c r="A376" i="4"/>
  <c r="A377" i="4"/>
  <c r="A378" i="4"/>
  <c r="A379" i="4"/>
  <c r="A380" i="4"/>
  <c r="A381" i="4"/>
  <c r="A382" i="4"/>
  <c r="A383" i="4"/>
  <c r="A384" i="4"/>
  <c r="A385" i="4"/>
  <c r="A386" i="4"/>
  <c r="A387" i="4"/>
  <c r="A388" i="4"/>
  <c r="A389" i="4"/>
  <c r="A390" i="4"/>
  <c r="A391" i="4"/>
  <c r="A392" i="4"/>
  <c r="A393" i="4"/>
  <c r="A394" i="4"/>
  <c r="A395" i="4"/>
  <c r="A396" i="4"/>
  <c r="A397" i="4"/>
  <c r="A398" i="4"/>
  <c r="A399" i="4"/>
  <c r="A400" i="4"/>
  <c r="A401" i="4"/>
  <c r="A402" i="4"/>
  <c r="A403" i="4"/>
  <c r="A404" i="4"/>
  <c r="A405" i="4"/>
  <c r="A406" i="4"/>
  <c r="A407" i="4"/>
  <c r="A408" i="4"/>
  <c r="A409" i="4"/>
  <c r="A410" i="4"/>
  <c r="A411" i="4"/>
  <c r="A412" i="4"/>
  <c r="A413" i="4"/>
  <c r="A414" i="4"/>
  <c r="A415" i="4"/>
  <c r="A416" i="4"/>
  <c r="A417" i="4"/>
  <c r="A418" i="4"/>
  <c r="A419" i="4"/>
  <c r="A420" i="4"/>
  <c r="A421" i="4"/>
  <c r="A422" i="4"/>
  <c r="A423" i="4"/>
  <c r="A424" i="4"/>
  <c r="A425" i="4"/>
  <c r="A426" i="4"/>
  <c r="A427" i="4"/>
  <c r="A428" i="4"/>
  <c r="A429" i="4"/>
  <c r="A430" i="4"/>
  <c r="A431" i="4"/>
  <c r="A432" i="4"/>
  <c r="A433" i="4"/>
  <c r="A434" i="4"/>
  <c r="A435" i="4"/>
  <c r="A436" i="4"/>
  <c r="A437" i="4"/>
  <c r="A438" i="4"/>
  <c r="A439" i="4"/>
  <c r="A440" i="4"/>
  <c r="A441" i="4"/>
  <c r="A442" i="4"/>
  <c r="A443" i="4"/>
  <c r="A444" i="4"/>
  <c r="A445" i="4"/>
  <c r="A446" i="4"/>
  <c r="A447" i="4"/>
  <c r="A448" i="4"/>
  <c r="A449" i="4"/>
  <c r="A450" i="4"/>
  <c r="A451" i="4"/>
  <c r="A452" i="4"/>
  <c r="A453" i="4"/>
  <c r="A454" i="4"/>
  <c r="A455" i="4"/>
  <c r="A456" i="4"/>
  <c r="A457" i="4"/>
  <c r="A458" i="4"/>
  <c r="A459" i="4"/>
  <c r="A460" i="4"/>
  <c r="A461" i="4"/>
  <c r="A462" i="4"/>
  <c r="A463" i="4"/>
  <c r="A464" i="4"/>
  <c r="A465" i="4"/>
  <c r="A466" i="4"/>
  <c r="A467" i="4"/>
  <c r="A468" i="4"/>
  <c r="A469" i="4"/>
  <c r="A470" i="4"/>
  <c r="A471" i="4"/>
  <c r="A472" i="4"/>
  <c r="A473" i="4"/>
  <c r="A474" i="4"/>
  <c r="A475" i="4"/>
  <c r="A476" i="4"/>
  <c r="A477" i="4"/>
  <c r="A478" i="4"/>
  <c r="A479" i="4"/>
  <c r="A480" i="4"/>
  <c r="A481" i="4"/>
  <c r="A482" i="4"/>
  <c r="A483" i="4"/>
  <c r="A484" i="4"/>
  <c r="A485" i="4"/>
  <c r="A486" i="4"/>
  <c r="A487" i="4"/>
  <c r="A488" i="4"/>
  <c r="A489" i="4"/>
  <c r="A490" i="4"/>
  <c r="A491" i="4"/>
  <c r="A492" i="4"/>
  <c r="A493" i="4"/>
  <c r="A494" i="4"/>
  <c r="A495" i="4"/>
  <c r="A496" i="4"/>
  <c r="A497" i="4"/>
  <c r="A498" i="4"/>
  <c r="A499" i="4"/>
  <c r="A500" i="4"/>
  <c r="A501" i="4"/>
  <c r="A502" i="4"/>
  <c r="A503" i="4"/>
  <c r="A504" i="4"/>
  <c r="A505" i="4"/>
  <c r="A506" i="4"/>
  <c r="A507" i="4"/>
  <c r="A508" i="4"/>
  <c r="A509" i="4"/>
  <c r="A510" i="4"/>
  <c r="A511" i="4"/>
  <c r="A512" i="4"/>
  <c r="A513" i="4"/>
  <c r="A514" i="4"/>
  <c r="A515" i="4"/>
  <c r="A516" i="4"/>
  <c r="A517" i="4"/>
  <c r="A518" i="4"/>
  <c r="A519" i="4"/>
  <c r="A520" i="4"/>
  <c r="A521" i="4"/>
  <c r="A522" i="4"/>
  <c r="A523" i="4"/>
  <c r="A524" i="4"/>
  <c r="A525" i="4"/>
  <c r="A526" i="4"/>
  <c r="A527" i="4"/>
  <c r="A528" i="4"/>
  <c r="A529" i="4"/>
  <c r="A530" i="4"/>
  <c r="A531" i="4"/>
  <c r="A532" i="4"/>
  <c r="A533" i="4"/>
  <c r="A534" i="4"/>
  <c r="A535" i="4"/>
  <c r="A536" i="4"/>
  <c r="A537" i="4"/>
  <c r="A538" i="4"/>
  <c r="A539" i="4"/>
  <c r="A540" i="4"/>
  <c r="A541" i="4"/>
  <c r="A542" i="4"/>
  <c r="A543" i="4"/>
  <c r="A544" i="4"/>
  <c r="A545" i="4"/>
  <c r="A546" i="4"/>
  <c r="A547" i="4"/>
  <c r="A548" i="4"/>
  <c r="A549" i="4"/>
  <c r="A550" i="4"/>
  <c r="A551" i="4"/>
  <c r="A552" i="4"/>
  <c r="A553" i="4"/>
  <c r="A554" i="4"/>
  <c r="A555" i="4"/>
  <c r="A556" i="4"/>
  <c r="A557" i="4"/>
  <c r="A558" i="4"/>
  <c r="A559" i="4"/>
  <c r="A560" i="4"/>
  <c r="A561" i="4"/>
  <c r="A562" i="4"/>
  <c r="A563" i="4"/>
  <c r="A564" i="4"/>
  <c r="A565" i="4"/>
  <c r="A566" i="4"/>
  <c r="A567" i="4"/>
  <c r="A568" i="4"/>
  <c r="A569" i="4"/>
  <c r="A570" i="4"/>
  <c r="A571" i="4"/>
  <c r="A572" i="4"/>
  <c r="A573" i="4"/>
  <c r="A574" i="4"/>
  <c r="A575" i="4"/>
  <c r="A576" i="4"/>
  <c r="A577" i="4"/>
  <c r="A578" i="4"/>
  <c r="A579" i="4"/>
  <c r="A580" i="4"/>
  <c r="A581" i="4"/>
  <c r="A582" i="4"/>
  <c r="A583" i="4"/>
  <c r="A584" i="4"/>
  <c r="A585" i="4"/>
  <c r="A586" i="4"/>
  <c r="A587" i="4"/>
  <c r="A588" i="4"/>
  <c r="A589" i="4"/>
  <c r="A590" i="4"/>
  <c r="A591" i="4"/>
  <c r="A592" i="4"/>
  <c r="A593" i="4"/>
  <c r="A594" i="4"/>
  <c r="A595" i="4"/>
  <c r="A596" i="4"/>
  <c r="A597" i="4"/>
  <c r="A598" i="4"/>
  <c r="A599" i="4"/>
  <c r="A600" i="4"/>
  <c r="A601" i="4"/>
  <c r="A602" i="4"/>
  <c r="A603" i="4"/>
  <c r="A604" i="4"/>
  <c r="A605" i="4"/>
  <c r="A606" i="4"/>
  <c r="A607" i="4"/>
  <c r="A608" i="4"/>
  <c r="A609" i="4"/>
  <c r="A610" i="4"/>
  <c r="A611" i="4"/>
  <c r="A612" i="4"/>
  <c r="A613" i="4"/>
  <c r="A614" i="4"/>
  <c r="A615" i="4"/>
  <c r="A616" i="4"/>
  <c r="A617" i="4"/>
  <c r="A618" i="4"/>
  <c r="A619" i="4"/>
  <c r="A620" i="4"/>
  <c r="A621" i="4"/>
  <c r="A622" i="4"/>
  <c r="A623" i="4"/>
  <c r="A624" i="4"/>
  <c r="A625" i="4"/>
  <c r="A626" i="4"/>
  <c r="A627" i="4"/>
  <c r="A628" i="4"/>
  <c r="A629" i="4"/>
  <c r="A630" i="4"/>
  <c r="A631" i="4"/>
  <c r="A632" i="4"/>
  <c r="A633" i="4"/>
  <c r="A634" i="4"/>
  <c r="A635" i="4"/>
  <c r="A636" i="4"/>
  <c r="A637" i="4"/>
  <c r="A638" i="4"/>
  <c r="A639" i="4"/>
  <c r="A640" i="4"/>
  <c r="A641" i="4"/>
  <c r="A642" i="4"/>
  <c r="A643" i="4"/>
  <c r="A644" i="4"/>
  <c r="A645" i="4"/>
  <c r="A646" i="4"/>
  <c r="A647" i="4"/>
  <c r="A648" i="4"/>
  <c r="A649" i="4"/>
  <c r="A650" i="4"/>
  <c r="A651" i="4"/>
  <c r="A652" i="4"/>
  <c r="A653" i="4"/>
  <c r="A654" i="4"/>
  <c r="A655" i="4"/>
  <c r="A656" i="4"/>
  <c r="A657" i="4"/>
  <c r="A658" i="4"/>
  <c r="A659" i="4"/>
  <c r="A660" i="4"/>
  <c r="A661" i="4"/>
  <c r="A662" i="4"/>
  <c r="A663" i="4"/>
  <c r="A664" i="4"/>
  <c r="A665" i="4"/>
  <c r="A666" i="4"/>
  <c r="A667" i="4"/>
  <c r="A668" i="4"/>
  <c r="A669" i="4"/>
  <c r="A670" i="4"/>
  <c r="A671" i="4"/>
  <c r="A672" i="4"/>
  <c r="A673" i="4"/>
  <c r="A674" i="4"/>
  <c r="A675" i="4"/>
  <c r="A676" i="4"/>
  <c r="A677" i="4"/>
  <c r="A678" i="4"/>
  <c r="A679" i="4"/>
  <c r="A680" i="4"/>
  <c r="A681" i="4"/>
  <c r="A682" i="4"/>
  <c r="A683" i="4"/>
  <c r="A684" i="4"/>
  <c r="A685" i="4"/>
  <c r="A686" i="4"/>
  <c r="A687" i="4"/>
  <c r="A688" i="4"/>
  <c r="A689" i="4"/>
  <c r="A690" i="4"/>
  <c r="A691" i="4"/>
  <c r="A692" i="4"/>
  <c r="A693" i="4"/>
  <c r="A694" i="4"/>
  <c r="A695" i="4"/>
  <c r="A696" i="4"/>
  <c r="A697" i="4"/>
  <c r="A698" i="4"/>
  <c r="A699" i="4"/>
  <c r="A700" i="4"/>
  <c r="A701" i="4"/>
  <c r="A702" i="4"/>
  <c r="A703" i="4"/>
  <c r="A704" i="4"/>
  <c r="A705" i="4"/>
  <c r="A706" i="4"/>
  <c r="A707" i="4"/>
  <c r="A708" i="4"/>
  <c r="A709" i="4"/>
  <c r="A710" i="4"/>
  <c r="A711" i="4"/>
  <c r="A712" i="4"/>
  <c r="A713" i="4"/>
  <c r="A714" i="4"/>
  <c r="A715" i="4"/>
  <c r="A716" i="4"/>
  <c r="A717" i="4"/>
  <c r="A718" i="4"/>
  <c r="A719" i="4"/>
  <c r="A720" i="4"/>
  <c r="A721" i="4"/>
  <c r="A722" i="4"/>
  <c r="A723" i="4"/>
  <c r="A724" i="4"/>
  <c r="A725" i="4"/>
  <c r="A726" i="4"/>
  <c r="A727" i="4"/>
  <c r="A728" i="4"/>
  <c r="A729" i="4"/>
  <c r="A730" i="4"/>
  <c r="A731" i="4"/>
  <c r="A732" i="4"/>
  <c r="A733" i="4"/>
  <c r="A734" i="4"/>
  <c r="A735" i="4"/>
  <c r="A736" i="4"/>
  <c r="A737" i="4"/>
  <c r="A738" i="4"/>
  <c r="A739" i="4"/>
  <c r="A740" i="4"/>
  <c r="A741" i="4"/>
  <c r="A742" i="4"/>
  <c r="A743" i="4"/>
  <c r="A744" i="4"/>
  <c r="A745" i="4"/>
  <c r="A746" i="4"/>
  <c r="A747" i="4"/>
  <c r="A748" i="4"/>
  <c r="A749" i="4"/>
  <c r="A750" i="4"/>
  <c r="A751" i="4"/>
  <c r="A752" i="4"/>
  <c r="A753" i="4"/>
  <c r="A754" i="4"/>
  <c r="A755" i="4"/>
  <c r="A756" i="4"/>
  <c r="A757" i="4"/>
  <c r="A758" i="4"/>
  <c r="A759" i="4"/>
  <c r="A760" i="4"/>
  <c r="A761" i="4"/>
  <c r="A762" i="4"/>
  <c r="A763" i="4"/>
  <c r="A764" i="4"/>
  <c r="A765" i="4"/>
  <c r="A766" i="4"/>
  <c r="A767" i="4"/>
  <c r="A768" i="4"/>
  <c r="A769" i="4"/>
  <c r="A770" i="4"/>
  <c r="A771" i="4"/>
  <c r="A772" i="4"/>
  <c r="A773" i="4"/>
  <c r="A774" i="4"/>
  <c r="A775" i="4"/>
  <c r="A776" i="4"/>
  <c r="A777" i="4"/>
  <c r="A778" i="4"/>
  <c r="A779" i="4"/>
  <c r="A780" i="4"/>
  <c r="A781" i="4"/>
  <c r="A782" i="4"/>
  <c r="A783" i="4"/>
  <c r="A784" i="4"/>
  <c r="A785" i="4"/>
  <c r="A786" i="4"/>
  <c r="A787" i="4"/>
  <c r="A788" i="4"/>
  <c r="A789" i="4"/>
  <c r="A790" i="4"/>
  <c r="A791" i="4"/>
  <c r="A792" i="4"/>
  <c r="A793" i="4"/>
  <c r="A794" i="4"/>
  <c r="A795" i="4"/>
  <c r="A796" i="4"/>
  <c r="A797" i="4"/>
  <c r="A798" i="4"/>
  <c r="A799" i="4"/>
  <c r="A800" i="4"/>
  <c r="A801" i="4"/>
  <c r="A802" i="4"/>
  <c r="A803" i="4"/>
  <c r="A804" i="4"/>
  <c r="A805" i="4"/>
  <c r="A806" i="4"/>
  <c r="A807" i="4"/>
  <c r="A808" i="4"/>
  <c r="A809" i="4"/>
  <c r="A810" i="4"/>
  <c r="A811" i="4"/>
  <c r="A812" i="4"/>
  <c r="A813" i="4"/>
  <c r="A814" i="4"/>
  <c r="A815" i="4"/>
  <c r="A816" i="4"/>
  <c r="A817" i="4"/>
  <c r="A818" i="4"/>
  <c r="A819" i="4"/>
  <c r="A820" i="4"/>
  <c r="A821" i="4"/>
  <c r="A822" i="4"/>
  <c r="A823" i="4"/>
  <c r="A824" i="4"/>
  <c r="A825" i="4"/>
  <c r="A826" i="4"/>
  <c r="A827" i="4"/>
  <c r="A828" i="4"/>
  <c r="A829" i="4"/>
  <c r="A830" i="4"/>
  <c r="A831" i="4"/>
  <c r="A832" i="4"/>
  <c r="A833" i="4"/>
  <c r="A834" i="4"/>
  <c r="A835" i="4"/>
  <c r="A836" i="4"/>
  <c r="A837" i="4"/>
  <c r="A838" i="4"/>
  <c r="A839" i="4"/>
  <c r="A840" i="4"/>
  <c r="A841" i="4"/>
  <c r="A842" i="4"/>
  <c r="A843" i="4"/>
  <c r="A844" i="4"/>
  <c r="A845" i="4"/>
  <c r="A846" i="4"/>
  <c r="A847" i="4"/>
  <c r="A848" i="4"/>
  <c r="A849" i="4"/>
  <c r="A850" i="4"/>
  <c r="A851" i="4"/>
  <c r="A852" i="4"/>
  <c r="A853" i="4"/>
  <c r="A854" i="4"/>
  <c r="A855" i="4"/>
  <c r="A856" i="4"/>
  <c r="A857" i="4"/>
  <c r="A858" i="4"/>
  <c r="A859" i="4"/>
  <c r="A860" i="4"/>
  <c r="A861" i="4"/>
  <c r="A862" i="4"/>
  <c r="A863" i="4"/>
  <c r="A864" i="4"/>
  <c r="A865" i="4"/>
  <c r="A866" i="4"/>
  <c r="A867" i="4"/>
  <c r="A868" i="4"/>
  <c r="A869" i="4"/>
  <c r="A870" i="4"/>
  <c r="A871" i="4"/>
  <c r="A872" i="4"/>
  <c r="A873" i="4"/>
  <c r="A874" i="4"/>
  <c r="A875" i="4"/>
  <c r="A876" i="4"/>
  <c r="A877" i="4"/>
  <c r="A878" i="4"/>
  <c r="A879" i="4"/>
  <c r="A880" i="4"/>
  <c r="A881" i="4"/>
  <c r="A882" i="4"/>
  <c r="A883" i="4"/>
  <c r="A884" i="4"/>
  <c r="A885" i="4"/>
  <c r="A886" i="4"/>
  <c r="A887" i="4"/>
  <c r="A888" i="4"/>
  <c r="A889" i="4"/>
  <c r="A890" i="4"/>
  <c r="A891" i="4"/>
  <c r="A892" i="4"/>
  <c r="A893" i="4"/>
  <c r="A894" i="4"/>
  <c r="A895" i="4"/>
  <c r="A896" i="4"/>
  <c r="A897" i="4"/>
  <c r="A898" i="4"/>
  <c r="A899" i="4"/>
  <c r="A900" i="4"/>
  <c r="A901" i="4"/>
  <c r="A902" i="4"/>
  <c r="A903" i="4"/>
  <c r="A904" i="4"/>
  <c r="A905" i="4"/>
  <c r="A906" i="4"/>
  <c r="A907" i="4"/>
  <c r="A908" i="4"/>
  <c r="A909" i="4"/>
  <c r="A910" i="4"/>
  <c r="A911" i="4"/>
  <c r="A912" i="4"/>
  <c r="A913" i="4"/>
  <c r="A914" i="4"/>
  <c r="A915" i="4"/>
  <c r="A916" i="4"/>
  <c r="A917" i="4"/>
  <c r="A918" i="4"/>
  <c r="A919" i="4"/>
  <c r="A920" i="4"/>
  <c r="A921" i="4"/>
  <c r="A922" i="4"/>
  <c r="A923" i="4"/>
  <c r="A924" i="4"/>
  <c r="A925" i="4"/>
  <c r="A926" i="4"/>
  <c r="A927" i="4"/>
  <c r="A928" i="4"/>
  <c r="A929" i="4"/>
  <c r="A930" i="4"/>
  <c r="A931" i="4"/>
  <c r="A932" i="4"/>
  <c r="A933" i="4"/>
  <c r="A934" i="4"/>
  <c r="A935" i="4"/>
  <c r="A936" i="4"/>
  <c r="A937" i="4"/>
  <c r="A938" i="4"/>
  <c r="A939" i="4"/>
  <c r="A940" i="4"/>
  <c r="A941" i="4"/>
  <c r="A942" i="4"/>
  <c r="A943" i="4"/>
  <c r="A944" i="4"/>
  <c r="A945" i="4"/>
  <c r="A946" i="4"/>
  <c r="A947" i="4"/>
  <c r="A948" i="4"/>
  <c r="A949" i="4"/>
  <c r="A950" i="4"/>
  <c r="A951" i="4"/>
  <c r="A952" i="4"/>
  <c r="A953" i="4"/>
  <c r="A954" i="4"/>
  <c r="A955" i="4"/>
  <c r="A956" i="4"/>
  <c r="A957" i="4"/>
  <c r="A958" i="4"/>
  <c r="A959" i="4"/>
  <c r="A960" i="4"/>
  <c r="A961" i="4"/>
  <c r="A962" i="4"/>
  <c r="A963" i="4"/>
  <c r="A964" i="4"/>
  <c r="A965" i="4"/>
  <c r="A966" i="4"/>
  <c r="A967" i="4"/>
  <c r="A968" i="4"/>
  <c r="A969" i="4"/>
  <c r="A970" i="4"/>
  <c r="A971" i="4"/>
  <c r="A972" i="4"/>
  <c r="A973" i="4"/>
  <c r="A974" i="4"/>
  <c r="A975" i="4"/>
  <c r="A976" i="4"/>
  <c r="A977" i="4"/>
  <c r="A978" i="4"/>
  <c r="A979" i="4"/>
  <c r="A980" i="4"/>
  <c r="A981" i="4"/>
  <c r="A982" i="4"/>
  <c r="A983" i="4"/>
  <c r="A984" i="4"/>
  <c r="A985" i="4"/>
  <c r="A986" i="4"/>
  <c r="A987" i="4"/>
  <c r="A988" i="4"/>
  <c r="A989" i="4"/>
  <c r="A990" i="4"/>
  <c r="A991" i="4"/>
  <c r="A992" i="4"/>
  <c r="A993" i="4"/>
  <c r="A994" i="4"/>
  <c r="A995" i="4"/>
  <c r="A996" i="4"/>
  <c r="A997" i="4"/>
  <c r="A998" i="4"/>
  <c r="A999" i="4"/>
  <c r="A1000" i="4"/>
  <c r="A1001" i="4"/>
  <c r="A1002" i="4"/>
  <c r="A1003" i="4"/>
  <c r="A1004" i="4"/>
  <c r="A1005" i="4"/>
  <c r="A1006" i="4"/>
  <c r="A1007" i="4"/>
  <c r="A1008" i="4"/>
  <c r="A1009" i="4"/>
  <c r="A1010" i="4"/>
  <c r="A1011" i="4"/>
  <c r="A1012" i="4"/>
  <c r="A1013" i="4"/>
  <c r="A1014" i="4"/>
  <c r="A1015" i="4"/>
  <c r="A1016" i="4"/>
  <c r="A1017" i="4"/>
  <c r="A1018" i="4"/>
  <c r="A1019" i="4"/>
  <c r="A1020" i="4"/>
  <c r="A1021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191" i="4"/>
  <c r="A192" i="4"/>
  <c r="A193" i="4"/>
  <c r="A194" i="4"/>
  <c r="A195" i="4"/>
  <c r="A196" i="4"/>
  <c r="A197" i="4"/>
  <c r="A198" i="4"/>
  <c r="A199" i="4"/>
  <c r="A200" i="4"/>
  <c r="A201" i="4"/>
  <c r="A202" i="4"/>
  <c r="A203" i="4"/>
  <c r="A204" i="4"/>
  <c r="A205" i="4"/>
  <c r="A206" i="4"/>
  <c r="A207" i="4"/>
  <c r="A208" i="4"/>
  <c r="A209" i="4"/>
  <c r="A210" i="4"/>
  <c r="A211" i="4"/>
  <c r="A212" i="4"/>
  <c r="A213" i="4"/>
  <c r="A214" i="4"/>
  <c r="A215" i="4"/>
  <c r="A216" i="4"/>
  <c r="A217" i="4"/>
  <c r="A218" i="4"/>
  <c r="A219" i="4"/>
  <c r="A220" i="4"/>
  <c r="A221" i="4"/>
  <c r="A222" i="4"/>
  <c r="A223" i="4"/>
  <c r="A224" i="4"/>
  <c r="A225" i="4"/>
  <c r="A226" i="4"/>
  <c r="A227" i="4"/>
  <c r="A228" i="4"/>
  <c r="A229" i="4"/>
  <c r="A230" i="4"/>
  <c r="A231" i="4"/>
  <c r="A232" i="4"/>
  <c r="A233" i="4"/>
  <c r="A234" i="4"/>
  <c r="A235" i="4"/>
  <c r="A236" i="4"/>
  <c r="A237" i="4"/>
  <c r="A238" i="4"/>
  <c r="A239" i="4"/>
  <c r="A240" i="4"/>
  <c r="A241" i="4"/>
  <c r="A242" i="4"/>
  <c r="A243" i="4"/>
  <c r="A244" i="4"/>
  <c r="A245" i="4"/>
  <c r="A246" i="4"/>
  <c r="A247" i="4"/>
  <c r="A248" i="4"/>
  <c r="A249" i="4"/>
  <c r="A250" i="4"/>
  <c r="A251" i="4"/>
  <c r="A252" i="4"/>
  <c r="A253" i="4"/>
  <c r="A254" i="4"/>
  <c r="A255" i="4"/>
  <c r="A256" i="4"/>
  <c r="A257" i="4"/>
  <c r="A258" i="4"/>
  <c r="A259" i="4"/>
  <c r="A260" i="4"/>
  <c r="A261" i="4"/>
  <c r="A262" i="4"/>
  <c r="A263" i="4"/>
  <c r="A264" i="4"/>
  <c r="A265" i="4"/>
  <c r="A266" i="4"/>
  <c r="A267" i="4"/>
  <c r="A268" i="4"/>
  <c r="A269" i="4"/>
  <c r="A270" i="4"/>
  <c r="A271" i="4"/>
  <c r="A272" i="4"/>
  <c r="A273" i="4"/>
  <c r="A274" i="4"/>
  <c r="A275" i="4"/>
  <c r="A276" i="4"/>
  <c r="A277" i="4"/>
  <c r="A278" i="4"/>
  <c r="A279" i="4"/>
  <c r="A280" i="4"/>
  <c r="A281" i="4"/>
  <c r="A282" i="4"/>
  <c r="A283" i="4"/>
  <c r="A284" i="4"/>
  <c r="A285" i="4"/>
  <c r="A286" i="4"/>
  <c r="A287" i="4"/>
  <c r="A288" i="4"/>
  <c r="A289" i="4"/>
  <c r="A290" i="4"/>
  <c r="A291" i="4"/>
  <c r="A292" i="4"/>
  <c r="A293" i="4"/>
  <c r="A294" i="4"/>
  <c r="A3" i="4"/>
  <c r="A4" i="4"/>
  <c r="A5" i="4"/>
  <c r="A6" i="4"/>
  <c r="A2" i="4"/>
  <c r="F300" i="5" l="1"/>
  <c r="F909" i="5"/>
  <c r="F604" i="5"/>
  <c r="F301" i="5"/>
  <c r="F1020" i="5"/>
  <c r="F829" i="5"/>
  <c r="F171" i="5"/>
  <c r="F763" i="5"/>
  <c r="F205" i="5"/>
  <c r="F719" i="5"/>
  <c r="F558" i="5"/>
  <c r="F543" i="5"/>
  <c r="F79" i="5"/>
  <c r="F143" i="5"/>
  <c r="F529" i="5"/>
  <c r="F641" i="5"/>
  <c r="F673" i="5"/>
  <c r="F761" i="5"/>
  <c r="F158" i="5"/>
  <c r="F30" i="5"/>
  <c r="F94" i="5"/>
  <c r="F190" i="5"/>
  <c r="F254" i="5"/>
  <c r="F318" i="5"/>
  <c r="F382" i="5"/>
  <c r="F430" i="5"/>
  <c r="F478" i="5"/>
  <c r="F526" i="5"/>
  <c r="F606" i="5"/>
  <c r="F702" i="5"/>
  <c r="F766" i="5"/>
  <c r="F846" i="5"/>
  <c r="F910" i="5"/>
  <c r="F974" i="5"/>
  <c r="F47" i="5"/>
  <c r="F127" i="5"/>
  <c r="F191" i="5"/>
  <c r="F255" i="5"/>
  <c r="F319" i="5"/>
  <c r="F383" i="5"/>
  <c r="F447" i="5"/>
  <c r="F511" i="5"/>
  <c r="F575" i="5"/>
  <c r="F639" i="5"/>
  <c r="F703" i="5"/>
  <c r="F783" i="5"/>
  <c r="F847" i="5"/>
  <c r="F911" i="5"/>
  <c r="F959" i="5"/>
  <c r="F400" i="5"/>
  <c r="F62" i="5"/>
  <c r="F126" i="5"/>
  <c r="F222" i="5"/>
  <c r="F302" i="5"/>
  <c r="F366" i="5"/>
  <c r="F414" i="5"/>
  <c r="F462" i="5"/>
  <c r="F510" i="5"/>
  <c r="F622" i="5"/>
  <c r="F686" i="5"/>
  <c r="F734" i="5"/>
  <c r="F798" i="5"/>
  <c r="F862" i="5"/>
  <c r="F926" i="5"/>
  <c r="F990" i="5"/>
  <c r="F63" i="5"/>
  <c r="F111" i="5"/>
  <c r="F175" i="5"/>
  <c r="F239" i="5"/>
  <c r="F303" i="5"/>
  <c r="F367" i="5"/>
  <c r="F431" i="5"/>
  <c r="F495" i="5"/>
  <c r="F607" i="5"/>
  <c r="F687" i="5"/>
  <c r="F751" i="5"/>
  <c r="F815" i="5"/>
  <c r="F863" i="5"/>
  <c r="F927" i="5"/>
  <c r="F1007" i="5"/>
  <c r="F32" i="5"/>
  <c r="F592" i="5"/>
  <c r="F768" i="5"/>
  <c r="F17" i="5"/>
  <c r="F33" i="5"/>
  <c r="F49" i="5"/>
  <c r="F65" i="5"/>
  <c r="F81" i="5"/>
  <c r="F97" i="5"/>
  <c r="F129" i="5"/>
  <c r="F145" i="5"/>
  <c r="F177" i="5"/>
  <c r="F193" i="5"/>
  <c r="F337" i="5"/>
  <c r="F417" i="5"/>
  <c r="F481" i="5"/>
  <c r="F513" i="5"/>
  <c r="F593" i="5"/>
  <c r="F425" i="5"/>
  <c r="F489" i="5"/>
  <c r="F1017" i="5"/>
  <c r="F18" i="5"/>
  <c r="F34" i="5"/>
  <c r="F50" i="5"/>
  <c r="F66" i="5"/>
  <c r="F3" i="5"/>
  <c r="F19" i="5"/>
  <c r="F35" i="5"/>
  <c r="F51" i="5"/>
  <c r="F67" i="5"/>
  <c r="F83" i="5"/>
  <c r="F131" i="5"/>
  <c r="F147" i="5"/>
  <c r="F163" i="5"/>
  <c r="F179" i="5"/>
  <c r="F195" i="5"/>
  <c r="F211" i="5"/>
  <c r="F227" i="5"/>
  <c r="F243" i="5"/>
  <c r="F259" i="5"/>
  <c r="F275" i="5"/>
  <c r="F291" i="5"/>
  <c r="F307" i="5"/>
  <c r="F323" i="5"/>
  <c r="F339" i="5"/>
  <c r="F355" i="5"/>
  <c r="F371" i="5"/>
  <c r="F387" i="5"/>
  <c r="F403" i="5"/>
  <c r="F419" i="5"/>
  <c r="F435" i="5"/>
  <c r="F451" i="5"/>
  <c r="F467" i="5"/>
  <c r="F483" i="5"/>
  <c r="F499" i="5"/>
  <c r="F515" i="5"/>
  <c r="F531" i="5"/>
  <c r="F547" i="5"/>
  <c r="F563" i="5"/>
  <c r="F579" i="5"/>
  <c r="F595" i="5"/>
  <c r="F611" i="5"/>
  <c r="F627" i="5"/>
  <c r="F14" i="5"/>
  <c r="F78" i="5"/>
  <c r="F142" i="5"/>
  <c r="F206" i="5"/>
  <c r="F270" i="5"/>
  <c r="F334" i="5"/>
  <c r="F542" i="5"/>
  <c r="F590" i="5"/>
  <c r="F654" i="5"/>
  <c r="F718" i="5"/>
  <c r="F782" i="5"/>
  <c r="F830" i="5"/>
  <c r="F894" i="5"/>
  <c r="F958" i="5"/>
  <c r="F15" i="5"/>
  <c r="F207" i="5"/>
  <c r="F271" i="5"/>
  <c r="F335" i="5"/>
  <c r="F399" i="5"/>
  <c r="F463" i="5"/>
  <c r="F527" i="5"/>
  <c r="F591" i="5"/>
  <c r="F655" i="5"/>
  <c r="F767" i="5"/>
  <c r="F831" i="5"/>
  <c r="F895" i="5"/>
  <c r="F975" i="5"/>
  <c r="F576" i="5"/>
  <c r="F115" i="5"/>
  <c r="F161" i="5"/>
  <c r="F46" i="5"/>
  <c r="F110" i="5"/>
  <c r="F174" i="5"/>
  <c r="F238" i="5"/>
  <c r="F286" i="5"/>
  <c r="F350" i="5"/>
  <c r="F398" i="5"/>
  <c r="F446" i="5"/>
  <c r="F494" i="5"/>
  <c r="F574" i="5"/>
  <c r="F638" i="5"/>
  <c r="F670" i="5"/>
  <c r="F750" i="5"/>
  <c r="F814" i="5"/>
  <c r="F878" i="5"/>
  <c r="F942" i="5"/>
  <c r="F1006" i="5"/>
  <c r="F31" i="5"/>
  <c r="F95" i="5"/>
  <c r="F159" i="5"/>
  <c r="F223" i="5"/>
  <c r="F287" i="5"/>
  <c r="F351" i="5"/>
  <c r="F415" i="5"/>
  <c r="F479" i="5"/>
  <c r="F559" i="5"/>
  <c r="F623" i="5"/>
  <c r="F671" i="5"/>
  <c r="F735" i="5"/>
  <c r="F799" i="5"/>
  <c r="F879" i="5"/>
  <c r="F943" i="5"/>
  <c r="F991" i="5"/>
  <c r="F368" i="5"/>
  <c r="F113" i="5"/>
  <c r="F209" i="5"/>
  <c r="F225" i="5"/>
  <c r="F241" i="5"/>
  <c r="F257" i="5"/>
  <c r="F273" i="5"/>
  <c r="F369" i="5"/>
  <c r="F401" i="5"/>
  <c r="F449" i="5"/>
  <c r="F561" i="5"/>
  <c r="F409" i="5"/>
  <c r="F457" i="5"/>
  <c r="F905" i="5"/>
  <c r="F82" i="5"/>
  <c r="F98" i="5"/>
  <c r="F99" i="5"/>
  <c r="F521" i="5"/>
  <c r="F809" i="5"/>
  <c r="F825" i="5"/>
  <c r="F114" i="5"/>
  <c r="F130" i="5"/>
  <c r="F146" i="5"/>
  <c r="F162" i="5"/>
  <c r="F178" i="5"/>
  <c r="F194" i="5"/>
  <c r="F210" i="5"/>
  <c r="F226" i="5"/>
  <c r="F242" i="5"/>
  <c r="F258" i="5"/>
  <c r="F274" i="5"/>
  <c r="F290" i="5"/>
  <c r="F306" i="5"/>
  <c r="F322" i="5"/>
  <c r="F338" i="5"/>
  <c r="F354" i="5"/>
  <c r="F370" i="5"/>
  <c r="F386" i="5"/>
  <c r="F402" i="5"/>
  <c r="F418" i="5"/>
  <c r="F434" i="5"/>
  <c r="F450" i="5"/>
  <c r="F466" i="5"/>
  <c r="F482" i="5"/>
  <c r="F498" i="5"/>
  <c r="F514" i="5"/>
  <c r="F530" i="5"/>
  <c r="F546" i="5"/>
  <c r="F562" i="5"/>
  <c r="F578" i="5"/>
  <c r="F594" i="5"/>
  <c r="F610" i="5"/>
  <c r="F626" i="5"/>
  <c r="F642" i="5"/>
  <c r="F658" i="5"/>
  <c r="F674" i="5"/>
  <c r="F690" i="5"/>
  <c r="F706" i="5"/>
  <c r="F722" i="5"/>
  <c r="F738" i="5"/>
  <c r="F754" i="5"/>
  <c r="F770" i="5"/>
  <c r="F786" i="5"/>
  <c r="F802" i="5"/>
  <c r="F818" i="5"/>
  <c r="F834" i="5"/>
  <c r="F850" i="5"/>
  <c r="F866" i="5"/>
  <c r="F882" i="5"/>
  <c r="F898" i="5"/>
  <c r="F914" i="5"/>
  <c r="F930" i="5"/>
  <c r="F946" i="5"/>
  <c r="F962" i="5"/>
  <c r="F978" i="5"/>
  <c r="F994" i="5"/>
  <c r="F1010" i="5"/>
  <c r="F90" i="5"/>
  <c r="F410" i="5"/>
  <c r="F490" i="5"/>
  <c r="F945" i="5"/>
  <c r="F897" i="5"/>
  <c r="F881" i="5"/>
  <c r="F769" i="5"/>
  <c r="F705" i="5"/>
  <c r="F689" i="5"/>
  <c r="F643" i="5"/>
  <c r="F691" i="5"/>
  <c r="F755" i="5"/>
  <c r="F803" i="5"/>
  <c r="F883" i="5"/>
  <c r="F947" i="5"/>
  <c r="F1011" i="5"/>
  <c r="F11" i="5"/>
  <c r="F75" i="5"/>
  <c r="F139" i="5"/>
  <c r="F219" i="5"/>
  <c r="F267" i="5"/>
  <c r="F331" i="5"/>
  <c r="F379" i="5"/>
  <c r="F443" i="5"/>
  <c r="F507" i="5"/>
  <c r="F539" i="5"/>
  <c r="F603" i="5"/>
  <c r="F667" i="5"/>
  <c r="F715" i="5"/>
  <c r="F795" i="5"/>
  <c r="F843" i="5"/>
  <c r="F891" i="5"/>
  <c r="F955" i="5"/>
  <c r="F1019" i="5"/>
  <c r="F4" i="5"/>
  <c r="F68" i="5"/>
  <c r="F132" i="5"/>
  <c r="F212" i="5"/>
  <c r="F228" i="5"/>
  <c r="F308" i="5"/>
  <c r="F372" i="5"/>
  <c r="F436" i="5"/>
  <c r="F500" i="5"/>
  <c r="F564" i="5"/>
  <c r="F612" i="5"/>
  <c r="F660" i="5"/>
  <c r="F724" i="5"/>
  <c r="F900" i="5"/>
  <c r="F932" i="5"/>
  <c r="F980" i="5"/>
  <c r="F996" i="5"/>
  <c r="F1012" i="5"/>
  <c r="F8" i="5"/>
  <c r="F24" i="5"/>
  <c r="F40" i="5"/>
  <c r="F72" i="5"/>
  <c r="F88" i="5"/>
  <c r="F104" i="5"/>
  <c r="F120" i="5"/>
  <c r="F152" i="5"/>
  <c r="F184" i="5"/>
  <c r="F200" i="5"/>
  <c r="F216" i="5"/>
  <c r="F232" i="5"/>
  <c r="F248" i="5"/>
  <c r="F264" i="5"/>
  <c r="F280" i="5"/>
  <c r="F296" i="5"/>
  <c r="F312" i="5"/>
  <c r="F328" i="5"/>
  <c r="F344" i="5"/>
  <c r="F360" i="5"/>
  <c r="F376" i="5"/>
  <c r="F392" i="5"/>
  <c r="F408" i="5"/>
  <c r="F424" i="5"/>
  <c r="F440" i="5"/>
  <c r="F456" i="5"/>
  <c r="F472" i="5"/>
  <c r="F488" i="5"/>
  <c r="F504" i="5"/>
  <c r="F520" i="5"/>
  <c r="F536" i="5"/>
  <c r="F552" i="5"/>
  <c r="F568" i="5"/>
  <c r="F584" i="5"/>
  <c r="F600" i="5"/>
  <c r="F616" i="5"/>
  <c r="F632" i="5"/>
  <c r="F648" i="5"/>
  <c r="F664" i="5"/>
  <c r="F680" i="5"/>
  <c r="F707" i="5"/>
  <c r="F787" i="5"/>
  <c r="F851" i="5"/>
  <c r="F915" i="5"/>
  <c r="F979" i="5"/>
  <c r="F27" i="5"/>
  <c r="F91" i="5"/>
  <c r="F155" i="5"/>
  <c r="F235" i="5"/>
  <c r="F283" i="5"/>
  <c r="F347" i="5"/>
  <c r="F427" i="5"/>
  <c r="F491" i="5"/>
  <c r="F555" i="5"/>
  <c r="F619" i="5"/>
  <c r="F699" i="5"/>
  <c r="F779" i="5"/>
  <c r="F859" i="5"/>
  <c r="F923" i="5"/>
  <c r="F1003" i="5"/>
  <c r="F944" i="5"/>
  <c r="F36" i="5"/>
  <c r="F100" i="5"/>
  <c r="F164" i="5"/>
  <c r="F260" i="5"/>
  <c r="F324" i="5"/>
  <c r="F388" i="5"/>
  <c r="F452" i="5"/>
  <c r="F516" i="5"/>
  <c r="F580" i="5"/>
  <c r="F676" i="5"/>
  <c r="F756" i="5"/>
  <c r="F852" i="5"/>
  <c r="F56" i="5"/>
  <c r="F21" i="5"/>
  <c r="F53" i="5"/>
  <c r="F101" i="5"/>
  <c r="F133" i="5"/>
  <c r="F181" i="5"/>
  <c r="F229" i="5"/>
  <c r="F277" i="5"/>
  <c r="F309" i="5"/>
  <c r="F341" i="5"/>
  <c r="F949" i="5"/>
  <c r="F675" i="5"/>
  <c r="F739" i="5"/>
  <c r="F819" i="5"/>
  <c r="F899" i="5"/>
  <c r="F963" i="5"/>
  <c r="F43" i="5"/>
  <c r="F107" i="5"/>
  <c r="F203" i="5"/>
  <c r="F299" i="5"/>
  <c r="F395" i="5"/>
  <c r="F475" i="5"/>
  <c r="F571" i="5"/>
  <c r="F651" i="5"/>
  <c r="F731" i="5"/>
  <c r="F811" i="5"/>
  <c r="F907" i="5"/>
  <c r="F987" i="5"/>
  <c r="F848" i="5"/>
  <c r="F528" i="5"/>
  <c r="F208" i="5"/>
  <c r="F52" i="5"/>
  <c r="F116" i="5"/>
  <c r="F180" i="5"/>
  <c r="F276" i="5"/>
  <c r="F340" i="5"/>
  <c r="F404" i="5"/>
  <c r="F468" i="5"/>
  <c r="F548" i="5"/>
  <c r="F628" i="5"/>
  <c r="F692" i="5"/>
  <c r="F740" i="5"/>
  <c r="F788" i="5"/>
  <c r="F836" i="5"/>
  <c r="F884" i="5"/>
  <c r="F948" i="5"/>
  <c r="F136" i="5"/>
  <c r="F5" i="5"/>
  <c r="F69" i="5"/>
  <c r="F117" i="5"/>
  <c r="F165" i="5"/>
  <c r="F197" i="5"/>
  <c r="F245" i="5"/>
  <c r="F293" i="5"/>
  <c r="F405" i="5"/>
  <c r="F437" i="5"/>
  <c r="F469" i="5"/>
  <c r="F501" i="5"/>
  <c r="F533" i="5"/>
  <c r="F549" i="5"/>
  <c r="F581" i="5"/>
  <c r="F597" i="5"/>
  <c r="F629" i="5"/>
  <c r="F661" i="5"/>
  <c r="F677" i="5"/>
  <c r="F709" i="5"/>
  <c r="F741" i="5"/>
  <c r="F773" i="5"/>
  <c r="F805" i="5"/>
  <c r="F821" i="5"/>
  <c r="F837" i="5"/>
  <c r="F853" i="5"/>
  <c r="F869" i="5"/>
  <c r="F885" i="5"/>
  <c r="F901" i="5"/>
  <c r="F917" i="5"/>
  <c r="F933" i="5"/>
  <c r="F965" i="5"/>
  <c r="F981" i="5"/>
  <c r="F997" i="5"/>
  <c r="F1013" i="5"/>
  <c r="F9" i="5"/>
  <c r="F25" i="5"/>
  <c r="F57" i="5"/>
  <c r="F73" i="5"/>
  <c r="F89" i="5"/>
  <c r="F105" i="5"/>
  <c r="F121" i="5"/>
  <c r="F659" i="5"/>
  <c r="F723" i="5"/>
  <c r="F771" i="5"/>
  <c r="F835" i="5"/>
  <c r="F867" i="5"/>
  <c r="F931" i="5"/>
  <c r="F995" i="5"/>
  <c r="F59" i="5"/>
  <c r="F123" i="5"/>
  <c r="F187" i="5"/>
  <c r="F251" i="5"/>
  <c r="F315" i="5"/>
  <c r="F363" i="5"/>
  <c r="F411" i="5"/>
  <c r="F459" i="5"/>
  <c r="F523" i="5"/>
  <c r="F587" i="5"/>
  <c r="F635" i="5"/>
  <c r="F683" i="5"/>
  <c r="F747" i="5"/>
  <c r="F827" i="5"/>
  <c r="F875" i="5"/>
  <c r="F939" i="5"/>
  <c r="F971" i="5"/>
  <c r="F672" i="5"/>
  <c r="F20" i="5"/>
  <c r="F84" i="5"/>
  <c r="F148" i="5"/>
  <c r="F196" i="5"/>
  <c r="F244" i="5"/>
  <c r="F292" i="5"/>
  <c r="F356" i="5"/>
  <c r="F420" i="5"/>
  <c r="F484" i="5"/>
  <c r="F532" i="5"/>
  <c r="F596" i="5"/>
  <c r="F644" i="5"/>
  <c r="F708" i="5"/>
  <c r="F772" i="5"/>
  <c r="F804" i="5"/>
  <c r="F820" i="5"/>
  <c r="F868" i="5"/>
  <c r="F916" i="5"/>
  <c r="F964" i="5"/>
  <c r="F168" i="5"/>
  <c r="F37" i="5"/>
  <c r="F85" i="5"/>
  <c r="F149" i="5"/>
  <c r="F213" i="5"/>
  <c r="F261" i="5"/>
  <c r="F325" i="5"/>
  <c r="F357" i="5"/>
  <c r="F373" i="5"/>
  <c r="F389" i="5"/>
  <c r="F421" i="5"/>
  <c r="F453" i="5"/>
  <c r="F485" i="5"/>
  <c r="F517" i="5"/>
  <c r="F565" i="5"/>
  <c r="F613" i="5"/>
  <c r="F645" i="5"/>
  <c r="F693" i="5"/>
  <c r="F725" i="5"/>
  <c r="F757" i="5"/>
  <c r="F789" i="5"/>
  <c r="F41" i="5"/>
  <c r="F1001" i="5"/>
  <c r="F696" i="5"/>
  <c r="F712" i="5"/>
  <c r="F728" i="5"/>
  <c r="F744" i="5"/>
  <c r="F760" i="5"/>
  <c r="F776" i="5"/>
  <c r="F792" i="5"/>
  <c r="F808" i="5"/>
  <c r="F824" i="5"/>
  <c r="F840" i="5"/>
  <c r="F856" i="5"/>
  <c r="F872" i="5"/>
  <c r="F888" i="5"/>
  <c r="F904" i="5"/>
  <c r="F920" i="5"/>
  <c r="F936" i="5"/>
  <c r="F952" i="5"/>
  <c r="F968" i="5"/>
  <c r="F984" i="5"/>
  <c r="F1000" i="5"/>
  <c r="F1016" i="5"/>
  <c r="F12" i="5"/>
  <c r="F28" i="5"/>
  <c r="F44" i="5"/>
  <c r="F60" i="5"/>
  <c r="F76" i="5"/>
  <c r="F92" i="5"/>
  <c r="F108" i="5"/>
  <c r="F124" i="5"/>
  <c r="F140" i="5"/>
  <c r="F156" i="5"/>
  <c r="F172" i="5"/>
  <c r="F188" i="5"/>
  <c r="F204" i="5"/>
  <c r="F220" i="5"/>
  <c r="F236" i="5"/>
  <c r="F252" i="5"/>
  <c r="F268" i="5"/>
  <c r="F284" i="5"/>
  <c r="F316" i="5"/>
  <c r="F332" i="5"/>
  <c r="F348" i="5"/>
  <c r="F364" i="5"/>
  <c r="F380" i="5"/>
  <c r="F396" i="5"/>
  <c r="F412" i="5"/>
  <c r="F428" i="5"/>
  <c r="F444" i="5"/>
  <c r="F460" i="5"/>
  <c r="F476" i="5"/>
  <c r="F492" i="5"/>
  <c r="F508" i="5"/>
  <c r="F524" i="5"/>
  <c r="F540" i="5"/>
  <c r="F556" i="5"/>
  <c r="F572" i="5"/>
  <c r="F588" i="5"/>
  <c r="F620" i="5"/>
  <c r="F636" i="5"/>
  <c r="F652" i="5"/>
  <c r="F668" i="5"/>
  <c r="F684" i="5"/>
  <c r="F700" i="5"/>
  <c r="F716" i="5"/>
  <c r="F732" i="5"/>
  <c r="F748" i="5"/>
  <c r="F764" i="5"/>
  <c r="F780" i="5"/>
  <c r="F796" i="5"/>
  <c r="F812" i="5"/>
  <c r="F828" i="5"/>
  <c r="F844" i="5"/>
  <c r="F860" i="5"/>
  <c r="F876" i="5"/>
  <c r="F892" i="5"/>
  <c r="F908" i="5"/>
  <c r="F924" i="5"/>
  <c r="F940" i="5"/>
  <c r="F956" i="5"/>
  <c r="F972" i="5"/>
  <c r="F988" i="5"/>
  <c r="F1004" i="5"/>
  <c r="F137" i="5"/>
  <c r="F153" i="5"/>
  <c r="F169" i="5"/>
  <c r="F185" i="5"/>
  <c r="F201" i="5"/>
  <c r="F217" i="5"/>
  <c r="F233" i="5"/>
  <c r="F249" i="5"/>
  <c r="F265" i="5"/>
  <c r="F281" i="5"/>
  <c r="F297" i="5"/>
  <c r="F313" i="5"/>
  <c r="F329" i="5"/>
  <c r="F345" i="5"/>
  <c r="F361" i="5"/>
  <c r="F377" i="5"/>
  <c r="F393" i="5"/>
  <c r="F441" i="5"/>
  <c r="F473" i="5"/>
  <c r="F505" i="5"/>
  <c r="F537" i="5"/>
  <c r="F553" i="5"/>
  <c r="F569" i="5"/>
  <c r="F585" i="5"/>
  <c r="F601" i="5"/>
  <c r="F617" i="5"/>
  <c r="F633" i="5"/>
  <c r="F649" i="5"/>
  <c r="F665" i="5"/>
  <c r="F681" i="5"/>
  <c r="F697" i="5"/>
  <c r="F713" i="5"/>
  <c r="F729" i="5"/>
  <c r="F745" i="5"/>
  <c r="F777" i="5"/>
  <c r="F793" i="5"/>
  <c r="F841" i="5"/>
  <c r="F857" i="5"/>
  <c r="F873" i="5"/>
  <c r="F889" i="5"/>
  <c r="F921" i="5"/>
  <c r="F937" i="5"/>
  <c r="F953" i="5"/>
  <c r="F969" i="5"/>
  <c r="F985" i="5"/>
  <c r="F346" i="5"/>
  <c r="F458" i="5"/>
  <c r="F522" i="5"/>
  <c r="F650" i="5"/>
  <c r="F714" i="5"/>
  <c r="F794" i="5"/>
  <c r="F989" i="5"/>
  <c r="F973" i="5"/>
  <c r="F941" i="5"/>
  <c r="F877" i="5"/>
  <c r="F749" i="5"/>
  <c r="F701" i="5"/>
  <c r="F685" i="5"/>
  <c r="F605" i="5"/>
  <c r="F509" i="5"/>
  <c r="F493" i="5"/>
  <c r="F429" i="5"/>
  <c r="F333" i="5"/>
  <c r="F253" i="5"/>
  <c r="F125" i="5"/>
  <c r="F61" i="5"/>
  <c r="F6" i="5"/>
  <c r="F22" i="5"/>
  <c r="F54" i="5"/>
  <c r="F70" i="5"/>
  <c r="F86" i="5"/>
  <c r="F102" i="5"/>
  <c r="F118" i="5"/>
  <c r="F134" i="5"/>
  <c r="F150" i="5"/>
  <c r="F166" i="5"/>
  <c r="F198" i="5"/>
  <c r="F230" i="5"/>
  <c r="F246" i="5"/>
  <c r="F310" i="5"/>
  <c r="F342" i="5"/>
  <c r="F358" i="5"/>
  <c r="F390" i="5"/>
  <c r="F422" i="5"/>
  <c r="F454" i="5"/>
  <c r="F486" i="5"/>
  <c r="F518" i="5"/>
  <c r="F550" i="5"/>
  <c r="F582" i="5"/>
  <c r="F614" i="5"/>
  <c r="F646" i="5"/>
  <c r="F678" i="5"/>
  <c r="F710" i="5"/>
  <c r="F726" i="5"/>
  <c r="F774" i="5"/>
  <c r="F886" i="5"/>
  <c r="F918" i="5"/>
  <c r="F950" i="5"/>
  <c r="F966" i="5"/>
  <c r="F998" i="5"/>
  <c r="F10" i="5"/>
  <c r="F42" i="5"/>
  <c r="F74" i="5"/>
  <c r="F122" i="5"/>
  <c r="F154" i="5"/>
  <c r="F186" i="5"/>
  <c r="F218" i="5"/>
  <c r="F250" i="5"/>
  <c r="F298" i="5"/>
  <c r="F330" i="5"/>
  <c r="F362" i="5"/>
  <c r="F394" i="5"/>
  <c r="F426" i="5"/>
  <c r="F474" i="5"/>
  <c r="F554" i="5"/>
  <c r="F586" i="5"/>
  <c r="F618" i="5"/>
  <c r="F682" i="5"/>
  <c r="F746" i="5"/>
  <c r="F762" i="5"/>
  <c r="F970" i="5"/>
  <c r="J5" i="5"/>
  <c r="F16" i="5"/>
  <c r="F48" i="5"/>
  <c r="F64" i="5"/>
  <c r="F80" i="5"/>
  <c r="F96" i="5"/>
  <c r="F112" i="5"/>
  <c r="F128" i="5"/>
  <c r="F144" i="5"/>
  <c r="F160" i="5"/>
  <c r="F176" i="5"/>
  <c r="F192" i="5"/>
  <c r="F240" i="5"/>
  <c r="F336" i="5"/>
  <c r="F416" i="5"/>
  <c r="F448" i="5"/>
  <c r="F480" i="5"/>
  <c r="F560" i="5"/>
  <c r="F656" i="5"/>
  <c r="F784" i="5"/>
  <c r="F832" i="5"/>
  <c r="F960" i="5"/>
  <c r="J4" i="5"/>
  <c r="F2" i="5"/>
  <c r="F785" i="5"/>
  <c r="F961" i="5"/>
  <c r="F77" i="5"/>
  <c r="F157" i="5"/>
  <c r="F173" i="5"/>
  <c r="F285" i="5"/>
  <c r="F445" i="5"/>
  <c r="F621" i="5"/>
  <c r="F717" i="5"/>
  <c r="F797" i="5"/>
  <c r="F861" i="5"/>
  <c r="F1021" i="5"/>
  <c r="F38" i="5"/>
  <c r="F182" i="5"/>
  <c r="F214" i="5"/>
  <c r="F262" i="5"/>
  <c r="F278" i="5"/>
  <c r="F294" i="5"/>
  <c r="F326" i="5"/>
  <c r="F374" i="5"/>
  <c r="F406" i="5"/>
  <c r="F438" i="5"/>
  <c r="F470" i="5"/>
  <c r="F502" i="5"/>
  <c r="F534" i="5"/>
  <c r="F566" i="5"/>
  <c r="F598" i="5"/>
  <c r="F630" i="5"/>
  <c r="F662" i="5"/>
  <c r="F694" i="5"/>
  <c r="F742" i="5"/>
  <c r="F758" i="5"/>
  <c r="F790" i="5"/>
  <c r="F806" i="5"/>
  <c r="F822" i="5"/>
  <c r="F838" i="5"/>
  <c r="F854" i="5"/>
  <c r="F870" i="5"/>
  <c r="F902" i="5"/>
  <c r="F934" i="5"/>
  <c r="F982" i="5"/>
  <c r="F1014" i="5"/>
  <c r="F26" i="5"/>
  <c r="F58" i="5"/>
  <c r="F106" i="5"/>
  <c r="F138" i="5"/>
  <c r="F170" i="5"/>
  <c r="F202" i="5"/>
  <c r="F234" i="5"/>
  <c r="F266" i="5"/>
  <c r="F282" i="5"/>
  <c r="F314" i="5"/>
  <c r="F378" i="5"/>
  <c r="F442" i="5"/>
  <c r="F506" i="5"/>
  <c r="F538" i="5"/>
  <c r="F570" i="5"/>
  <c r="F602" i="5"/>
  <c r="F634" i="5"/>
  <c r="F666" i="5"/>
  <c r="F698" i="5"/>
  <c r="F730" i="5"/>
  <c r="F778" i="5"/>
  <c r="F810" i="5"/>
  <c r="F826" i="5"/>
  <c r="F842" i="5"/>
  <c r="F858" i="5"/>
  <c r="F874" i="5"/>
  <c r="F890" i="5"/>
  <c r="F906" i="5"/>
  <c r="F922" i="5"/>
  <c r="F938" i="5"/>
  <c r="F954" i="5"/>
  <c r="F986" i="5"/>
  <c r="F1002" i="5"/>
  <c r="F1018" i="5"/>
  <c r="F13" i="5"/>
  <c r="F29" i="5"/>
  <c r="F45" i="5"/>
  <c r="F93" i="5"/>
  <c r="F109" i="5"/>
  <c r="F141" i="5"/>
  <c r="F189" i="5"/>
  <c r="F221" i="5"/>
  <c r="F237" i="5"/>
  <c r="F269" i="5"/>
  <c r="F317" i="5"/>
  <c r="F349" i="5"/>
  <c r="F365" i="5"/>
  <c r="F381" i="5"/>
  <c r="F397" i="5"/>
  <c r="F413" i="5"/>
  <c r="F461" i="5"/>
  <c r="F477" i="5"/>
  <c r="F525" i="5"/>
  <c r="F541" i="5"/>
  <c r="F557" i="5"/>
  <c r="F573" i="5"/>
  <c r="F589" i="5"/>
  <c r="F637" i="5"/>
  <c r="F653" i="5"/>
  <c r="F669" i="5"/>
  <c r="F733" i="5"/>
  <c r="F765" i="5"/>
  <c r="F781" i="5"/>
  <c r="F813" i="5"/>
  <c r="F845" i="5"/>
  <c r="F893" i="5"/>
  <c r="F925" i="5"/>
  <c r="F957" i="5"/>
  <c r="F1005" i="5"/>
  <c r="F7" i="5"/>
  <c r="F23" i="5"/>
  <c r="F39" i="5"/>
  <c r="F55" i="5"/>
  <c r="F71" i="5"/>
  <c r="F87" i="5"/>
  <c r="F103" i="5"/>
  <c r="F224" i="5"/>
  <c r="F256" i="5"/>
  <c r="F272" i="5"/>
  <c r="F288" i="5"/>
  <c r="F304" i="5"/>
  <c r="F320" i="5"/>
  <c r="F352" i="5"/>
  <c r="F384" i="5"/>
  <c r="F432" i="5"/>
  <c r="F464" i="5"/>
  <c r="F496" i="5"/>
  <c r="F512" i="5"/>
  <c r="F544" i="5"/>
  <c r="F608" i="5"/>
  <c r="F624" i="5"/>
  <c r="F640" i="5"/>
  <c r="F688" i="5"/>
  <c r="F704" i="5"/>
  <c r="F720" i="5"/>
  <c r="F736" i="5"/>
  <c r="F752" i="5"/>
  <c r="F800" i="5"/>
  <c r="F816" i="5"/>
  <c r="F864" i="5"/>
  <c r="F880" i="5"/>
  <c r="F896" i="5"/>
  <c r="F912" i="5"/>
  <c r="F928" i="5"/>
  <c r="F976" i="5"/>
  <c r="F992" i="5"/>
  <c r="F1008" i="5"/>
  <c r="J7" i="5"/>
  <c r="F289" i="5"/>
  <c r="F305" i="5"/>
  <c r="F321" i="5"/>
  <c r="F353" i="5"/>
  <c r="F385" i="5"/>
  <c r="F433" i="5"/>
  <c r="F465" i="5"/>
  <c r="F497" i="5"/>
  <c r="F545" i="5"/>
  <c r="F577" i="5"/>
  <c r="F609" i="5"/>
  <c r="F625" i="5"/>
  <c r="F657" i="5"/>
  <c r="F721" i="5"/>
  <c r="F737" i="5"/>
  <c r="F753" i="5"/>
  <c r="F801" i="5"/>
  <c r="F817" i="5"/>
  <c r="F833" i="5"/>
  <c r="F849" i="5"/>
  <c r="F865" i="5"/>
  <c r="F913" i="5"/>
  <c r="F929" i="5"/>
  <c r="F977" i="5"/>
  <c r="F993" i="5"/>
  <c r="F1009" i="5"/>
  <c r="F119" i="5"/>
  <c r="F135" i="5"/>
  <c r="F151" i="5"/>
  <c r="F167" i="5"/>
  <c r="F183" i="5"/>
  <c r="F199" i="5"/>
  <c r="F215" i="5"/>
  <c r="F231" i="5"/>
  <c r="F247" i="5"/>
  <c r="F263" i="5"/>
  <c r="F279" i="5"/>
  <c r="F295" i="5"/>
  <c r="F311" i="5"/>
  <c r="F327" i="5"/>
  <c r="F343" i="5"/>
  <c r="F359" i="5"/>
  <c r="F375" i="5"/>
  <c r="F391" i="5"/>
  <c r="F407" i="5"/>
  <c r="F423" i="5"/>
  <c r="F439" i="5"/>
  <c r="F455" i="5"/>
  <c r="F471" i="5"/>
  <c r="F487" i="5"/>
  <c r="F503" i="5"/>
  <c r="F519" i="5"/>
  <c r="F535" i="5"/>
  <c r="F551" i="5"/>
  <c r="F567" i="5"/>
  <c r="F583" i="5"/>
  <c r="F599" i="5"/>
  <c r="F615" i="5"/>
  <c r="F631" i="5"/>
  <c r="F647" i="5"/>
  <c r="F663" i="5"/>
  <c r="F679" i="5"/>
  <c r="F695" i="5"/>
  <c r="F711" i="5"/>
  <c r="F727" i="5"/>
  <c r="F743" i="5"/>
  <c r="F759" i="5"/>
  <c r="F775" i="5"/>
  <c r="F791" i="5"/>
  <c r="F807" i="5"/>
  <c r="F823" i="5"/>
  <c r="F839" i="5"/>
  <c r="F855" i="5"/>
  <c r="F871" i="5"/>
  <c r="F887" i="5"/>
  <c r="F903" i="5"/>
  <c r="F919" i="5"/>
  <c r="F935" i="5"/>
  <c r="F951" i="5"/>
  <c r="F967" i="5"/>
  <c r="F983" i="5"/>
  <c r="F999" i="5"/>
  <c r="F1015" i="5"/>
  <c r="J6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C83932E-CC2C-4040-80FD-C13D56809314}" keepAlive="1" name="Query - Messy_Employee_dataset" description="Connection to the 'Messy_Employee_dataset' query in the workbook." type="5" refreshedVersion="8" background="1" saveData="1">
    <dbPr connection="Provider=Microsoft.Mashup.OleDb.1;Data Source=$Workbook$;Location=Messy_Employee_dataset;Extended Properties=&quot;&quot;" command="SELECT * FROM [Messy_Employee_dataset]"/>
  </connection>
  <connection id="2" xr16:uid="{1A371E0B-A0B1-4C7C-84FC-45D96CF150B3}" keepAlive="1" name="Query - Messy_Employee_dataset (2)" description="Connection to the 'Messy_Employee_dataset (2)' query in the workbook." type="5" refreshedVersion="8" background="1" saveData="1">
    <dbPr connection="Provider=Microsoft.Mashup.OleDb.1;Data Source=$Workbook$;Location=&quot;Messy_Employee_dataset (2)&quot;;Extended Properties=&quot;&quot;" command="SELECT * FROM [Messy_Employee_dataset (2)]"/>
  </connection>
</connections>
</file>

<file path=xl/sharedStrings.xml><?xml version="1.0" encoding="utf-8"?>
<sst xmlns="http://schemas.openxmlformats.org/spreadsheetml/2006/main" count="8310" uniqueCount="2210">
  <si>
    <t>Employee_ID</t>
  </si>
  <si>
    <t>First_Name</t>
  </si>
  <si>
    <t>Last_Name</t>
  </si>
  <si>
    <t>Age</t>
  </si>
  <si>
    <t>Department_Region</t>
  </si>
  <si>
    <t>Status</t>
  </si>
  <si>
    <t>Join_Date</t>
  </si>
  <si>
    <t>Salary</t>
  </si>
  <si>
    <t>Email</t>
  </si>
  <si>
    <t>Phone</t>
  </si>
  <si>
    <t>Performance_Score</t>
  </si>
  <si>
    <t>Remote_Work</t>
  </si>
  <si>
    <t>EMP1000</t>
  </si>
  <si>
    <t>Bob</t>
  </si>
  <si>
    <t>Davis</t>
  </si>
  <si>
    <t>DevOps-California</t>
  </si>
  <si>
    <t>Active</t>
  </si>
  <si>
    <t>59767.65</t>
  </si>
  <si>
    <t>bob.davis@example.com</t>
  </si>
  <si>
    <t>Average</t>
  </si>
  <si>
    <t>EMP1001</t>
  </si>
  <si>
    <t>Brown</t>
  </si>
  <si>
    <t>Finance-Texas</t>
  </si>
  <si>
    <t>65304.66</t>
  </si>
  <si>
    <t>bob.brown@example.com</t>
  </si>
  <si>
    <t>Excellent</t>
  </si>
  <si>
    <t>EMP1002</t>
  </si>
  <si>
    <t>Alice</t>
  </si>
  <si>
    <t>Jones</t>
  </si>
  <si>
    <t>Admin-Nevada</t>
  </si>
  <si>
    <t>Pending</t>
  </si>
  <si>
    <t>88145.9</t>
  </si>
  <si>
    <t>alice.jones@example.com</t>
  </si>
  <si>
    <t>Good</t>
  </si>
  <si>
    <t>EMP1003</t>
  </si>
  <si>
    <t>Eva</t>
  </si>
  <si>
    <t>Inactive</t>
  </si>
  <si>
    <t>69450.99</t>
  </si>
  <si>
    <t>eva.davis@example.com</t>
  </si>
  <si>
    <t>EMP1004</t>
  </si>
  <si>
    <t>Frank</t>
  </si>
  <si>
    <t>Williams</t>
  </si>
  <si>
    <t>Cloud Tech-Florida</t>
  </si>
  <si>
    <t>109324.61</t>
  </si>
  <si>
    <t>frank.williams@example.com</t>
  </si>
  <si>
    <t>Poor</t>
  </si>
  <si>
    <t>EMP1005</t>
  </si>
  <si>
    <t>Garcia</t>
  </si>
  <si>
    <t>Sales-Texas</t>
  </si>
  <si>
    <t>88642.84</t>
  </si>
  <si>
    <t>alice.garcia@example.com</t>
  </si>
  <si>
    <t>EMP1006</t>
  </si>
  <si>
    <t>96288.43</t>
  </si>
  <si>
    <t>frank.jones@example.com</t>
  </si>
  <si>
    <t>EMP1007</t>
  </si>
  <si>
    <t>94497.91</t>
  </si>
  <si>
    <t>bob.jones@example.com</t>
  </si>
  <si>
    <t>EMP1008</t>
  </si>
  <si>
    <t>115565.82</t>
  </si>
  <si>
    <t>frank.davis@example.com</t>
  </si>
  <si>
    <t>EMP1009</t>
  </si>
  <si>
    <t>Charlie</t>
  </si>
  <si>
    <t>Johnson</t>
  </si>
  <si>
    <t>DevOps-New York</t>
  </si>
  <si>
    <t>76561.88</t>
  </si>
  <si>
    <t>charlie.johnson@example.com</t>
  </si>
  <si>
    <t>EMP1010</t>
  </si>
  <si>
    <t>David</t>
  </si>
  <si>
    <t>Cloud Tech-New York</t>
  </si>
  <si>
    <t>72081.71</t>
  </si>
  <si>
    <t>david.williams@example.com</t>
  </si>
  <si>
    <t>EMP1011</t>
  </si>
  <si>
    <t>84946.19</t>
  </si>
  <si>
    <t>david.davis@example.com</t>
  </si>
  <si>
    <t>EMP1012</t>
  </si>
  <si>
    <t>Heidi</t>
  </si>
  <si>
    <t>HR-New York</t>
  </si>
  <si>
    <t>89295.77</t>
  </si>
  <si>
    <t>heidi.williams@example.com</t>
  </si>
  <si>
    <t>EMP1013</t>
  </si>
  <si>
    <t>Grace</t>
  </si>
  <si>
    <t>Finance-California</t>
  </si>
  <si>
    <t>85666.84</t>
  </si>
  <si>
    <t>grace.williams@example.com</t>
  </si>
  <si>
    <t>EMP1014</t>
  </si>
  <si>
    <t>97633.68</t>
  </si>
  <si>
    <t>EMP1015</t>
  </si>
  <si>
    <t>Sales-Florida</t>
  </si>
  <si>
    <t>117975.49</t>
  </si>
  <si>
    <t>grace.jones@example.com</t>
  </si>
  <si>
    <t>EMP1016</t>
  </si>
  <si>
    <t>DevOps-Illinois</t>
  </si>
  <si>
    <t>94867.33</t>
  </si>
  <si>
    <t>alice.brown@example.com</t>
  </si>
  <si>
    <t>EMP1017</t>
  </si>
  <si>
    <t>100377.65</t>
  </si>
  <si>
    <t>grace.garcia@example.com</t>
  </si>
  <si>
    <t>EMP1018</t>
  </si>
  <si>
    <t>Cloud Tech-Nevada</t>
  </si>
  <si>
    <t>94726.46</t>
  </si>
  <si>
    <t>charlie.garcia@example.com</t>
  </si>
  <si>
    <t>EMP1019</t>
  </si>
  <si>
    <t>Admin-Illinois</t>
  </si>
  <si>
    <t>91926.12</t>
  </si>
  <si>
    <t>charlie.williams@example.com</t>
  </si>
  <si>
    <t>EMP1020</t>
  </si>
  <si>
    <t>Miller</t>
  </si>
  <si>
    <t>111460.67</t>
  </si>
  <si>
    <t>bob.miller@example.com</t>
  </si>
  <si>
    <t>EMP1021</t>
  </si>
  <si>
    <t>Cloud Tech-Illinois</t>
  </si>
  <si>
    <t>96182.56</t>
  </si>
  <si>
    <t>EMP1022</t>
  </si>
  <si>
    <t>Sales-Illinois</t>
  </si>
  <si>
    <t>115023.94</t>
  </si>
  <si>
    <t>EMP1023</t>
  </si>
  <si>
    <t>Finance-Nevada</t>
  </si>
  <si>
    <t>80667.01</t>
  </si>
  <si>
    <t>david.garcia@example.com</t>
  </si>
  <si>
    <t>EMP1024</t>
  </si>
  <si>
    <t>Admin-Texas</t>
  </si>
  <si>
    <t>91181.61</t>
  </si>
  <si>
    <t>EMP1025</t>
  </si>
  <si>
    <t>66025.92</t>
  </si>
  <si>
    <t>david.miller@example.com</t>
  </si>
  <si>
    <t>EMP1026</t>
  </si>
  <si>
    <t>Sales-New York</t>
  </si>
  <si>
    <t>83979.01</t>
  </si>
  <si>
    <t>frank.miller@example.com</t>
  </si>
  <si>
    <t>EMP1027</t>
  </si>
  <si>
    <t>Finance-Florida</t>
  </si>
  <si>
    <t>56785.16</t>
  </si>
  <si>
    <t>heidi.johnson@example.com</t>
  </si>
  <si>
    <t>EMP1028</t>
  </si>
  <si>
    <t>95741.88</t>
  </si>
  <si>
    <t>EMP1029</t>
  </si>
  <si>
    <t>63411.31</t>
  </si>
  <si>
    <t>EMP1030</t>
  </si>
  <si>
    <t>Admin-California</t>
  </si>
  <si>
    <t>111214.02</t>
  </si>
  <si>
    <t>charlie.jones@example.com</t>
  </si>
  <si>
    <t>EMP1031</t>
  </si>
  <si>
    <t>Smith</t>
  </si>
  <si>
    <t>114845.69</t>
  </si>
  <si>
    <t>bob.smith@example.com</t>
  </si>
  <si>
    <t>EMP1032</t>
  </si>
  <si>
    <t>78072.82</t>
  </si>
  <si>
    <t>charlie.brown@example.com</t>
  </si>
  <si>
    <t>EMP1033</t>
  </si>
  <si>
    <t>79610.52</t>
  </si>
  <si>
    <t>grace.johnson@example.com</t>
  </si>
  <si>
    <t>EMP1034</t>
  </si>
  <si>
    <t>90542.62</t>
  </si>
  <si>
    <t>heidi.miller@example.com</t>
  </si>
  <si>
    <t>EMP1035</t>
  </si>
  <si>
    <t>114357.1</t>
  </si>
  <si>
    <t>EMP1036</t>
  </si>
  <si>
    <t>54757.26</t>
  </si>
  <si>
    <t>EMP1037</t>
  </si>
  <si>
    <t>52781.92</t>
  </si>
  <si>
    <t>grace.smith@example.com</t>
  </si>
  <si>
    <t>EMP1038</t>
  </si>
  <si>
    <t>66708.02</t>
  </si>
  <si>
    <t>frank.smith@example.com</t>
  </si>
  <si>
    <t>EMP1039</t>
  </si>
  <si>
    <t>HR-Texas</t>
  </si>
  <si>
    <t>93481.15</t>
  </si>
  <si>
    <t>eva.williams@example.com</t>
  </si>
  <si>
    <t>EMP1040</t>
  </si>
  <si>
    <t>59271.96</t>
  </si>
  <si>
    <t>bob.williams@example.com</t>
  </si>
  <si>
    <t>EMP1041</t>
  </si>
  <si>
    <t>HR-California</t>
  </si>
  <si>
    <t>108362.15</t>
  </si>
  <si>
    <t>EMP1042</t>
  </si>
  <si>
    <t>HR-Nevada</t>
  </si>
  <si>
    <t>59400.38</t>
  </si>
  <si>
    <t>alice.johnson@example.com</t>
  </si>
  <si>
    <t>EMP1043</t>
  </si>
  <si>
    <t>64744.08</t>
  </si>
  <si>
    <t>bob.garcia@example.com</t>
  </si>
  <si>
    <t>EMP1044</t>
  </si>
  <si>
    <t>94399.91</t>
  </si>
  <si>
    <t>eva.brown@example.com</t>
  </si>
  <si>
    <t>EMP1045</t>
  </si>
  <si>
    <t>61310.74</t>
  </si>
  <si>
    <t>EMP1046</t>
  </si>
  <si>
    <t>Cloud Tech-Texas</t>
  </si>
  <si>
    <t>98371.37</t>
  </si>
  <si>
    <t>EMP1047</t>
  </si>
  <si>
    <t>58921.19</t>
  </si>
  <si>
    <t>alice.davis@example.com</t>
  </si>
  <si>
    <t>EMP1048</t>
  </si>
  <si>
    <t>57195.55</t>
  </si>
  <si>
    <t>alice.miller@example.com</t>
  </si>
  <si>
    <t>EMP1049</t>
  </si>
  <si>
    <t>61375.12</t>
  </si>
  <si>
    <t>grace.miller@example.com</t>
  </si>
  <si>
    <t>EMP1050</t>
  </si>
  <si>
    <t>104767.05</t>
  </si>
  <si>
    <t>charlie.davis@example.com</t>
  </si>
  <si>
    <t>EMP1051</t>
  </si>
  <si>
    <t>111051.67</t>
  </si>
  <si>
    <t>EMP1052</t>
  </si>
  <si>
    <t>105674.18</t>
  </si>
  <si>
    <t>EMP1053</t>
  </si>
  <si>
    <t>54859.45</t>
  </si>
  <si>
    <t>EMP1054</t>
  </si>
  <si>
    <t>115746.6</t>
  </si>
  <si>
    <t>EMP1055</t>
  </si>
  <si>
    <t>Sales-California</t>
  </si>
  <si>
    <t>91759.99</t>
  </si>
  <si>
    <t>EMP1056</t>
  </si>
  <si>
    <t>112965.33</t>
  </si>
  <si>
    <t>frank.garcia@example.com</t>
  </si>
  <si>
    <t>EMP1057</t>
  </si>
  <si>
    <t>100360.1</t>
  </si>
  <si>
    <t>alice.smith@example.com</t>
  </si>
  <si>
    <t>EMP1058</t>
  </si>
  <si>
    <t>93620.88</t>
  </si>
  <si>
    <t>EMP1059</t>
  </si>
  <si>
    <t>72832.8</t>
  </si>
  <si>
    <t>EMP1060</t>
  </si>
  <si>
    <t>102369.42</t>
  </si>
  <si>
    <t>EMP1061</t>
  </si>
  <si>
    <t>64712.79</t>
  </si>
  <si>
    <t>EMP1062</t>
  </si>
  <si>
    <t>85782.18</t>
  </si>
  <si>
    <t>EMP1063</t>
  </si>
  <si>
    <t>HR-Illinois</t>
  </si>
  <si>
    <t>93348.26</t>
  </si>
  <si>
    <t>charlie.smith@example.com</t>
  </si>
  <si>
    <t>EMP1064</t>
  </si>
  <si>
    <t>Admin-New York</t>
  </si>
  <si>
    <t>53234.96</t>
  </si>
  <si>
    <t>EMP1065</t>
  </si>
  <si>
    <t>100284.21</t>
  </si>
  <si>
    <t>bob.johnson@example.com</t>
  </si>
  <si>
    <t>EMP1066</t>
  </si>
  <si>
    <t>112486.19</t>
  </si>
  <si>
    <t>grace.brown@example.com</t>
  </si>
  <si>
    <t>EMP1067</t>
  </si>
  <si>
    <t>82518.49</t>
  </si>
  <si>
    <t>EMP1068</t>
  </si>
  <si>
    <t>Admin-Florida</t>
  </si>
  <si>
    <t>119152.47</t>
  </si>
  <si>
    <t>EMP1069</t>
  </si>
  <si>
    <t>113479.83</t>
  </si>
  <si>
    <t>EMP1070</t>
  </si>
  <si>
    <t>94636.3</t>
  </si>
  <si>
    <t>EMP1071</t>
  </si>
  <si>
    <t>HR-Florida</t>
  </si>
  <si>
    <t>70000.97</t>
  </si>
  <si>
    <t>EMP1072</t>
  </si>
  <si>
    <t>76812.47</t>
  </si>
  <si>
    <t>EMP1073</t>
  </si>
  <si>
    <t>82614.7</t>
  </si>
  <si>
    <t>david.johnson@example.com</t>
  </si>
  <si>
    <t>EMP1074</t>
  </si>
  <si>
    <t>Sales-Nevada</t>
  </si>
  <si>
    <t>111645.97</t>
  </si>
  <si>
    <t>EMP1075</t>
  </si>
  <si>
    <t>112414.91</t>
  </si>
  <si>
    <t>EMP1076</t>
  </si>
  <si>
    <t>52031.74</t>
  </si>
  <si>
    <t>david.brown@example.com</t>
  </si>
  <si>
    <t>EMP1077</t>
  </si>
  <si>
    <t>Finance-New York</t>
  </si>
  <si>
    <t>51887.65</t>
  </si>
  <si>
    <t>EMP1078</t>
  </si>
  <si>
    <t>DevOps-Florida</t>
  </si>
  <si>
    <t>82318.89</t>
  </si>
  <si>
    <t>EMP1079</t>
  </si>
  <si>
    <t>103286.08</t>
  </si>
  <si>
    <t>EMP1080</t>
  </si>
  <si>
    <t>87759.33</t>
  </si>
  <si>
    <t>grace.davis@example.com</t>
  </si>
  <si>
    <t>EMP1081</t>
  </si>
  <si>
    <t>DevOps-Texas</t>
  </si>
  <si>
    <t>102796.32</t>
  </si>
  <si>
    <t>frank.brown@example.com</t>
  </si>
  <si>
    <t>EMP1082</t>
  </si>
  <si>
    <t>83149.27</t>
  </si>
  <si>
    <t>david.jones@example.com</t>
  </si>
  <si>
    <t>EMP1083</t>
  </si>
  <si>
    <t>92412.49</t>
  </si>
  <si>
    <t>EMP1084</t>
  </si>
  <si>
    <t>115022.1</t>
  </si>
  <si>
    <t>EMP1085</t>
  </si>
  <si>
    <t>98343.01</t>
  </si>
  <si>
    <t>EMP1086</t>
  </si>
  <si>
    <t>118869.1</t>
  </si>
  <si>
    <t>EMP1087</t>
  </si>
  <si>
    <t>85417.26</t>
  </si>
  <si>
    <t>EMP1088</t>
  </si>
  <si>
    <t>112410.25</t>
  </si>
  <si>
    <t>EMP1089</t>
  </si>
  <si>
    <t>68905.77</t>
  </si>
  <si>
    <t>EMP1090</t>
  </si>
  <si>
    <t>72561.32</t>
  </si>
  <si>
    <t>heidi.garcia@example.com</t>
  </si>
  <si>
    <t>EMP1091</t>
  </si>
  <si>
    <t>92723.22</t>
  </si>
  <si>
    <t>EMP1092</t>
  </si>
  <si>
    <t>74837.75</t>
  </si>
  <si>
    <t>EMP1093</t>
  </si>
  <si>
    <t>86163.91</t>
  </si>
  <si>
    <t>eva.miller@example.com</t>
  </si>
  <si>
    <t>EMP1094</t>
  </si>
  <si>
    <t>Finance-Illinois</t>
  </si>
  <si>
    <t>83326.52</t>
  </si>
  <si>
    <t>EMP1095</t>
  </si>
  <si>
    <t>Cloud Tech-California</t>
  </si>
  <si>
    <t>98425.1</t>
  </si>
  <si>
    <t>EMP1096</t>
  </si>
  <si>
    <t>119764.2</t>
  </si>
  <si>
    <t>frank.johnson@example.com</t>
  </si>
  <si>
    <t>EMP1097</t>
  </si>
  <si>
    <t>58445.91</t>
  </si>
  <si>
    <t>EMP1098</t>
  </si>
  <si>
    <t>101702.33</t>
  </si>
  <si>
    <t>EMP1099</t>
  </si>
  <si>
    <t>N/A</t>
  </si>
  <si>
    <t>eva.jones@example.com</t>
  </si>
  <si>
    <t>EMP1100</t>
  </si>
  <si>
    <t>98819.22</t>
  </si>
  <si>
    <t>EMP1101</t>
  </si>
  <si>
    <t>83509.99</t>
  </si>
  <si>
    <t>EMP1102</t>
  </si>
  <si>
    <t>84422.26</t>
  </si>
  <si>
    <t>EMP1103</t>
  </si>
  <si>
    <t>119574.27</t>
  </si>
  <si>
    <t>EMP1104</t>
  </si>
  <si>
    <t>86580.08</t>
  </si>
  <si>
    <t>EMP1105</t>
  </si>
  <si>
    <t>93471.91</t>
  </si>
  <si>
    <t>EMP1106</t>
  </si>
  <si>
    <t>55683.12</t>
  </si>
  <si>
    <t>EMP1107</t>
  </si>
  <si>
    <t>91566.78</t>
  </si>
  <si>
    <t>EMP1108</t>
  </si>
  <si>
    <t>81782.19</t>
  </si>
  <si>
    <t>EMP1109</t>
  </si>
  <si>
    <t>88119.37</t>
  </si>
  <si>
    <t>EMP1110</t>
  </si>
  <si>
    <t>71532.83</t>
  </si>
  <si>
    <t>eva.garcia@example.com</t>
  </si>
  <si>
    <t>EMP1111</t>
  </si>
  <si>
    <t>98981.36</t>
  </si>
  <si>
    <t>EMP1112</t>
  </si>
  <si>
    <t>80242.01</t>
  </si>
  <si>
    <t>EMP1113</t>
  </si>
  <si>
    <t>110236.18</t>
  </si>
  <si>
    <t>EMP1114</t>
  </si>
  <si>
    <t>86327.47</t>
  </si>
  <si>
    <t>EMP1115</t>
  </si>
  <si>
    <t>84420.81</t>
  </si>
  <si>
    <t>EMP1116</t>
  </si>
  <si>
    <t>110041.32</t>
  </si>
  <si>
    <t>EMP1117</t>
  </si>
  <si>
    <t>81837.81</t>
  </si>
  <si>
    <t>EMP1118</t>
  </si>
  <si>
    <t>110855.72</t>
  </si>
  <si>
    <t>EMP1119</t>
  </si>
  <si>
    <t>84894.52</t>
  </si>
  <si>
    <t>EMP1120</t>
  </si>
  <si>
    <t>80668.13</t>
  </si>
  <si>
    <t>EMP1121</t>
  </si>
  <si>
    <t>61086.47</t>
  </si>
  <si>
    <t>EMP1122</t>
  </si>
  <si>
    <t>95339.68</t>
  </si>
  <si>
    <t>EMP1123</t>
  </si>
  <si>
    <t>83774.97</t>
  </si>
  <si>
    <t>EMP1124</t>
  </si>
  <si>
    <t>85576.86</t>
  </si>
  <si>
    <t>heidi.jones@example.com</t>
  </si>
  <si>
    <t>EMP1125</t>
  </si>
  <si>
    <t>107438.46</t>
  </si>
  <si>
    <t>EMP1126</t>
  </si>
  <si>
    <t>60401.68</t>
  </si>
  <si>
    <t>eva.johnson@example.com</t>
  </si>
  <si>
    <t>EMP1127</t>
  </si>
  <si>
    <t>115299.66</t>
  </si>
  <si>
    <t>EMP1128</t>
  </si>
  <si>
    <t>72272.34</t>
  </si>
  <si>
    <t>EMP1129</t>
  </si>
  <si>
    <t>DevOps-Nevada</t>
  </si>
  <si>
    <t>117537.71</t>
  </si>
  <si>
    <t>EMP1130</t>
  </si>
  <si>
    <t>51074.33</t>
  </si>
  <si>
    <t>EMP1131</t>
  </si>
  <si>
    <t>98489.32</t>
  </si>
  <si>
    <t>EMP1132</t>
  </si>
  <si>
    <t>112120.71</t>
  </si>
  <si>
    <t>EMP1133</t>
  </si>
  <si>
    <t>114465.04</t>
  </si>
  <si>
    <t>EMP1134</t>
  </si>
  <si>
    <t>57035.51</t>
  </si>
  <si>
    <t>EMP1135</t>
  </si>
  <si>
    <t>75092.43</t>
  </si>
  <si>
    <t>EMP1136</t>
  </si>
  <si>
    <t>62603.98</t>
  </si>
  <si>
    <t>david.smith@example.com</t>
  </si>
  <si>
    <t>EMP1137</t>
  </si>
  <si>
    <t>60018.24</t>
  </si>
  <si>
    <t>EMP1138</t>
  </si>
  <si>
    <t>82567.73</t>
  </si>
  <si>
    <t>EMP1139</t>
  </si>
  <si>
    <t>94725.71</t>
  </si>
  <si>
    <t>EMP1140</t>
  </si>
  <si>
    <t>83824.56</t>
  </si>
  <si>
    <t>EMP1141</t>
  </si>
  <si>
    <t>118456.11</t>
  </si>
  <si>
    <t>EMP1142</t>
  </si>
  <si>
    <t>113743.19</t>
  </si>
  <si>
    <t>EMP1143</t>
  </si>
  <si>
    <t>63309.24</t>
  </si>
  <si>
    <t>EMP1144</t>
  </si>
  <si>
    <t>105202.73</t>
  </si>
  <si>
    <t>EMP1145</t>
  </si>
  <si>
    <t>79085.22</t>
  </si>
  <si>
    <t>EMP1146</t>
  </si>
  <si>
    <t>113983.43</t>
  </si>
  <si>
    <t>EMP1147</t>
  </si>
  <si>
    <t>102790.6</t>
  </si>
  <si>
    <t>EMP1148</t>
  </si>
  <si>
    <t>68512.1</t>
  </si>
  <si>
    <t>EMP1149</t>
  </si>
  <si>
    <t>57584.23</t>
  </si>
  <si>
    <t>EMP1150</t>
  </si>
  <si>
    <t>95335.67</t>
  </si>
  <si>
    <t>alice.williams@example.com</t>
  </si>
  <si>
    <t>EMP1151</t>
  </si>
  <si>
    <t>53174.28</t>
  </si>
  <si>
    <t>EMP1152</t>
  </si>
  <si>
    <t>77205.21</t>
  </si>
  <si>
    <t>heidi.smith@example.com</t>
  </si>
  <si>
    <t>EMP1153</t>
  </si>
  <si>
    <t>79041.92</t>
  </si>
  <si>
    <t>EMP1154</t>
  </si>
  <si>
    <t>75937.1</t>
  </si>
  <si>
    <t>EMP1155</t>
  </si>
  <si>
    <t>113118.73</t>
  </si>
  <si>
    <t>EMP1156</t>
  </si>
  <si>
    <t>107693.38</t>
  </si>
  <si>
    <t>EMP1157</t>
  </si>
  <si>
    <t>119217.46</t>
  </si>
  <si>
    <t>EMP1158</t>
  </si>
  <si>
    <t>106913.71</t>
  </si>
  <si>
    <t>EMP1159</t>
  </si>
  <si>
    <t>87815.08</t>
  </si>
  <si>
    <t>EMP1160</t>
  </si>
  <si>
    <t>105190.21</t>
  </si>
  <si>
    <t>EMP1161</t>
  </si>
  <si>
    <t>79467.24</t>
  </si>
  <si>
    <t>EMP1162</t>
  </si>
  <si>
    <t>57633.78</t>
  </si>
  <si>
    <t>EMP1163</t>
  </si>
  <si>
    <t>54257.78</t>
  </si>
  <si>
    <t>EMP1164</t>
  </si>
  <si>
    <t>113679.06</t>
  </si>
  <si>
    <t>EMP1165</t>
  </si>
  <si>
    <t>69251.12</t>
  </si>
  <si>
    <t>EMP1166</t>
  </si>
  <si>
    <t>85388.58</t>
  </si>
  <si>
    <t>EMP1167</t>
  </si>
  <si>
    <t>112166.37</t>
  </si>
  <si>
    <t>EMP1168</t>
  </si>
  <si>
    <t>79873.48</t>
  </si>
  <si>
    <t>heidi.davis@example.com</t>
  </si>
  <si>
    <t>EMP1169</t>
  </si>
  <si>
    <t>108224.03</t>
  </si>
  <si>
    <t>EMP1170</t>
  </si>
  <si>
    <t>116963.72</t>
  </si>
  <si>
    <t>EMP1171</t>
  </si>
  <si>
    <t>114109.06</t>
  </si>
  <si>
    <t>EMP1172</t>
  </si>
  <si>
    <t>85518.88</t>
  </si>
  <si>
    <t>EMP1173</t>
  </si>
  <si>
    <t>58041.97</t>
  </si>
  <si>
    <t>heidi.brown@example.com</t>
  </si>
  <si>
    <t>EMP1174</t>
  </si>
  <si>
    <t>94988.94</t>
  </si>
  <si>
    <t>EMP1175</t>
  </si>
  <si>
    <t>71628.93</t>
  </si>
  <si>
    <t>EMP1176</t>
  </si>
  <si>
    <t>54870.98</t>
  </si>
  <si>
    <t>EMP1177</t>
  </si>
  <si>
    <t>79388.27</t>
  </si>
  <si>
    <t>EMP1178</t>
  </si>
  <si>
    <t>55946.99</t>
  </si>
  <si>
    <t>EMP1179</t>
  </si>
  <si>
    <t>81017.91</t>
  </si>
  <si>
    <t>EMP1180</t>
  </si>
  <si>
    <t>74162.1</t>
  </si>
  <si>
    <t>EMP1181</t>
  </si>
  <si>
    <t>77668.44</t>
  </si>
  <si>
    <t>EMP1182</t>
  </si>
  <si>
    <t>67886.37</t>
  </si>
  <si>
    <t>EMP1183</t>
  </si>
  <si>
    <t>76614.52</t>
  </si>
  <si>
    <t>EMP1184</t>
  </si>
  <si>
    <t>51311.91</t>
  </si>
  <si>
    <t>EMP1185</t>
  </si>
  <si>
    <t>94809.92</t>
  </si>
  <si>
    <t>EMP1186</t>
  </si>
  <si>
    <t>108241.81</t>
  </si>
  <si>
    <t>EMP1187</t>
  </si>
  <si>
    <t>78031.49</t>
  </si>
  <si>
    <t>EMP1188</t>
  </si>
  <si>
    <t>85733.83</t>
  </si>
  <si>
    <t>EMP1189</t>
  </si>
  <si>
    <t>60338.29</t>
  </si>
  <si>
    <t>EMP1190</t>
  </si>
  <si>
    <t>103140.67</t>
  </si>
  <si>
    <t>EMP1191</t>
  </si>
  <si>
    <t>114690.8</t>
  </si>
  <si>
    <t>EMP1192</t>
  </si>
  <si>
    <t>80954.56</t>
  </si>
  <si>
    <t>EMP1193</t>
  </si>
  <si>
    <t>71728.55</t>
  </si>
  <si>
    <t>EMP1194</t>
  </si>
  <si>
    <t>118415.8</t>
  </si>
  <si>
    <t>EMP1195</t>
  </si>
  <si>
    <t>81481.36</t>
  </si>
  <si>
    <t>EMP1196</t>
  </si>
  <si>
    <t>117040.57</t>
  </si>
  <si>
    <t>EMP1197</t>
  </si>
  <si>
    <t>67342.06</t>
  </si>
  <si>
    <t>EMP1198</t>
  </si>
  <si>
    <t>76099.64</t>
  </si>
  <si>
    <t>EMP1199</t>
  </si>
  <si>
    <t>94162.06</t>
  </si>
  <si>
    <t>EMP1200</t>
  </si>
  <si>
    <t>67639.7</t>
  </si>
  <si>
    <t>EMP1201</t>
  </si>
  <si>
    <t>114172.25</t>
  </si>
  <si>
    <t>EMP1202</t>
  </si>
  <si>
    <t>89124.54</t>
  </si>
  <si>
    <t>EMP1203</t>
  </si>
  <si>
    <t>113871.36</t>
  </si>
  <si>
    <t>EMP1204</t>
  </si>
  <si>
    <t>62618.4</t>
  </si>
  <si>
    <t>EMP1205</t>
  </si>
  <si>
    <t>70705.45</t>
  </si>
  <si>
    <t>EMP1206</t>
  </si>
  <si>
    <t>60797.69</t>
  </si>
  <si>
    <t>EMP1207</t>
  </si>
  <si>
    <t>100371</t>
  </si>
  <si>
    <t>EMP1208</t>
  </si>
  <si>
    <t>117591.76</t>
  </si>
  <si>
    <t>EMP1209</t>
  </si>
  <si>
    <t>103860.7</t>
  </si>
  <si>
    <t>EMP1210</t>
  </si>
  <si>
    <t>67500.22</t>
  </si>
  <si>
    <t>EMP1211</t>
  </si>
  <si>
    <t>58727.44</t>
  </si>
  <si>
    <t>EMP1212</t>
  </si>
  <si>
    <t>80623.08</t>
  </si>
  <si>
    <t>EMP1213</t>
  </si>
  <si>
    <t>77751.78</t>
  </si>
  <si>
    <t>EMP1214</t>
  </si>
  <si>
    <t>115157.81</t>
  </si>
  <si>
    <t>EMP1215</t>
  </si>
  <si>
    <t>83071.85</t>
  </si>
  <si>
    <t>EMP1216</t>
  </si>
  <si>
    <t>67914.67</t>
  </si>
  <si>
    <t>EMP1217</t>
  </si>
  <si>
    <t>53342.46</t>
  </si>
  <si>
    <t>EMP1218</t>
  </si>
  <si>
    <t>51150.47</t>
  </si>
  <si>
    <t>EMP1219</t>
  </si>
  <si>
    <t>74697.12</t>
  </si>
  <si>
    <t>EMP1220</t>
  </si>
  <si>
    <t>88085.74</t>
  </si>
  <si>
    <t>EMP1221</t>
  </si>
  <si>
    <t>118672.76</t>
  </si>
  <si>
    <t>EMP1222</t>
  </si>
  <si>
    <t>95997.31</t>
  </si>
  <si>
    <t>EMP1223</t>
  </si>
  <si>
    <t>106945.62</t>
  </si>
  <si>
    <t>EMP1224</t>
  </si>
  <si>
    <t>100123.15</t>
  </si>
  <si>
    <t>EMP1225</t>
  </si>
  <si>
    <t>52933.42</t>
  </si>
  <si>
    <t>EMP1226</t>
  </si>
  <si>
    <t>95283.03</t>
  </si>
  <si>
    <t>EMP1227</t>
  </si>
  <si>
    <t>112264.06</t>
  </si>
  <si>
    <t>EMP1228</t>
  </si>
  <si>
    <t>75714.28</t>
  </si>
  <si>
    <t>EMP1229</t>
  </si>
  <si>
    <t>92171.73</t>
  </si>
  <si>
    <t>EMP1230</t>
  </si>
  <si>
    <t>70694.8</t>
  </si>
  <si>
    <t>EMP1231</t>
  </si>
  <si>
    <t>52964.86</t>
  </si>
  <si>
    <t>EMP1232</t>
  </si>
  <si>
    <t>116353.31</t>
  </si>
  <si>
    <t>EMP1233</t>
  </si>
  <si>
    <t>116695.26</t>
  </si>
  <si>
    <t>EMP1234</t>
  </si>
  <si>
    <t>95161.4</t>
  </si>
  <si>
    <t>EMP1235</t>
  </si>
  <si>
    <t>76040.94</t>
  </si>
  <si>
    <t>EMP1236</t>
  </si>
  <si>
    <t>69508.28</t>
  </si>
  <si>
    <t>charlie.miller@example.com</t>
  </si>
  <si>
    <t>EMP1237</t>
  </si>
  <si>
    <t>58243.27</t>
  </si>
  <si>
    <t>EMP1238</t>
  </si>
  <si>
    <t>64012.48</t>
  </si>
  <si>
    <t>EMP1239</t>
  </si>
  <si>
    <t>106735.93</t>
  </si>
  <si>
    <t>EMP1240</t>
  </si>
  <si>
    <t>70325.36</t>
  </si>
  <si>
    <t>EMP1241</t>
  </si>
  <si>
    <t>118959.28</t>
  </si>
  <si>
    <t>EMP1242</t>
  </si>
  <si>
    <t>75823.78</t>
  </si>
  <si>
    <t>EMP1243</t>
  </si>
  <si>
    <t>119971.65</t>
  </si>
  <si>
    <t>EMP1244</t>
  </si>
  <si>
    <t>94963.7</t>
  </si>
  <si>
    <t>EMP1245</t>
  </si>
  <si>
    <t>103744.71</t>
  </si>
  <si>
    <t>EMP1246</t>
  </si>
  <si>
    <t>61337.69</t>
  </si>
  <si>
    <t>EMP1247</t>
  </si>
  <si>
    <t>63741.13</t>
  </si>
  <si>
    <t>EMP1248</t>
  </si>
  <si>
    <t>56539.99</t>
  </si>
  <si>
    <t>eva.smith@example.com</t>
  </si>
  <si>
    <t>EMP1249</t>
  </si>
  <si>
    <t>73633.37</t>
  </si>
  <si>
    <t>EMP1250</t>
  </si>
  <si>
    <t>90373.99</t>
  </si>
  <si>
    <t>EMP1251</t>
  </si>
  <si>
    <t>93901.48</t>
  </si>
  <si>
    <t>EMP1252</t>
  </si>
  <si>
    <t>81748.09</t>
  </si>
  <si>
    <t>EMP1253</t>
  </si>
  <si>
    <t>73813.48</t>
  </si>
  <si>
    <t>EMP1254</t>
  </si>
  <si>
    <t>89315.59</t>
  </si>
  <si>
    <t>EMP1255</t>
  </si>
  <si>
    <t>56776.82</t>
  </si>
  <si>
    <t>EMP1256</t>
  </si>
  <si>
    <t>72920.51</t>
  </si>
  <si>
    <t>EMP1257</t>
  </si>
  <si>
    <t>84913.18</t>
  </si>
  <si>
    <t>EMP1258</t>
  </si>
  <si>
    <t>65060.11</t>
  </si>
  <si>
    <t>EMP1259</t>
  </si>
  <si>
    <t>82941.08</t>
  </si>
  <si>
    <t>EMP1260</t>
  </si>
  <si>
    <t>103469.97</t>
  </si>
  <si>
    <t>EMP1261</t>
  </si>
  <si>
    <t>88725.6</t>
  </si>
  <si>
    <t>EMP1262</t>
  </si>
  <si>
    <t>58316.77</t>
  </si>
  <si>
    <t>EMP1263</t>
  </si>
  <si>
    <t>60098.72</t>
  </si>
  <si>
    <t>EMP1264</t>
  </si>
  <si>
    <t>99951.43</t>
  </si>
  <si>
    <t>EMP1265</t>
  </si>
  <si>
    <t>115195.81</t>
  </si>
  <si>
    <t>EMP1266</t>
  </si>
  <si>
    <t>85512.05</t>
  </si>
  <si>
    <t>EMP1267</t>
  </si>
  <si>
    <t>73186.77</t>
  </si>
  <si>
    <t>EMP1268</t>
  </si>
  <si>
    <t>51865.3</t>
  </si>
  <si>
    <t>EMP1269</t>
  </si>
  <si>
    <t>94031.77</t>
  </si>
  <si>
    <t>EMP1270</t>
  </si>
  <si>
    <t>116374.36</t>
  </si>
  <si>
    <t>EMP1271</t>
  </si>
  <si>
    <t>98335.02</t>
  </si>
  <si>
    <t>EMP1272</t>
  </si>
  <si>
    <t>89262.07</t>
  </si>
  <si>
    <t>EMP1273</t>
  </si>
  <si>
    <t>113848.69</t>
  </si>
  <si>
    <t>EMP1274</t>
  </si>
  <si>
    <t>69530.45</t>
  </si>
  <si>
    <t>EMP1275</t>
  </si>
  <si>
    <t>84230.22</t>
  </si>
  <si>
    <t>EMP1276</t>
  </si>
  <si>
    <t>76578.59</t>
  </si>
  <si>
    <t>EMP1277</t>
  </si>
  <si>
    <t>55532.06</t>
  </si>
  <si>
    <t>EMP1278</t>
  </si>
  <si>
    <t>115311.68</t>
  </si>
  <si>
    <t>EMP1279</t>
  </si>
  <si>
    <t>66972.06</t>
  </si>
  <si>
    <t>EMP1280</t>
  </si>
  <si>
    <t>100215.06</t>
  </si>
  <si>
    <t>EMP1281</t>
  </si>
  <si>
    <t>115452.25</t>
  </si>
  <si>
    <t>EMP1282</t>
  </si>
  <si>
    <t>54141.38</t>
  </si>
  <si>
    <t>EMP1283</t>
  </si>
  <si>
    <t>79251.95</t>
  </si>
  <si>
    <t>EMP1284</t>
  </si>
  <si>
    <t>114822.78</t>
  </si>
  <si>
    <t>EMP1285</t>
  </si>
  <si>
    <t>69919.32</t>
  </si>
  <si>
    <t>EMP1286</t>
  </si>
  <si>
    <t>106616.97</t>
  </si>
  <si>
    <t>EMP1287</t>
  </si>
  <si>
    <t>73597.85</t>
  </si>
  <si>
    <t>EMP1288</t>
  </si>
  <si>
    <t>79939.23</t>
  </si>
  <si>
    <t>EMP1289</t>
  </si>
  <si>
    <t>EMP1290</t>
  </si>
  <si>
    <t>90772.25</t>
  </si>
  <si>
    <t>EMP1291</t>
  </si>
  <si>
    <t>58275.74</t>
  </si>
  <si>
    <t>EMP1292</t>
  </si>
  <si>
    <t>94709.79</t>
  </si>
  <si>
    <t>EMP1293</t>
  </si>
  <si>
    <t>60722.99</t>
  </si>
  <si>
    <t>EMP1294</t>
  </si>
  <si>
    <t>87626.24</t>
  </si>
  <si>
    <t>EMP1295</t>
  </si>
  <si>
    <t>81272.36</t>
  </si>
  <si>
    <t>EMP1296</t>
  </si>
  <si>
    <t>64150.97</t>
  </si>
  <si>
    <t>EMP1297</t>
  </si>
  <si>
    <t>64378.1</t>
  </si>
  <si>
    <t>EMP1298</t>
  </si>
  <si>
    <t>85927.35</t>
  </si>
  <si>
    <t>EMP1299</t>
  </si>
  <si>
    <t>51523.93</t>
  </si>
  <si>
    <t>EMP1300</t>
  </si>
  <si>
    <t>74117.02</t>
  </si>
  <si>
    <t>EMP1301</t>
  </si>
  <si>
    <t>62598.69</t>
  </si>
  <si>
    <t>EMP1302</t>
  </si>
  <si>
    <t>55617.5</t>
  </si>
  <si>
    <t>EMP1303</t>
  </si>
  <si>
    <t>87018.98</t>
  </si>
  <si>
    <t>EMP1304</t>
  </si>
  <si>
    <t>100336.58</t>
  </si>
  <si>
    <t>EMP1305</t>
  </si>
  <si>
    <t>69295.48</t>
  </si>
  <si>
    <t>EMP1306</t>
  </si>
  <si>
    <t>115536.66</t>
  </si>
  <si>
    <t>EMP1307</t>
  </si>
  <si>
    <t>81250.87</t>
  </si>
  <si>
    <t>EMP1308</t>
  </si>
  <si>
    <t>66403.75</t>
  </si>
  <si>
    <t>EMP1309</t>
  </si>
  <si>
    <t>114147.79</t>
  </si>
  <si>
    <t>EMP1310</t>
  </si>
  <si>
    <t>65472.99</t>
  </si>
  <si>
    <t>EMP1311</t>
  </si>
  <si>
    <t>97512.51</t>
  </si>
  <si>
    <t>EMP1312</t>
  </si>
  <si>
    <t>86712.41</t>
  </si>
  <si>
    <t>EMP1313</t>
  </si>
  <si>
    <t>87654.98</t>
  </si>
  <si>
    <t>EMP1314</t>
  </si>
  <si>
    <t>89367.02</t>
  </si>
  <si>
    <t>EMP1315</t>
  </si>
  <si>
    <t>95269.41</t>
  </si>
  <si>
    <t>EMP1316</t>
  </si>
  <si>
    <t>68792.31</t>
  </si>
  <si>
    <t>EMP1317</t>
  </si>
  <si>
    <t>89119.53</t>
  </si>
  <si>
    <t>EMP1318</t>
  </si>
  <si>
    <t>58212.13</t>
  </si>
  <si>
    <t>EMP1319</t>
  </si>
  <si>
    <t>77764.24</t>
  </si>
  <si>
    <t>EMP1320</t>
  </si>
  <si>
    <t>75148.17</t>
  </si>
  <si>
    <t>EMP1321</t>
  </si>
  <si>
    <t>108781.18</t>
  </si>
  <si>
    <t>EMP1322</t>
  </si>
  <si>
    <t>65489.19</t>
  </si>
  <si>
    <t>EMP1323</t>
  </si>
  <si>
    <t>70663.46</t>
  </si>
  <si>
    <t>EMP1324</t>
  </si>
  <si>
    <t>95822.56</t>
  </si>
  <si>
    <t>EMP1325</t>
  </si>
  <si>
    <t>82258.03</t>
  </si>
  <si>
    <t>EMP1326</t>
  </si>
  <si>
    <t>62883.34</t>
  </si>
  <si>
    <t>EMP1327</t>
  </si>
  <si>
    <t>103503.72</t>
  </si>
  <si>
    <t>EMP1328</t>
  </si>
  <si>
    <t>85401.3</t>
  </si>
  <si>
    <t>EMP1329</t>
  </si>
  <si>
    <t>EMP1330</t>
  </si>
  <si>
    <t>98850.14</t>
  </si>
  <si>
    <t>EMP1331</t>
  </si>
  <si>
    <t>63435.24</t>
  </si>
  <si>
    <t>EMP1332</t>
  </si>
  <si>
    <t>82129.84</t>
  </si>
  <si>
    <t>EMP1333</t>
  </si>
  <si>
    <t>95492.61</t>
  </si>
  <si>
    <t>EMP1334</t>
  </si>
  <si>
    <t>94572.37</t>
  </si>
  <si>
    <t>EMP1335</t>
  </si>
  <si>
    <t>118413.05</t>
  </si>
  <si>
    <t>EMP1336</t>
  </si>
  <si>
    <t>68976.65</t>
  </si>
  <si>
    <t>EMP1337</t>
  </si>
  <si>
    <t>115013.65</t>
  </si>
  <si>
    <t>EMP1338</t>
  </si>
  <si>
    <t>70949.38</t>
  </si>
  <si>
    <t>EMP1339</t>
  </si>
  <si>
    <t>105334.87</t>
  </si>
  <si>
    <t>EMP1340</t>
  </si>
  <si>
    <t>80596.18</t>
  </si>
  <si>
    <t>EMP1341</t>
  </si>
  <si>
    <t>72846.37</t>
  </si>
  <si>
    <t>EMP1342</t>
  </si>
  <si>
    <t>80229.36</t>
  </si>
  <si>
    <t>EMP1343</t>
  </si>
  <si>
    <t>55145.47</t>
  </si>
  <si>
    <t>EMP1344</t>
  </si>
  <si>
    <t>EMP1345</t>
  </si>
  <si>
    <t>56110.81</t>
  </si>
  <si>
    <t>EMP1346</t>
  </si>
  <si>
    <t>56514.5</t>
  </si>
  <si>
    <t>EMP1347</t>
  </si>
  <si>
    <t>104541.84</t>
  </si>
  <si>
    <t>EMP1348</t>
  </si>
  <si>
    <t>61865.12</t>
  </si>
  <si>
    <t>EMP1349</t>
  </si>
  <si>
    <t>69317.33</t>
  </si>
  <si>
    <t>EMP1350</t>
  </si>
  <si>
    <t>84706.17</t>
  </si>
  <si>
    <t>EMP1351</t>
  </si>
  <si>
    <t>73255.21</t>
  </si>
  <si>
    <t>EMP1352</t>
  </si>
  <si>
    <t>59528.71</t>
  </si>
  <si>
    <t>EMP1353</t>
  </si>
  <si>
    <t>70401.37</t>
  </si>
  <si>
    <t>EMP1354</t>
  </si>
  <si>
    <t>107154.62</t>
  </si>
  <si>
    <t>EMP1355</t>
  </si>
  <si>
    <t>97719.88</t>
  </si>
  <si>
    <t>EMP1356</t>
  </si>
  <si>
    <t>107327.59</t>
  </si>
  <si>
    <t>EMP1357</t>
  </si>
  <si>
    <t>67687.72</t>
  </si>
  <si>
    <t>EMP1358</t>
  </si>
  <si>
    <t>90757.08</t>
  </si>
  <si>
    <t>EMP1359</t>
  </si>
  <si>
    <t>87583.42</t>
  </si>
  <si>
    <t>EMP1360</t>
  </si>
  <si>
    <t>61643.69</t>
  </si>
  <si>
    <t>EMP1361</t>
  </si>
  <si>
    <t>68111.69</t>
  </si>
  <si>
    <t>EMP1362</t>
  </si>
  <si>
    <t>97568.88</t>
  </si>
  <si>
    <t>EMP1363</t>
  </si>
  <si>
    <t>79118.28</t>
  </si>
  <si>
    <t>EMP1364</t>
  </si>
  <si>
    <t>104898.9</t>
  </si>
  <si>
    <t>EMP1365</t>
  </si>
  <si>
    <t>81671.3</t>
  </si>
  <si>
    <t>EMP1366</t>
  </si>
  <si>
    <t>97399.75</t>
  </si>
  <si>
    <t>EMP1367</t>
  </si>
  <si>
    <t>89189.43</t>
  </si>
  <si>
    <t>EMP1368</t>
  </si>
  <si>
    <t>96011.55</t>
  </si>
  <si>
    <t>EMP1369</t>
  </si>
  <si>
    <t>99331.49</t>
  </si>
  <si>
    <t>EMP1370</t>
  </si>
  <si>
    <t>72818.94</t>
  </si>
  <si>
    <t>EMP1371</t>
  </si>
  <si>
    <t>77204.75</t>
  </si>
  <si>
    <t>EMP1372</t>
  </si>
  <si>
    <t>106961.68</t>
  </si>
  <si>
    <t>EMP1373</t>
  </si>
  <si>
    <t>71923</t>
  </si>
  <si>
    <t>EMP1374</t>
  </si>
  <si>
    <t>77192.43</t>
  </si>
  <si>
    <t>EMP1375</t>
  </si>
  <si>
    <t>98540.3</t>
  </si>
  <si>
    <t>EMP1376</t>
  </si>
  <si>
    <t>63096.9</t>
  </si>
  <si>
    <t>EMP1377</t>
  </si>
  <si>
    <t>107065.12</t>
  </si>
  <si>
    <t>EMP1378</t>
  </si>
  <si>
    <t>108792.43</t>
  </si>
  <si>
    <t>EMP1379</t>
  </si>
  <si>
    <t>69239.7</t>
  </si>
  <si>
    <t>EMP1380</t>
  </si>
  <si>
    <t>85756.42</t>
  </si>
  <si>
    <t>EMP1381</t>
  </si>
  <si>
    <t>100328.62</t>
  </si>
  <si>
    <t>EMP1382</t>
  </si>
  <si>
    <t>111236.69</t>
  </si>
  <si>
    <t>EMP1383</t>
  </si>
  <si>
    <t>106832.22</t>
  </si>
  <si>
    <t>EMP1384</t>
  </si>
  <si>
    <t>59746.45</t>
  </si>
  <si>
    <t>EMP1385</t>
  </si>
  <si>
    <t>91780.04</t>
  </si>
  <si>
    <t>EMP1386</t>
  </si>
  <si>
    <t>107062.66</t>
  </si>
  <si>
    <t>EMP1387</t>
  </si>
  <si>
    <t>110625.52</t>
  </si>
  <si>
    <t>EMP1388</t>
  </si>
  <si>
    <t>90419.79</t>
  </si>
  <si>
    <t>EMP1389</t>
  </si>
  <si>
    <t>111608.76</t>
  </si>
  <si>
    <t>EMP1390</t>
  </si>
  <si>
    <t>50173.12</t>
  </si>
  <si>
    <t>EMP1391</t>
  </si>
  <si>
    <t>109507.44</t>
  </si>
  <si>
    <t>EMP1392</t>
  </si>
  <si>
    <t>72600.56</t>
  </si>
  <si>
    <t>EMP1393</t>
  </si>
  <si>
    <t>53388.65</t>
  </si>
  <si>
    <t>EMP1394</t>
  </si>
  <si>
    <t>50047.32</t>
  </si>
  <si>
    <t>EMP1395</t>
  </si>
  <si>
    <t>115290.79</t>
  </si>
  <si>
    <t>EMP1396</t>
  </si>
  <si>
    <t>61586.76</t>
  </si>
  <si>
    <t>EMP1397</t>
  </si>
  <si>
    <t>56662.86</t>
  </si>
  <si>
    <t>EMP1398</t>
  </si>
  <si>
    <t>EMP1399</t>
  </si>
  <si>
    <t>54957.98</t>
  </si>
  <si>
    <t>EMP1400</t>
  </si>
  <si>
    <t>76790.47</t>
  </si>
  <si>
    <t>EMP1401</t>
  </si>
  <si>
    <t>92722.35</t>
  </si>
  <si>
    <t>EMP1402</t>
  </si>
  <si>
    <t>93125.32</t>
  </si>
  <si>
    <t>EMP1403</t>
  </si>
  <si>
    <t>101100.64</t>
  </si>
  <si>
    <t>EMP1404</t>
  </si>
  <si>
    <t>55897.41</t>
  </si>
  <si>
    <t>EMP1405</t>
  </si>
  <si>
    <t>92484.88</t>
  </si>
  <si>
    <t>EMP1406</t>
  </si>
  <si>
    <t>77011.99</t>
  </si>
  <si>
    <t>EMP1407</t>
  </si>
  <si>
    <t>77078.68</t>
  </si>
  <si>
    <t>EMP1408</t>
  </si>
  <si>
    <t>82971.02</t>
  </si>
  <si>
    <t>EMP1409</t>
  </si>
  <si>
    <t>65102.01</t>
  </si>
  <si>
    <t>EMP1410</t>
  </si>
  <si>
    <t>103697.7</t>
  </si>
  <si>
    <t>EMP1411</t>
  </si>
  <si>
    <t>60687.63</t>
  </si>
  <si>
    <t>EMP1412</t>
  </si>
  <si>
    <t>77351.21</t>
  </si>
  <si>
    <t>EMP1413</t>
  </si>
  <si>
    <t>66704.62</t>
  </si>
  <si>
    <t>EMP1414</t>
  </si>
  <si>
    <t>71650.3</t>
  </si>
  <si>
    <t>EMP1415</t>
  </si>
  <si>
    <t>50794.54</t>
  </si>
  <si>
    <t>EMP1416</t>
  </si>
  <si>
    <t>76030.86</t>
  </si>
  <si>
    <t>EMP1417</t>
  </si>
  <si>
    <t>86669.79</t>
  </si>
  <si>
    <t>EMP1418</t>
  </si>
  <si>
    <t>84972.7</t>
  </si>
  <si>
    <t>EMP1419</t>
  </si>
  <si>
    <t>100594.49</t>
  </si>
  <si>
    <t>EMP1420</t>
  </si>
  <si>
    <t>75478.35</t>
  </si>
  <si>
    <t>EMP1421</t>
  </si>
  <si>
    <t>79355.85</t>
  </si>
  <si>
    <t>EMP1422</t>
  </si>
  <si>
    <t>58358.07</t>
  </si>
  <si>
    <t>EMP1423</t>
  </si>
  <si>
    <t>54824.85</t>
  </si>
  <si>
    <t>EMP1424</t>
  </si>
  <si>
    <t>50557.84</t>
  </si>
  <si>
    <t>EMP1425</t>
  </si>
  <si>
    <t>118030.04</t>
  </si>
  <si>
    <t>EMP1426</t>
  </si>
  <si>
    <t>51673.72</t>
  </si>
  <si>
    <t>EMP1427</t>
  </si>
  <si>
    <t>101665.79</t>
  </si>
  <si>
    <t>EMP1428</t>
  </si>
  <si>
    <t>118079.15</t>
  </si>
  <si>
    <t>EMP1429</t>
  </si>
  <si>
    <t>99059.28</t>
  </si>
  <si>
    <t>EMP1430</t>
  </si>
  <si>
    <t>107397.4</t>
  </si>
  <si>
    <t>EMP1431</t>
  </si>
  <si>
    <t>68269.37</t>
  </si>
  <si>
    <t>EMP1432</t>
  </si>
  <si>
    <t>55228.12</t>
  </si>
  <si>
    <t>EMP1433</t>
  </si>
  <si>
    <t>71982.33</t>
  </si>
  <si>
    <t>EMP1434</t>
  </si>
  <si>
    <t>109673.75</t>
  </si>
  <si>
    <t>EMP1435</t>
  </si>
  <si>
    <t>56384.9</t>
  </si>
  <si>
    <t>EMP1436</t>
  </si>
  <si>
    <t>68211.68</t>
  </si>
  <si>
    <t>EMP1437</t>
  </si>
  <si>
    <t>67489.68</t>
  </si>
  <si>
    <t>EMP1438</t>
  </si>
  <si>
    <t>63869.31</t>
  </si>
  <si>
    <t>EMP1439</t>
  </si>
  <si>
    <t>119801.3</t>
  </si>
  <si>
    <t>EMP1440</t>
  </si>
  <si>
    <t>115959.65</t>
  </si>
  <si>
    <t>EMP1441</t>
  </si>
  <si>
    <t>79866.48</t>
  </si>
  <si>
    <t>EMP1442</t>
  </si>
  <si>
    <t>92987.46</t>
  </si>
  <si>
    <t>EMP1443</t>
  </si>
  <si>
    <t>56140.51</t>
  </si>
  <si>
    <t>EMP1444</t>
  </si>
  <si>
    <t>119586.11</t>
  </si>
  <si>
    <t>EMP1445</t>
  </si>
  <si>
    <t>104700.46</t>
  </si>
  <si>
    <t>EMP1446</t>
  </si>
  <si>
    <t>91798.14</t>
  </si>
  <si>
    <t>EMP1447</t>
  </si>
  <si>
    <t>90879.22</t>
  </si>
  <si>
    <t>EMP1448</t>
  </si>
  <si>
    <t>87358.27</t>
  </si>
  <si>
    <t>EMP1449</t>
  </si>
  <si>
    <t>119407.93</t>
  </si>
  <si>
    <t>EMP1450</t>
  </si>
  <si>
    <t>113978.6</t>
  </si>
  <si>
    <t>EMP1451</t>
  </si>
  <si>
    <t>108568.78</t>
  </si>
  <si>
    <t>EMP1452</t>
  </si>
  <si>
    <t>56318.02</t>
  </si>
  <si>
    <t>EMP1453</t>
  </si>
  <si>
    <t>114252.73</t>
  </si>
  <si>
    <t>EMP1454</t>
  </si>
  <si>
    <t>51533.9</t>
  </si>
  <si>
    <t>EMP1455</t>
  </si>
  <si>
    <t>99317.66</t>
  </si>
  <si>
    <t>EMP1456</t>
  </si>
  <si>
    <t>101264.64</t>
  </si>
  <si>
    <t>EMP1457</t>
  </si>
  <si>
    <t>112272.02</t>
  </si>
  <si>
    <t>EMP1458</t>
  </si>
  <si>
    <t>71477.63</t>
  </si>
  <si>
    <t>EMP1459</t>
  </si>
  <si>
    <t>77412.1</t>
  </si>
  <si>
    <t>EMP1460</t>
  </si>
  <si>
    <t>94775.27</t>
  </si>
  <si>
    <t>EMP1461</t>
  </si>
  <si>
    <t>74276.71</t>
  </si>
  <si>
    <t>EMP1462</t>
  </si>
  <si>
    <t>67467.86</t>
  </si>
  <si>
    <t>EMP1463</t>
  </si>
  <si>
    <t>80675.41</t>
  </si>
  <si>
    <t>EMP1464</t>
  </si>
  <si>
    <t>76274.33</t>
  </si>
  <si>
    <t>EMP1465</t>
  </si>
  <si>
    <t>51405.46</t>
  </si>
  <si>
    <t>EMP1466</t>
  </si>
  <si>
    <t>101238.96</t>
  </si>
  <si>
    <t>EMP1467</t>
  </si>
  <si>
    <t>52169.52</t>
  </si>
  <si>
    <t>EMP1468</t>
  </si>
  <si>
    <t>73176.62</t>
  </si>
  <si>
    <t>EMP1469</t>
  </si>
  <si>
    <t>96241.85</t>
  </si>
  <si>
    <t>EMP1470</t>
  </si>
  <si>
    <t>84366.38</t>
  </si>
  <si>
    <t>EMP1471</t>
  </si>
  <si>
    <t>92015.09</t>
  </si>
  <si>
    <t>EMP1472</t>
  </si>
  <si>
    <t>83149.95</t>
  </si>
  <si>
    <t>EMP1473</t>
  </si>
  <si>
    <t>94930.65</t>
  </si>
  <si>
    <t>EMP1474</t>
  </si>
  <si>
    <t>68430.72</t>
  </si>
  <si>
    <t>EMP1475</t>
  </si>
  <si>
    <t>98752.97</t>
  </si>
  <si>
    <t>EMP1476</t>
  </si>
  <si>
    <t>54268.86</t>
  </si>
  <si>
    <t>EMP1477</t>
  </si>
  <si>
    <t>66494.94</t>
  </si>
  <si>
    <t>EMP1478</t>
  </si>
  <si>
    <t>90003.98</t>
  </si>
  <si>
    <t>EMP1479</t>
  </si>
  <si>
    <t>106592.25</t>
  </si>
  <si>
    <t>EMP1480</t>
  </si>
  <si>
    <t>93905.83</t>
  </si>
  <si>
    <t>EMP1481</t>
  </si>
  <si>
    <t>88945.49</t>
  </si>
  <si>
    <t>EMP1482</t>
  </si>
  <si>
    <t>91130.33</t>
  </si>
  <si>
    <t>EMP1483</t>
  </si>
  <si>
    <t>90787.4</t>
  </si>
  <si>
    <t>EMP1484</t>
  </si>
  <si>
    <t>87494.34</t>
  </si>
  <si>
    <t>EMP1485</t>
  </si>
  <si>
    <t>92627.35</t>
  </si>
  <si>
    <t>EMP1486</t>
  </si>
  <si>
    <t>98556.29</t>
  </si>
  <si>
    <t>EMP1487</t>
  </si>
  <si>
    <t>112792.2</t>
  </si>
  <si>
    <t>EMP1488</t>
  </si>
  <si>
    <t>56875.22</t>
  </si>
  <si>
    <t>EMP1489</t>
  </si>
  <si>
    <t>101015.96</t>
  </si>
  <si>
    <t>EMP1490</t>
  </si>
  <si>
    <t>83912.22</t>
  </si>
  <si>
    <t>EMP1491</t>
  </si>
  <si>
    <t>99669.86</t>
  </si>
  <si>
    <t>EMP1492</t>
  </si>
  <si>
    <t>52314.97</t>
  </si>
  <si>
    <t>EMP1493</t>
  </si>
  <si>
    <t>77785.96</t>
  </si>
  <si>
    <t>EMP1494</t>
  </si>
  <si>
    <t>62430.86</t>
  </si>
  <si>
    <t>EMP1495</t>
  </si>
  <si>
    <t>98219.54</t>
  </si>
  <si>
    <t>EMP1496</t>
  </si>
  <si>
    <t>65494.58</t>
  </si>
  <si>
    <t>EMP1497</t>
  </si>
  <si>
    <t>110524.1</t>
  </si>
  <si>
    <t>EMP1498</t>
  </si>
  <si>
    <t>106060.54</t>
  </si>
  <si>
    <t>EMP1499</t>
  </si>
  <si>
    <t>67639.91</t>
  </si>
  <si>
    <t>EMP1500</t>
  </si>
  <si>
    <t>117653.98</t>
  </si>
  <si>
    <t>EMP1501</t>
  </si>
  <si>
    <t>73539.86</t>
  </si>
  <si>
    <t>EMP1502</t>
  </si>
  <si>
    <t>70915.38</t>
  </si>
  <si>
    <t>EMP1503</t>
  </si>
  <si>
    <t>97652.9</t>
  </si>
  <si>
    <t>EMP1504</t>
  </si>
  <si>
    <t>101571.25</t>
  </si>
  <si>
    <t>EMP1505</t>
  </si>
  <si>
    <t>87424.46</t>
  </si>
  <si>
    <t>EMP1506</t>
  </si>
  <si>
    <t>89077.36</t>
  </si>
  <si>
    <t>EMP1507</t>
  </si>
  <si>
    <t>89132.22</t>
  </si>
  <si>
    <t>EMP1508</t>
  </si>
  <si>
    <t>111000.26</t>
  </si>
  <si>
    <t>EMP1509</t>
  </si>
  <si>
    <t>109584.97</t>
  </si>
  <si>
    <t>EMP1510</t>
  </si>
  <si>
    <t>97648.84</t>
  </si>
  <si>
    <t>EMP1511</t>
  </si>
  <si>
    <t>78643.43</t>
  </si>
  <si>
    <t>EMP1512</t>
  </si>
  <si>
    <t>55656.8</t>
  </si>
  <si>
    <t>EMP1513</t>
  </si>
  <si>
    <t>69146.95</t>
  </si>
  <si>
    <t>EMP1514</t>
  </si>
  <si>
    <t>93013.58</t>
  </si>
  <si>
    <t>EMP1515</t>
  </si>
  <si>
    <t>87364.78</t>
  </si>
  <si>
    <t>EMP1516</t>
  </si>
  <si>
    <t>50288.67</t>
  </si>
  <si>
    <t>EMP1517</t>
  </si>
  <si>
    <t>85233.55</t>
  </si>
  <si>
    <t>EMP1518</t>
  </si>
  <si>
    <t>86420.19</t>
  </si>
  <si>
    <t>EMP1519</t>
  </si>
  <si>
    <t>63189.82</t>
  </si>
  <si>
    <t>EMP1520</t>
  </si>
  <si>
    <t>64783.32</t>
  </si>
  <si>
    <t>EMP1521</t>
  </si>
  <si>
    <t>52615.44</t>
  </si>
  <si>
    <t>EMP1522</t>
  </si>
  <si>
    <t>96337.89</t>
  </si>
  <si>
    <t>EMP1523</t>
  </si>
  <si>
    <t>76617.76</t>
  </si>
  <si>
    <t>EMP1524</t>
  </si>
  <si>
    <t>50651.32</t>
  </si>
  <si>
    <t>EMP1525</t>
  </si>
  <si>
    <t>59601.45</t>
  </si>
  <si>
    <t>EMP1526</t>
  </si>
  <si>
    <t>57980.88</t>
  </si>
  <si>
    <t>EMP1527</t>
  </si>
  <si>
    <t>75054.53</t>
  </si>
  <si>
    <t>EMP1528</t>
  </si>
  <si>
    <t>115318.7</t>
  </si>
  <si>
    <t>EMP1529</t>
  </si>
  <si>
    <t>90190.69</t>
  </si>
  <si>
    <t>EMP1530</t>
  </si>
  <si>
    <t>113334.56</t>
  </si>
  <si>
    <t>EMP1531</t>
  </si>
  <si>
    <t>106922.49</t>
  </si>
  <si>
    <t>EMP1532</t>
  </si>
  <si>
    <t>58113.07</t>
  </si>
  <si>
    <t>EMP1533</t>
  </si>
  <si>
    <t>73006.26</t>
  </si>
  <si>
    <t>EMP1534</t>
  </si>
  <si>
    <t>78054.43</t>
  </si>
  <si>
    <t>EMP1535</t>
  </si>
  <si>
    <t>112028.67</t>
  </si>
  <si>
    <t>EMP1536</t>
  </si>
  <si>
    <t>83787.24</t>
  </si>
  <si>
    <t>EMP1537</t>
  </si>
  <si>
    <t>52017.14</t>
  </si>
  <si>
    <t>EMP1538</t>
  </si>
  <si>
    <t>53218.06</t>
  </si>
  <si>
    <t>EMP1539</t>
  </si>
  <si>
    <t>102053.67</t>
  </si>
  <si>
    <t>EMP1540</t>
  </si>
  <si>
    <t>93276.73</t>
  </si>
  <si>
    <t>EMP1541</t>
  </si>
  <si>
    <t>76941.36</t>
  </si>
  <si>
    <t>EMP1542</t>
  </si>
  <si>
    <t>82850.23</t>
  </si>
  <si>
    <t>EMP1543</t>
  </si>
  <si>
    <t>117910.15</t>
  </si>
  <si>
    <t>EMP1544</t>
  </si>
  <si>
    <t>66450</t>
  </si>
  <si>
    <t>EMP1545</t>
  </si>
  <si>
    <t>118646.95</t>
  </si>
  <si>
    <t>EMP1546</t>
  </si>
  <si>
    <t>88436.92</t>
  </si>
  <si>
    <t>EMP1547</t>
  </si>
  <si>
    <t>81934.55</t>
  </si>
  <si>
    <t>EMP1548</t>
  </si>
  <si>
    <t>93383.06</t>
  </si>
  <si>
    <t>EMP1549</t>
  </si>
  <si>
    <t>50153.79</t>
  </si>
  <si>
    <t>EMP1550</t>
  </si>
  <si>
    <t>53204.47</t>
  </si>
  <si>
    <t>EMP1551</t>
  </si>
  <si>
    <t>63128.04</t>
  </si>
  <si>
    <t>EMP1552</t>
  </si>
  <si>
    <t>57543.6</t>
  </si>
  <si>
    <t>EMP1553</t>
  </si>
  <si>
    <t>59424.52</t>
  </si>
  <si>
    <t>EMP1554</t>
  </si>
  <si>
    <t>104675.7</t>
  </si>
  <si>
    <t>EMP1555</t>
  </si>
  <si>
    <t>92431.25</t>
  </si>
  <si>
    <t>EMP1556</t>
  </si>
  <si>
    <t>77850.9</t>
  </si>
  <si>
    <t>EMP1557</t>
  </si>
  <si>
    <t>99001</t>
  </si>
  <si>
    <t>EMP1558</t>
  </si>
  <si>
    <t>94280.83</t>
  </si>
  <si>
    <t>EMP1559</t>
  </si>
  <si>
    <t>118262.56</t>
  </si>
  <si>
    <t>EMP1560</t>
  </si>
  <si>
    <t>89944.67</t>
  </si>
  <si>
    <t>EMP1561</t>
  </si>
  <si>
    <t>57452.93</t>
  </si>
  <si>
    <t>EMP1562</t>
  </si>
  <si>
    <t>97837.32</t>
  </si>
  <si>
    <t>EMP1563</t>
  </si>
  <si>
    <t>106981.84</t>
  </si>
  <si>
    <t>EMP1564</t>
  </si>
  <si>
    <t>105778.36</t>
  </si>
  <si>
    <t>EMP1565</t>
  </si>
  <si>
    <t>117608.32</t>
  </si>
  <si>
    <t>EMP1566</t>
  </si>
  <si>
    <t>99324.03</t>
  </si>
  <si>
    <t>EMP1567</t>
  </si>
  <si>
    <t>55212.83</t>
  </si>
  <si>
    <t>EMP1568</t>
  </si>
  <si>
    <t>68496.77</t>
  </si>
  <si>
    <t>EMP1569</t>
  </si>
  <si>
    <t>52795.84</t>
  </si>
  <si>
    <t>EMP1570</t>
  </si>
  <si>
    <t>90087.39</t>
  </si>
  <si>
    <t>EMP1571</t>
  </si>
  <si>
    <t>105038.08</t>
  </si>
  <si>
    <t>EMP1572</t>
  </si>
  <si>
    <t>73231.85</t>
  </si>
  <si>
    <t>EMP1573</t>
  </si>
  <si>
    <t>102649.36</t>
  </si>
  <si>
    <t>EMP1574</t>
  </si>
  <si>
    <t>114302.51</t>
  </si>
  <si>
    <t>EMP1575</t>
  </si>
  <si>
    <t>87816.61</t>
  </si>
  <si>
    <t>EMP1576</t>
  </si>
  <si>
    <t>70750.38</t>
  </si>
  <si>
    <t>EMP1577</t>
  </si>
  <si>
    <t>EMP1578</t>
  </si>
  <si>
    <t>97978.36</t>
  </si>
  <si>
    <t>EMP1579</t>
  </si>
  <si>
    <t>107172.8</t>
  </si>
  <si>
    <t>EMP1580</t>
  </si>
  <si>
    <t>56126.46</t>
  </si>
  <si>
    <t>EMP1581</t>
  </si>
  <si>
    <t>78534.29</t>
  </si>
  <si>
    <t>EMP1582</t>
  </si>
  <si>
    <t>EMP1583</t>
  </si>
  <si>
    <t>114963.34</t>
  </si>
  <si>
    <t>EMP1584</t>
  </si>
  <si>
    <t>77657.93</t>
  </si>
  <si>
    <t>EMP1585</t>
  </si>
  <si>
    <t>77369.48</t>
  </si>
  <si>
    <t>EMP1586</t>
  </si>
  <si>
    <t>76119.14</t>
  </si>
  <si>
    <t>EMP1587</t>
  </si>
  <si>
    <t>77585.72</t>
  </si>
  <si>
    <t>EMP1588</t>
  </si>
  <si>
    <t>74069.62</t>
  </si>
  <si>
    <t>EMP1589</t>
  </si>
  <si>
    <t>67691.92</t>
  </si>
  <si>
    <t>EMP1590</t>
  </si>
  <si>
    <t>70345.69</t>
  </si>
  <si>
    <t>EMP1591</t>
  </si>
  <si>
    <t>74999.69</t>
  </si>
  <si>
    <t>EMP1592</t>
  </si>
  <si>
    <t>72245.02</t>
  </si>
  <si>
    <t>EMP1593</t>
  </si>
  <si>
    <t>106538.98</t>
  </si>
  <si>
    <t>EMP1594</t>
  </si>
  <si>
    <t>101787.14</t>
  </si>
  <si>
    <t>EMP1595</t>
  </si>
  <si>
    <t>83596.78</t>
  </si>
  <si>
    <t>EMP1596</t>
  </si>
  <si>
    <t>92463.94</t>
  </si>
  <si>
    <t>EMP1597</t>
  </si>
  <si>
    <t>93863.32</t>
  </si>
  <si>
    <t>EMP1598</t>
  </si>
  <si>
    <t>78359.41</t>
  </si>
  <si>
    <t>EMP1599</t>
  </si>
  <si>
    <t>95773.57</t>
  </si>
  <si>
    <t>EMP1600</t>
  </si>
  <si>
    <t>82529.08</t>
  </si>
  <si>
    <t>EMP1601</t>
  </si>
  <si>
    <t>109358.73</t>
  </si>
  <si>
    <t>EMP1602</t>
  </si>
  <si>
    <t>89645.01</t>
  </si>
  <si>
    <t>EMP1603</t>
  </si>
  <si>
    <t>84134.95</t>
  </si>
  <si>
    <t>EMP1604</t>
  </si>
  <si>
    <t>113540.83</t>
  </si>
  <si>
    <t>EMP1605</t>
  </si>
  <si>
    <t>57225.75</t>
  </si>
  <si>
    <t>EMP1606</t>
  </si>
  <si>
    <t>76366.17</t>
  </si>
  <si>
    <t>EMP1607</t>
  </si>
  <si>
    <t>78408.95</t>
  </si>
  <si>
    <t>EMP1608</t>
  </si>
  <si>
    <t>111742.4</t>
  </si>
  <si>
    <t>EMP1609</t>
  </si>
  <si>
    <t>60516.83</t>
  </si>
  <si>
    <t>EMP1610</t>
  </si>
  <si>
    <t>83706.17</t>
  </si>
  <si>
    <t>EMP1611</t>
  </si>
  <si>
    <t>67056.92</t>
  </si>
  <si>
    <t>EMP1612</t>
  </si>
  <si>
    <t>90058.85</t>
  </si>
  <si>
    <t>EMP1613</t>
  </si>
  <si>
    <t>94633.59</t>
  </si>
  <si>
    <t>EMP1614</t>
  </si>
  <si>
    <t>110711.17</t>
  </si>
  <si>
    <t>EMP1615</t>
  </si>
  <si>
    <t>96175.41</t>
  </si>
  <si>
    <t>EMP1616</t>
  </si>
  <si>
    <t>76474.79</t>
  </si>
  <si>
    <t>EMP1617</t>
  </si>
  <si>
    <t>107855.99</t>
  </si>
  <si>
    <t>EMP1618</t>
  </si>
  <si>
    <t>104870.78</t>
  </si>
  <si>
    <t>EMP1619</t>
  </si>
  <si>
    <t>EMP1620</t>
  </si>
  <si>
    <t>87087.16</t>
  </si>
  <si>
    <t>EMP1621</t>
  </si>
  <si>
    <t>108603.34</t>
  </si>
  <si>
    <t>EMP1622</t>
  </si>
  <si>
    <t>55867.23</t>
  </si>
  <si>
    <t>EMP1623</t>
  </si>
  <si>
    <t>105259.57</t>
  </si>
  <si>
    <t>EMP1624</t>
  </si>
  <si>
    <t>98143.67</t>
  </si>
  <si>
    <t>EMP1625</t>
  </si>
  <si>
    <t>67754.29</t>
  </si>
  <si>
    <t>EMP1626</t>
  </si>
  <si>
    <t>77821.79</t>
  </si>
  <si>
    <t>EMP1627</t>
  </si>
  <si>
    <t>67764.44</t>
  </si>
  <si>
    <t>EMP1628</t>
  </si>
  <si>
    <t>102346.99</t>
  </si>
  <si>
    <t>EMP1629</t>
  </si>
  <si>
    <t>73690.65</t>
  </si>
  <si>
    <t>EMP1630</t>
  </si>
  <si>
    <t>56376.2</t>
  </si>
  <si>
    <t>EMP1631</t>
  </si>
  <si>
    <t>55602.78</t>
  </si>
  <si>
    <t>EMP1632</t>
  </si>
  <si>
    <t>99812.41</t>
  </si>
  <si>
    <t>EMP1633</t>
  </si>
  <si>
    <t>95981.9</t>
  </si>
  <si>
    <t>EMP1634</t>
  </si>
  <si>
    <t>98891.48</t>
  </si>
  <si>
    <t>EMP1635</t>
  </si>
  <si>
    <t>56079</t>
  </si>
  <si>
    <t>EMP1636</t>
  </si>
  <si>
    <t>EMP1637</t>
  </si>
  <si>
    <t>89137.97</t>
  </si>
  <si>
    <t>EMP1638</t>
  </si>
  <si>
    <t>115079.97</t>
  </si>
  <si>
    <t>EMP1639</t>
  </si>
  <si>
    <t>55067.02</t>
  </si>
  <si>
    <t>EMP1640</t>
  </si>
  <si>
    <t>98593.43</t>
  </si>
  <si>
    <t>EMP1641</t>
  </si>
  <si>
    <t>112756.67</t>
  </si>
  <si>
    <t>EMP1642</t>
  </si>
  <si>
    <t>105205.92</t>
  </si>
  <si>
    <t>EMP1643</t>
  </si>
  <si>
    <t>50680.62</t>
  </si>
  <si>
    <t>EMP1644</t>
  </si>
  <si>
    <t>107475.23</t>
  </si>
  <si>
    <t>EMP1645</t>
  </si>
  <si>
    <t>68835.3</t>
  </si>
  <si>
    <t>EMP1646</t>
  </si>
  <si>
    <t>66943.96</t>
  </si>
  <si>
    <t>EMP1647</t>
  </si>
  <si>
    <t>104525.69</t>
  </si>
  <si>
    <t>EMP1648</t>
  </si>
  <si>
    <t>109360.74</t>
  </si>
  <si>
    <t>EMP1649</t>
  </si>
  <si>
    <t>118907.63</t>
  </si>
  <si>
    <t>EMP1650</t>
  </si>
  <si>
    <t>86801.48</t>
  </si>
  <si>
    <t>EMP1651</t>
  </si>
  <si>
    <t>62236.03</t>
  </si>
  <si>
    <t>EMP1652</t>
  </si>
  <si>
    <t>64752.67</t>
  </si>
  <si>
    <t>EMP1653</t>
  </si>
  <si>
    <t>68399.43</t>
  </si>
  <si>
    <t>EMP1654</t>
  </si>
  <si>
    <t>79336.51</t>
  </si>
  <si>
    <t>EMP1655</t>
  </si>
  <si>
    <t>59179.74</t>
  </si>
  <si>
    <t>EMP1656</t>
  </si>
  <si>
    <t>80255.31</t>
  </si>
  <si>
    <t>EMP1657</t>
  </si>
  <si>
    <t>84971.85</t>
  </si>
  <si>
    <t>EMP1658</t>
  </si>
  <si>
    <t>89748.42</t>
  </si>
  <si>
    <t>EMP1659</t>
  </si>
  <si>
    <t>94090.35</t>
  </si>
  <si>
    <t>EMP1660</t>
  </si>
  <si>
    <t>115229.12</t>
  </si>
  <si>
    <t>EMP1661</t>
  </si>
  <si>
    <t>63927.07</t>
  </si>
  <si>
    <t>EMP1662</t>
  </si>
  <si>
    <t>84124.56</t>
  </si>
  <si>
    <t>EMP1663</t>
  </si>
  <si>
    <t>116961.61</t>
  </si>
  <si>
    <t>EMP1664</t>
  </si>
  <si>
    <t>109423.05</t>
  </si>
  <si>
    <t>EMP1665</t>
  </si>
  <si>
    <t>70394.94</t>
  </si>
  <si>
    <t>EMP1666</t>
  </si>
  <si>
    <t>86465.5</t>
  </si>
  <si>
    <t>EMP1667</t>
  </si>
  <si>
    <t>96341.58</t>
  </si>
  <si>
    <t>EMP1668</t>
  </si>
  <si>
    <t>54465.47</t>
  </si>
  <si>
    <t>EMP1669</t>
  </si>
  <si>
    <t>68371.66</t>
  </si>
  <si>
    <t>EMP1670</t>
  </si>
  <si>
    <t>81021.23</t>
  </si>
  <si>
    <t>EMP1671</t>
  </si>
  <si>
    <t>114069.07</t>
  </si>
  <si>
    <t>EMP1672</t>
  </si>
  <si>
    <t>117867.96</t>
  </si>
  <si>
    <t>EMP1673</t>
  </si>
  <si>
    <t>94509.58</t>
  </si>
  <si>
    <t>EMP1674</t>
  </si>
  <si>
    <t>56268.78</t>
  </si>
  <si>
    <t>EMP1675</t>
  </si>
  <si>
    <t>86632.14</t>
  </si>
  <si>
    <t>EMP1676</t>
  </si>
  <si>
    <t>98143.9</t>
  </si>
  <si>
    <t>EMP1677</t>
  </si>
  <si>
    <t>EMP1678</t>
  </si>
  <si>
    <t>67492.73</t>
  </si>
  <si>
    <t>EMP1679</t>
  </si>
  <si>
    <t>93772.61</t>
  </si>
  <si>
    <t>EMP1680</t>
  </si>
  <si>
    <t>68817.54</t>
  </si>
  <si>
    <t>EMP1681</t>
  </si>
  <si>
    <t>81874.01</t>
  </si>
  <si>
    <t>EMP1682</t>
  </si>
  <si>
    <t>117880.14</t>
  </si>
  <si>
    <t>EMP1683</t>
  </si>
  <si>
    <t>100897.49</t>
  </si>
  <si>
    <t>EMP1684</t>
  </si>
  <si>
    <t>71810.37</t>
  </si>
  <si>
    <t>EMP1685</t>
  </si>
  <si>
    <t>109048.24</t>
  </si>
  <si>
    <t>EMP1686</t>
  </si>
  <si>
    <t>62712.26</t>
  </si>
  <si>
    <t>EMP1687</t>
  </si>
  <si>
    <t>76935.85</t>
  </si>
  <si>
    <t>EMP1688</t>
  </si>
  <si>
    <t>56577.22</t>
  </si>
  <si>
    <t>EMP1689</t>
  </si>
  <si>
    <t>61102.8</t>
  </si>
  <si>
    <t>EMP1690</t>
  </si>
  <si>
    <t>75229.87</t>
  </si>
  <si>
    <t>EMP1691</t>
  </si>
  <si>
    <t>51054.74</t>
  </si>
  <si>
    <t>EMP1692</t>
  </si>
  <si>
    <t>104843.27</t>
  </si>
  <si>
    <t>EMP1693</t>
  </si>
  <si>
    <t>56398.11</t>
  </si>
  <si>
    <t>EMP1694</t>
  </si>
  <si>
    <t>87544.73</t>
  </si>
  <si>
    <t>EMP1695</t>
  </si>
  <si>
    <t>74312.24</t>
  </si>
  <si>
    <t>EMP1696</t>
  </si>
  <si>
    <t>59431.25</t>
  </si>
  <si>
    <t>EMP1697</t>
  </si>
  <si>
    <t>84306.44</t>
  </si>
  <si>
    <t>EMP1698</t>
  </si>
  <si>
    <t>108194.47</t>
  </si>
  <si>
    <t>EMP1699</t>
  </si>
  <si>
    <t>107359.3</t>
  </si>
  <si>
    <t>EMP1700</t>
  </si>
  <si>
    <t>EMP1701</t>
  </si>
  <si>
    <t>96080.26</t>
  </si>
  <si>
    <t>EMP1702</t>
  </si>
  <si>
    <t>88602.75</t>
  </si>
  <si>
    <t>EMP1703</t>
  </si>
  <si>
    <t>86624.04</t>
  </si>
  <si>
    <t>EMP1704</t>
  </si>
  <si>
    <t>63413.16</t>
  </si>
  <si>
    <t>EMP1705</t>
  </si>
  <si>
    <t>67915.7</t>
  </si>
  <si>
    <t>EMP1706</t>
  </si>
  <si>
    <t>108245.44</t>
  </si>
  <si>
    <t>EMP1707</t>
  </si>
  <si>
    <t>75834.81</t>
  </si>
  <si>
    <t>EMP1708</t>
  </si>
  <si>
    <t>71273.32</t>
  </si>
  <si>
    <t>EMP1709</t>
  </si>
  <si>
    <t>63262.23</t>
  </si>
  <si>
    <t>EMP1710</t>
  </si>
  <si>
    <t>89069.91</t>
  </si>
  <si>
    <t>EMP1711</t>
  </si>
  <si>
    <t>57287.17</t>
  </si>
  <si>
    <t>EMP1712</t>
  </si>
  <si>
    <t>119890.35</t>
  </si>
  <si>
    <t>EMP1713</t>
  </si>
  <si>
    <t>103492.91</t>
  </si>
  <si>
    <t>EMP1714</t>
  </si>
  <si>
    <t>76254.42</t>
  </si>
  <si>
    <t>EMP1715</t>
  </si>
  <si>
    <t>100841.93</t>
  </si>
  <si>
    <t>EMP1716</t>
  </si>
  <si>
    <t>118907.61</t>
  </si>
  <si>
    <t>EMP1717</t>
  </si>
  <si>
    <t>88942.62</t>
  </si>
  <si>
    <t>EMP1718</t>
  </si>
  <si>
    <t>59688.57</t>
  </si>
  <si>
    <t>EMP1719</t>
  </si>
  <si>
    <t>77985.88</t>
  </si>
  <si>
    <t>EMP1720</t>
  </si>
  <si>
    <t>112931.69</t>
  </si>
  <si>
    <t>EMP1721</t>
  </si>
  <si>
    <t>106583.88</t>
  </si>
  <si>
    <t>EMP1722</t>
  </si>
  <si>
    <t>58437.84</t>
  </si>
  <si>
    <t>EMP1723</t>
  </si>
  <si>
    <t>72352.16</t>
  </si>
  <si>
    <t>EMP1724</t>
  </si>
  <si>
    <t>97154.47</t>
  </si>
  <si>
    <t>EMP1725</t>
  </si>
  <si>
    <t>80235.5</t>
  </si>
  <si>
    <t>EMP1726</t>
  </si>
  <si>
    <t>102172.05</t>
  </si>
  <si>
    <t>EMP1727</t>
  </si>
  <si>
    <t>98850.94</t>
  </si>
  <si>
    <t>EMP1728</t>
  </si>
  <si>
    <t>89993.15</t>
  </si>
  <si>
    <t>EMP1729</t>
  </si>
  <si>
    <t>97931.66</t>
  </si>
  <si>
    <t>EMP1730</t>
  </si>
  <si>
    <t>72451.69</t>
  </si>
  <si>
    <t>EMP1731</t>
  </si>
  <si>
    <t>119311.14</t>
  </si>
  <si>
    <t>EMP1732</t>
  </si>
  <si>
    <t>76167.46</t>
  </si>
  <si>
    <t>EMP1733</t>
  </si>
  <si>
    <t>114871.08</t>
  </si>
  <si>
    <t>EMP1734</t>
  </si>
  <si>
    <t>81504.31</t>
  </si>
  <si>
    <t>EMP1735</t>
  </si>
  <si>
    <t>102524.86</t>
  </si>
  <si>
    <t>EMP1736</t>
  </si>
  <si>
    <t>53043.74</t>
  </si>
  <si>
    <t>EMP1737</t>
  </si>
  <si>
    <t>82547.26</t>
  </si>
  <si>
    <t>EMP1738</t>
  </si>
  <si>
    <t>113900.81</t>
  </si>
  <si>
    <t>EMP1739</t>
  </si>
  <si>
    <t>118585.5</t>
  </si>
  <si>
    <t>EMP1740</t>
  </si>
  <si>
    <t>63049.22</t>
  </si>
  <si>
    <t>EMP1741</t>
  </si>
  <si>
    <t>114558.91</t>
  </si>
  <si>
    <t>EMP1742</t>
  </si>
  <si>
    <t>97901.79</t>
  </si>
  <si>
    <t>EMP1743</t>
  </si>
  <si>
    <t>68037.56</t>
  </si>
  <si>
    <t>EMP1744</t>
  </si>
  <si>
    <t>112802.27</t>
  </si>
  <si>
    <t>EMP1745</t>
  </si>
  <si>
    <t>93786.72</t>
  </si>
  <si>
    <t>EMP1746</t>
  </si>
  <si>
    <t>73049.93</t>
  </si>
  <si>
    <t>EMP1747</t>
  </si>
  <si>
    <t>64161.72</t>
  </si>
  <si>
    <t>EMP1748</t>
  </si>
  <si>
    <t>72224.73</t>
  </si>
  <si>
    <t>EMP1749</t>
  </si>
  <si>
    <t>103580.45</t>
  </si>
  <si>
    <t>EMP1750</t>
  </si>
  <si>
    <t>112589.11</t>
  </si>
  <si>
    <t>EMP1751</t>
  </si>
  <si>
    <t>51833.88</t>
  </si>
  <si>
    <t>EMP1752</t>
  </si>
  <si>
    <t>66252.78</t>
  </si>
  <si>
    <t>EMP1753</t>
  </si>
  <si>
    <t>109229.68</t>
  </si>
  <si>
    <t>EMP1754</t>
  </si>
  <si>
    <t>61465.05</t>
  </si>
  <si>
    <t>EMP1755</t>
  </si>
  <si>
    <t>96993.74</t>
  </si>
  <si>
    <t>EMP1756</t>
  </si>
  <si>
    <t>98150.39</t>
  </si>
  <si>
    <t>EMP1757</t>
  </si>
  <si>
    <t>107703</t>
  </si>
  <si>
    <t>EMP1758</t>
  </si>
  <si>
    <t>86766.14</t>
  </si>
  <si>
    <t>EMP1759</t>
  </si>
  <si>
    <t>111443.69</t>
  </si>
  <si>
    <t>EMP1760</t>
  </si>
  <si>
    <t>89039.07</t>
  </si>
  <si>
    <t>EMP1761</t>
  </si>
  <si>
    <t>71318.79</t>
  </si>
  <si>
    <t>EMP1762</t>
  </si>
  <si>
    <t>98296.71</t>
  </si>
  <si>
    <t>EMP1763</t>
  </si>
  <si>
    <t>62584</t>
  </si>
  <si>
    <t>EMP1764</t>
  </si>
  <si>
    <t>62521.5</t>
  </si>
  <si>
    <t>EMP1765</t>
  </si>
  <si>
    <t>95400.35</t>
  </si>
  <si>
    <t>EMP1766</t>
  </si>
  <si>
    <t>94385.07</t>
  </si>
  <si>
    <t>EMP1767</t>
  </si>
  <si>
    <t>76642.49</t>
  </si>
  <si>
    <t>EMP1768</t>
  </si>
  <si>
    <t>60122.52</t>
  </si>
  <si>
    <t>EMP1769</t>
  </si>
  <si>
    <t>117267.63</t>
  </si>
  <si>
    <t>EMP1770</t>
  </si>
  <si>
    <t>EMP1771</t>
  </si>
  <si>
    <t>84542.68</t>
  </si>
  <si>
    <t>EMP1772</t>
  </si>
  <si>
    <t>92007.15</t>
  </si>
  <si>
    <t>EMP1773</t>
  </si>
  <si>
    <t>62938.8</t>
  </si>
  <si>
    <t>EMP1774</t>
  </si>
  <si>
    <t>108661.01</t>
  </si>
  <si>
    <t>EMP1775</t>
  </si>
  <si>
    <t>97046.33</t>
  </si>
  <si>
    <t>EMP1776</t>
  </si>
  <si>
    <t>56518.84</t>
  </si>
  <si>
    <t>EMP1777</t>
  </si>
  <si>
    <t>70498.29</t>
  </si>
  <si>
    <t>EMP1778</t>
  </si>
  <si>
    <t>98708.06</t>
  </si>
  <si>
    <t>EMP1779</t>
  </si>
  <si>
    <t>83856.41</t>
  </si>
  <si>
    <t>EMP1780</t>
  </si>
  <si>
    <t>90259.99</t>
  </si>
  <si>
    <t>EMP1781</t>
  </si>
  <si>
    <t>94230.03</t>
  </si>
  <si>
    <t>EMP1782</t>
  </si>
  <si>
    <t>50110.66</t>
  </si>
  <si>
    <t>EMP1783</t>
  </si>
  <si>
    <t>73365.46</t>
  </si>
  <si>
    <t>EMP1784</t>
  </si>
  <si>
    <t>67809.23</t>
  </si>
  <si>
    <t>EMP1785</t>
  </si>
  <si>
    <t>98008.51</t>
  </si>
  <si>
    <t>EMP1786</t>
  </si>
  <si>
    <t>83537.58</t>
  </si>
  <si>
    <t>EMP1787</t>
  </si>
  <si>
    <t>112444.08</t>
  </si>
  <si>
    <t>EMP1788</t>
  </si>
  <si>
    <t>86475.13</t>
  </si>
  <si>
    <t>EMP1789</t>
  </si>
  <si>
    <t>97984.53</t>
  </si>
  <si>
    <t>EMP1790</t>
  </si>
  <si>
    <t>118853.31</t>
  </si>
  <si>
    <t>EMP1791</t>
  </si>
  <si>
    <t>58179.12</t>
  </si>
  <si>
    <t>EMP1792</t>
  </si>
  <si>
    <t>56075.84</t>
  </si>
  <si>
    <t>EMP1793</t>
  </si>
  <si>
    <t>62250.89</t>
  </si>
  <si>
    <t>EMP1794</t>
  </si>
  <si>
    <t>105931.77</t>
  </si>
  <si>
    <t>EMP1795</t>
  </si>
  <si>
    <t>86653.96</t>
  </si>
  <si>
    <t>EMP1796</t>
  </si>
  <si>
    <t>100719.94</t>
  </si>
  <si>
    <t>EMP1797</t>
  </si>
  <si>
    <t>91600.13</t>
  </si>
  <si>
    <t>EMP1798</t>
  </si>
  <si>
    <t>71873.66</t>
  </si>
  <si>
    <t>EMP1799</t>
  </si>
  <si>
    <t>69365.47</t>
  </si>
  <si>
    <t>EMP1800</t>
  </si>
  <si>
    <t>58012.23</t>
  </si>
  <si>
    <t>EMP1801</t>
  </si>
  <si>
    <t>68973.65</t>
  </si>
  <si>
    <t>EMP1802</t>
  </si>
  <si>
    <t>92928.4</t>
  </si>
  <si>
    <t>EMP1803</t>
  </si>
  <si>
    <t>53531.92</t>
  </si>
  <si>
    <t>EMP1804</t>
  </si>
  <si>
    <t>112389.31</t>
  </si>
  <si>
    <t>EMP1805</t>
  </si>
  <si>
    <t>63870.3</t>
  </si>
  <si>
    <t>EMP1806</t>
  </si>
  <si>
    <t>106164.53</t>
  </si>
  <si>
    <t>EMP1807</t>
  </si>
  <si>
    <t>103654.54</t>
  </si>
  <si>
    <t>EMP1808</t>
  </si>
  <si>
    <t>62834.72</t>
  </si>
  <si>
    <t>EMP1809</t>
  </si>
  <si>
    <t>83273.41</t>
  </si>
  <si>
    <t>EMP1810</t>
  </si>
  <si>
    <t>58917.58</t>
  </si>
  <si>
    <t>EMP1811</t>
  </si>
  <si>
    <t>71148.27</t>
  </si>
  <si>
    <t>EMP1812</t>
  </si>
  <si>
    <t>118172.42</t>
  </si>
  <si>
    <t>EMP1813</t>
  </si>
  <si>
    <t>118614.37</t>
  </si>
  <si>
    <t>EMP1814</t>
  </si>
  <si>
    <t>96872.36</t>
  </si>
  <si>
    <t>EMP1815</t>
  </si>
  <si>
    <t>88856.14</t>
  </si>
  <si>
    <t>EMP1816</t>
  </si>
  <si>
    <t>97985.61</t>
  </si>
  <si>
    <t>EMP1817</t>
  </si>
  <si>
    <t>56337.31</t>
  </si>
  <si>
    <t>EMP1818</t>
  </si>
  <si>
    <t>70405.23</t>
  </si>
  <si>
    <t>EMP1819</t>
  </si>
  <si>
    <t>89919.35</t>
  </si>
  <si>
    <t>EMP1820</t>
  </si>
  <si>
    <t>50568.35</t>
  </si>
  <si>
    <t>EMP1821</t>
  </si>
  <si>
    <t>EMP1822</t>
  </si>
  <si>
    <t>99155.53</t>
  </si>
  <si>
    <t>EMP1823</t>
  </si>
  <si>
    <t>64785.13</t>
  </si>
  <si>
    <t>EMP1824</t>
  </si>
  <si>
    <t>79206.48</t>
  </si>
  <si>
    <t>EMP1825</t>
  </si>
  <si>
    <t>60079.71</t>
  </si>
  <si>
    <t>EMP1826</t>
  </si>
  <si>
    <t>79109.88</t>
  </si>
  <si>
    <t>EMP1827</t>
  </si>
  <si>
    <t>88643.5</t>
  </si>
  <si>
    <t>EMP1828</t>
  </si>
  <si>
    <t>90455.7</t>
  </si>
  <si>
    <t>EMP1829</t>
  </si>
  <si>
    <t>75687.9</t>
  </si>
  <si>
    <t>EMP1830</t>
  </si>
  <si>
    <t>55604.42</t>
  </si>
  <si>
    <t>EMP1831</t>
  </si>
  <si>
    <t>92704.94</t>
  </si>
  <si>
    <t>EMP1832</t>
  </si>
  <si>
    <t>113250.97</t>
  </si>
  <si>
    <t>EMP1833</t>
  </si>
  <si>
    <t>101367.02</t>
  </si>
  <si>
    <t>EMP1834</t>
  </si>
  <si>
    <t>102459.77</t>
  </si>
  <si>
    <t>EMP1835</t>
  </si>
  <si>
    <t>90100.2</t>
  </si>
  <si>
    <t>EMP1836</t>
  </si>
  <si>
    <t>58877.49</t>
  </si>
  <si>
    <t>EMP1837</t>
  </si>
  <si>
    <t>EMP1838</t>
  </si>
  <si>
    <t>96140.89</t>
  </si>
  <si>
    <t>EMP1839</t>
  </si>
  <si>
    <t>105956.04</t>
  </si>
  <si>
    <t>EMP1840</t>
  </si>
  <si>
    <t>84716.38</t>
  </si>
  <si>
    <t>EMP1841</t>
  </si>
  <si>
    <t>61709.83</t>
  </si>
  <si>
    <t>EMP1842</t>
  </si>
  <si>
    <t>61732.03</t>
  </si>
  <si>
    <t>EMP1843</t>
  </si>
  <si>
    <t>97845.7</t>
  </si>
  <si>
    <t>EMP1844</t>
  </si>
  <si>
    <t>114905.58</t>
  </si>
  <si>
    <t>EMP1845</t>
  </si>
  <si>
    <t>94619.69</t>
  </si>
  <si>
    <t>EMP1846</t>
  </si>
  <si>
    <t>68696.15</t>
  </si>
  <si>
    <t>EMP1847</t>
  </si>
  <si>
    <t>97032.29</t>
  </si>
  <si>
    <t>EMP1848</t>
  </si>
  <si>
    <t>50593.33</t>
  </si>
  <si>
    <t>EMP1849</t>
  </si>
  <si>
    <t>74606.15</t>
  </si>
  <si>
    <t>EMP1850</t>
  </si>
  <si>
    <t>53981.73</t>
  </si>
  <si>
    <t>EMP1851</t>
  </si>
  <si>
    <t>56047.05</t>
  </si>
  <si>
    <t>EMP1852</t>
  </si>
  <si>
    <t>67733.5</t>
  </si>
  <si>
    <t>EMP1853</t>
  </si>
  <si>
    <t>103891.64</t>
  </si>
  <si>
    <t>EMP1854</t>
  </si>
  <si>
    <t>73285.83</t>
  </si>
  <si>
    <t>EMP1855</t>
  </si>
  <si>
    <t>92721.13</t>
  </si>
  <si>
    <t>EMP1856</t>
  </si>
  <si>
    <t>92977.64</t>
  </si>
  <si>
    <t>EMP1857</t>
  </si>
  <si>
    <t>89994.12</t>
  </si>
  <si>
    <t>EMP1858</t>
  </si>
  <si>
    <t>50060.73</t>
  </si>
  <si>
    <t>EMP1859</t>
  </si>
  <si>
    <t>90224.82</t>
  </si>
  <si>
    <t>EMP1860</t>
  </si>
  <si>
    <t>106859.3</t>
  </si>
  <si>
    <t>EMP1861</t>
  </si>
  <si>
    <t>89707.07</t>
  </si>
  <si>
    <t>EMP1862</t>
  </si>
  <si>
    <t>94259.08</t>
  </si>
  <si>
    <t>EMP1863</t>
  </si>
  <si>
    <t>82174.75</t>
  </si>
  <si>
    <t>EMP1864</t>
  </si>
  <si>
    <t>63370.22</t>
  </si>
  <si>
    <t>EMP1865</t>
  </si>
  <si>
    <t>101472.69</t>
  </si>
  <si>
    <t>EMP1866</t>
  </si>
  <si>
    <t>77213.73</t>
  </si>
  <si>
    <t>EMP1867</t>
  </si>
  <si>
    <t>73749.96</t>
  </si>
  <si>
    <t>EMP1868</t>
  </si>
  <si>
    <t>86618.37</t>
  </si>
  <si>
    <t>EMP1869</t>
  </si>
  <si>
    <t>59911.33</t>
  </si>
  <si>
    <t>EMP1870</t>
  </si>
  <si>
    <t>59137.64</t>
  </si>
  <si>
    <t>EMP1871</t>
  </si>
  <si>
    <t>108474.65</t>
  </si>
  <si>
    <t>EMP1872</t>
  </si>
  <si>
    <t>54417.71</t>
  </si>
  <si>
    <t>EMP1873</t>
  </si>
  <si>
    <t>88211.94</t>
  </si>
  <si>
    <t>EMP1874</t>
  </si>
  <si>
    <t>58452.18</t>
  </si>
  <si>
    <t>EMP1875</t>
  </si>
  <si>
    <t>80706.28</t>
  </si>
  <si>
    <t>EMP1876</t>
  </si>
  <si>
    <t>EMP1877</t>
  </si>
  <si>
    <t>99471.89</t>
  </si>
  <si>
    <t>EMP1878</t>
  </si>
  <si>
    <t>64431.22</t>
  </si>
  <si>
    <t>EMP1879</t>
  </si>
  <si>
    <t>52633.48</t>
  </si>
  <si>
    <t>EMP1880</t>
  </si>
  <si>
    <t>79315.01</t>
  </si>
  <si>
    <t>EMP1881</t>
  </si>
  <si>
    <t>110391.17</t>
  </si>
  <si>
    <t>EMP1882</t>
  </si>
  <si>
    <t>53714.83</t>
  </si>
  <si>
    <t>EMP1883</t>
  </si>
  <si>
    <t>114587.11</t>
  </si>
  <si>
    <t>EMP1884</t>
  </si>
  <si>
    <t>93177.35</t>
  </si>
  <si>
    <t>EMP1885</t>
  </si>
  <si>
    <t>62312.13</t>
  </si>
  <si>
    <t>EMP1886</t>
  </si>
  <si>
    <t>81137.46</t>
  </si>
  <si>
    <t>EMP1887</t>
  </si>
  <si>
    <t>104528.27</t>
  </si>
  <si>
    <t>EMP1888</t>
  </si>
  <si>
    <t>112395.56</t>
  </si>
  <si>
    <t>EMP1889</t>
  </si>
  <si>
    <t>81849.36</t>
  </si>
  <si>
    <t>EMP1890</t>
  </si>
  <si>
    <t>118288.91</t>
  </si>
  <si>
    <t>EMP1891</t>
  </si>
  <si>
    <t>59555.1</t>
  </si>
  <si>
    <t>EMP1892</t>
  </si>
  <si>
    <t>70661.31</t>
  </si>
  <si>
    <t>EMP1893</t>
  </si>
  <si>
    <t>109988.16</t>
  </si>
  <si>
    <t>EMP1894</t>
  </si>
  <si>
    <t>101101.24</t>
  </si>
  <si>
    <t>EMP1895</t>
  </si>
  <si>
    <t>112427.58</t>
  </si>
  <si>
    <t>EMP1896</t>
  </si>
  <si>
    <t>119389.15</t>
  </si>
  <si>
    <t>EMP1897</t>
  </si>
  <si>
    <t>105861.23</t>
  </si>
  <si>
    <t>EMP1898</t>
  </si>
  <si>
    <t>50869.61</t>
  </si>
  <si>
    <t>EMP1899</t>
  </si>
  <si>
    <t>EMP1900</t>
  </si>
  <si>
    <t>90856.21</t>
  </si>
  <si>
    <t>EMP1901</t>
  </si>
  <si>
    <t>111008.63</t>
  </si>
  <si>
    <t>EMP1902</t>
  </si>
  <si>
    <t>52289.99</t>
  </si>
  <si>
    <t>EMP1903</t>
  </si>
  <si>
    <t>97926.56</t>
  </si>
  <si>
    <t>EMP1904</t>
  </si>
  <si>
    <t>53609.38</t>
  </si>
  <si>
    <t>EMP1905</t>
  </si>
  <si>
    <t>95372.09</t>
  </si>
  <si>
    <t>EMP1906</t>
  </si>
  <si>
    <t>95432.69</t>
  </si>
  <si>
    <t>EMP1907</t>
  </si>
  <si>
    <t>97615.87</t>
  </si>
  <si>
    <t>EMP1908</t>
  </si>
  <si>
    <t>86867.78</t>
  </si>
  <si>
    <t>EMP1909</t>
  </si>
  <si>
    <t>106615.71</t>
  </si>
  <si>
    <t>EMP1910</t>
  </si>
  <si>
    <t>112856.21</t>
  </si>
  <si>
    <t>EMP1911</t>
  </si>
  <si>
    <t>60356.78</t>
  </si>
  <si>
    <t>EMP1912</t>
  </si>
  <si>
    <t>117870.22</t>
  </si>
  <si>
    <t>EMP1913</t>
  </si>
  <si>
    <t>95127.91</t>
  </si>
  <si>
    <t>EMP1914</t>
  </si>
  <si>
    <t>78818.42</t>
  </si>
  <si>
    <t>EMP1915</t>
  </si>
  <si>
    <t>108933.55</t>
  </si>
  <si>
    <t>EMP1916</t>
  </si>
  <si>
    <t>68200.52</t>
  </si>
  <si>
    <t>EMP1917</t>
  </si>
  <si>
    <t>116934.97</t>
  </si>
  <si>
    <t>EMP1918</t>
  </si>
  <si>
    <t>99567.78</t>
  </si>
  <si>
    <t>EMP1919</t>
  </si>
  <si>
    <t>90216.76</t>
  </si>
  <si>
    <t>EMP1920</t>
  </si>
  <si>
    <t>96588.73</t>
  </si>
  <si>
    <t>EMP1921</t>
  </si>
  <si>
    <t>71109.18</t>
  </si>
  <si>
    <t>EMP1922</t>
  </si>
  <si>
    <t>50300.6</t>
  </si>
  <si>
    <t>EMP1923</t>
  </si>
  <si>
    <t>60295.84</t>
  </si>
  <si>
    <t>EMP1924</t>
  </si>
  <si>
    <t>113012.21</t>
  </si>
  <si>
    <t>EMP1925</t>
  </si>
  <si>
    <t>65425.54</t>
  </si>
  <si>
    <t>EMP1926</t>
  </si>
  <si>
    <t>86850.37</t>
  </si>
  <si>
    <t>EMP1927</t>
  </si>
  <si>
    <t>81182.07</t>
  </si>
  <si>
    <t>EMP1928</t>
  </si>
  <si>
    <t>92222.03</t>
  </si>
  <si>
    <t>EMP1929</t>
  </si>
  <si>
    <t>79934.83</t>
  </si>
  <si>
    <t>EMP1930</t>
  </si>
  <si>
    <t>111201.12</t>
  </si>
  <si>
    <t>EMP1931</t>
  </si>
  <si>
    <t>100960.05</t>
  </si>
  <si>
    <t>EMP1932</t>
  </si>
  <si>
    <t>64544.87</t>
  </si>
  <si>
    <t>EMP1933</t>
  </si>
  <si>
    <t>78662.24</t>
  </si>
  <si>
    <t>EMP1934</t>
  </si>
  <si>
    <t>102867.06</t>
  </si>
  <si>
    <t>EMP1935</t>
  </si>
  <si>
    <t>107595.95</t>
  </si>
  <si>
    <t>EMP1936</t>
  </si>
  <si>
    <t>EMP1937</t>
  </si>
  <si>
    <t>95766.91</t>
  </si>
  <si>
    <t>EMP1938</t>
  </si>
  <si>
    <t>51990.98</t>
  </si>
  <si>
    <t>EMP1939</t>
  </si>
  <si>
    <t>83634.01</t>
  </si>
  <si>
    <t>EMP1940</t>
  </si>
  <si>
    <t>EMP1941</t>
  </si>
  <si>
    <t>82273.08</t>
  </si>
  <si>
    <t>EMP1942</t>
  </si>
  <si>
    <t>94537.3</t>
  </si>
  <si>
    <t>EMP1943</t>
  </si>
  <si>
    <t>85970.65</t>
  </si>
  <si>
    <t>EMP1944</t>
  </si>
  <si>
    <t>111071.02</t>
  </si>
  <si>
    <t>EMP1945</t>
  </si>
  <si>
    <t>56708.34</t>
  </si>
  <si>
    <t>EMP1946</t>
  </si>
  <si>
    <t>104516.55</t>
  </si>
  <si>
    <t>EMP1947</t>
  </si>
  <si>
    <t>108210.15</t>
  </si>
  <si>
    <t>EMP1948</t>
  </si>
  <si>
    <t>EMP1949</t>
  </si>
  <si>
    <t>80935.65</t>
  </si>
  <si>
    <t>EMP1950</t>
  </si>
  <si>
    <t>107020.19</t>
  </si>
  <si>
    <t>EMP1951</t>
  </si>
  <si>
    <t>118677.67</t>
  </si>
  <si>
    <t>EMP1952</t>
  </si>
  <si>
    <t>63744.57</t>
  </si>
  <si>
    <t>EMP1953</t>
  </si>
  <si>
    <t>EMP1954</t>
  </si>
  <si>
    <t>62934.73</t>
  </si>
  <si>
    <t>EMP1955</t>
  </si>
  <si>
    <t>74654.23</t>
  </si>
  <si>
    <t>EMP1956</t>
  </si>
  <si>
    <t>EMP1957</t>
  </si>
  <si>
    <t>118150.59</t>
  </si>
  <si>
    <t>EMP1958</t>
  </si>
  <si>
    <t>91256.64</t>
  </si>
  <si>
    <t>EMP1959</t>
  </si>
  <si>
    <t>85997.57</t>
  </si>
  <si>
    <t>EMP1960</t>
  </si>
  <si>
    <t>84707.12</t>
  </si>
  <si>
    <t>EMP1961</t>
  </si>
  <si>
    <t>84559.9</t>
  </si>
  <si>
    <t>EMP1962</t>
  </si>
  <si>
    <t>81076.91</t>
  </si>
  <si>
    <t>EMP1963</t>
  </si>
  <si>
    <t>EMP1964</t>
  </si>
  <si>
    <t>97356.31</t>
  </si>
  <si>
    <t>EMP1965</t>
  </si>
  <si>
    <t>114770.32</t>
  </si>
  <si>
    <t>EMP1966</t>
  </si>
  <si>
    <t>109082.07</t>
  </si>
  <si>
    <t>EMP1967</t>
  </si>
  <si>
    <t>99944.57</t>
  </si>
  <si>
    <t>EMP1968</t>
  </si>
  <si>
    <t>116509.72</t>
  </si>
  <si>
    <t>EMP1969</t>
  </si>
  <si>
    <t>84253.9</t>
  </si>
  <si>
    <t>EMP1970</t>
  </si>
  <si>
    <t>54776.01</t>
  </si>
  <si>
    <t>EMP1971</t>
  </si>
  <si>
    <t>71192.68</t>
  </si>
  <si>
    <t>EMP1972</t>
  </si>
  <si>
    <t>96346.53</t>
  </si>
  <si>
    <t>EMP1973</t>
  </si>
  <si>
    <t>116680.63</t>
  </si>
  <si>
    <t>EMP1974</t>
  </si>
  <si>
    <t>76343.56</t>
  </si>
  <si>
    <t>EMP1975</t>
  </si>
  <si>
    <t>99424.14</t>
  </si>
  <si>
    <t>EMP1976</t>
  </si>
  <si>
    <t>57656.74</t>
  </si>
  <si>
    <t>EMP1977</t>
  </si>
  <si>
    <t>77396.94</t>
  </si>
  <si>
    <t>EMP1978</t>
  </si>
  <si>
    <t>54299.68</t>
  </si>
  <si>
    <t>EMP1979</t>
  </si>
  <si>
    <t>103563.58</t>
  </si>
  <si>
    <t>EMP1980</t>
  </si>
  <si>
    <t>74588.85</t>
  </si>
  <si>
    <t>EMP1981</t>
  </si>
  <si>
    <t>113727.23</t>
  </si>
  <si>
    <t>EMP1982</t>
  </si>
  <si>
    <t>72828.18</t>
  </si>
  <si>
    <t>EMP1983</t>
  </si>
  <si>
    <t>98717.09</t>
  </si>
  <si>
    <t>EMP1984</t>
  </si>
  <si>
    <t>56840.8</t>
  </si>
  <si>
    <t>EMP1985</t>
  </si>
  <si>
    <t>61663.91</t>
  </si>
  <si>
    <t>EMP1986</t>
  </si>
  <si>
    <t>109523.4</t>
  </si>
  <si>
    <t>EMP1987</t>
  </si>
  <si>
    <t>65812.02</t>
  </si>
  <si>
    <t>EMP1988</t>
  </si>
  <si>
    <t>54708.88</t>
  </si>
  <si>
    <t>EMP1989</t>
  </si>
  <si>
    <t>107661.73</t>
  </si>
  <si>
    <t>EMP1990</t>
  </si>
  <si>
    <t>79002</t>
  </si>
  <si>
    <t>EMP1991</t>
  </si>
  <si>
    <t>86135.69</t>
  </si>
  <si>
    <t>EMP1992</t>
  </si>
  <si>
    <t>115601.4</t>
  </si>
  <si>
    <t>EMP1993</t>
  </si>
  <si>
    <t>64045.36</t>
  </si>
  <si>
    <t>EMP1994</t>
  </si>
  <si>
    <t>80477.21</t>
  </si>
  <si>
    <t>EMP1995</t>
  </si>
  <si>
    <t>61240.9</t>
  </si>
  <si>
    <t>EMP1996</t>
  </si>
  <si>
    <t>51939.29</t>
  </si>
  <si>
    <t>EMP1997</t>
  </si>
  <si>
    <t>95284.54</t>
  </si>
  <si>
    <t>EMP1998</t>
  </si>
  <si>
    <t>106247.67</t>
  </si>
  <si>
    <t>EMP1999</t>
  </si>
  <si>
    <t>110170.88</t>
  </si>
  <si>
    <t>EMP2000</t>
  </si>
  <si>
    <t>EMP2001</t>
  </si>
  <si>
    <t>EMP2002</t>
  </si>
  <si>
    <t>EMP2003</t>
  </si>
  <si>
    <t>EMP2004</t>
  </si>
  <si>
    <t>EMP2005</t>
  </si>
  <si>
    <t>EMP2006</t>
  </si>
  <si>
    <t>EMP2007</t>
  </si>
  <si>
    <t>EMP2008</t>
  </si>
  <si>
    <t>EMP2009</t>
  </si>
  <si>
    <t>EMP2010</t>
  </si>
  <si>
    <t>EMP2011</t>
  </si>
  <si>
    <t>EMP2012</t>
  </si>
  <si>
    <t>EMP2013</t>
  </si>
  <si>
    <t>EMP2014</t>
  </si>
  <si>
    <t>EMP2015</t>
  </si>
  <si>
    <t>EMP2016</t>
  </si>
  <si>
    <t>EMP2017</t>
  </si>
  <si>
    <t>EMP2018</t>
  </si>
  <si>
    <t>EMP2019</t>
  </si>
  <si>
    <t>Data Type</t>
  </si>
  <si>
    <t>Transformation Rule</t>
  </si>
  <si>
    <t>Valid Values</t>
  </si>
  <si>
    <t>Required?</t>
  </si>
  <si>
    <t>Edge Cases</t>
  </si>
  <si>
    <t>Notes</t>
  </si>
  <si>
    <t>Source Field</t>
  </si>
  <si>
    <t>Target Field</t>
  </si>
  <si>
    <t>Remote Work</t>
  </si>
  <si>
    <t>Performance Score</t>
  </si>
  <si>
    <t>email_isValid</t>
  </si>
  <si>
    <t>Text</t>
  </si>
  <si>
    <t>Must contain "@" and a "." in the domain</t>
  </si>
  <si>
    <t>Yes</t>
  </si>
  <si>
    <t>None Observed</t>
  </si>
  <si>
    <t>Dataset contains no invalid emails</t>
  </si>
  <si>
    <t>phone_isValid</t>
  </si>
  <si>
    <t>10 digit US numbers</t>
  </si>
  <si>
    <t>No</t>
  </si>
  <si>
    <t>Many non 10 digit numbers</t>
  </si>
  <si>
    <t>Invalid numbers converted to blanks</t>
  </si>
  <si>
    <t>EmployeeID</t>
  </si>
  <si>
    <t>must contain "EMP" + four digits</t>
  </si>
  <si>
    <t>All IDs must be unique and correctly formatted.</t>
  </si>
  <si>
    <t>FirstName</t>
  </si>
  <si>
    <t>LastName</t>
  </si>
  <si>
    <t>Department</t>
  </si>
  <si>
    <t>Region</t>
  </si>
  <si>
    <t>Alphabetic names</t>
  </si>
  <si>
    <t>All names already in proper casing</t>
  </si>
  <si>
    <t>Many blank values</t>
  </si>
  <si>
    <t>Integer</t>
  </si>
  <si>
    <t>Date</t>
  </si>
  <si>
    <t>Decimal</t>
  </si>
  <si>
    <t>Boolean</t>
  </si>
  <si>
    <t>Two digit number</t>
  </si>
  <si>
    <t>Leave blanks as blanks</t>
  </si>
  <si>
    <t>EmploymentStatus</t>
  </si>
  <si>
    <t>StartDate</t>
  </si>
  <si>
    <t>PerformanceScore</t>
  </si>
  <si>
    <t>RemoteWork</t>
  </si>
  <si>
    <t>TRIM; Retain original formatting(EMP####)</t>
  </si>
  <si>
    <t>TRIM; Proper case</t>
  </si>
  <si>
    <t>TRIM; Confirm valid two digit number, blank if invalid</t>
  </si>
  <si>
    <t>TRIM; LOWER</t>
  </si>
  <si>
    <t>TRIM; Strip "-"; if &lt;&gt; 10 digits -&gt; blank; format valid numbers (111) 111-1111</t>
  </si>
  <si>
    <t>Department name</t>
  </si>
  <si>
    <t>State name</t>
  </si>
  <si>
    <t>Always listed before the "-", text is already formatted correctly</t>
  </si>
  <si>
    <t>Always listed after the "-", text is already formatted correctly</t>
  </si>
  <si>
    <t>TRIM; Extract text after "-"</t>
  </si>
  <si>
    <t>TRIM; Extract text before "-"</t>
  </si>
  <si>
    <t>Values are already clean and properly cased</t>
  </si>
  <si>
    <t>TRIM; Retain original value</t>
  </si>
  <si>
    <t>join_date_isValid</t>
  </si>
  <si>
    <t>TRIM; Retain original value;Dates are already properly stored as excel dates</t>
  </si>
  <si>
    <t>Valid excel date values</t>
  </si>
  <si>
    <t>Values are already clean and in mm/dd/yyyy format</t>
  </si>
  <si>
    <t>decimal number</t>
  </si>
  <si>
    <t>24 cells contain the text "N/A"</t>
  </si>
  <si>
    <t>Check for valid number; 
If valid -&gt; retain original value
If invalid-&gt; blank</t>
  </si>
  <si>
    <t>No currency symbols or commas present; Invalid salaries converted to blanks</t>
  </si>
  <si>
    <t>"Excellent", "Good", "Average", "Poor"</t>
  </si>
  <si>
    <t>"Active", "Inactive", "Pending"</t>
  </si>
  <si>
    <t>Dataset contains no invalid entries</t>
  </si>
  <si>
    <t>TRIM; retain original value</t>
  </si>
  <si>
    <t>True, False</t>
  </si>
  <si>
    <t>salary_isValid</t>
  </si>
  <si>
    <t>Metrics</t>
  </si>
  <si>
    <t>Invalid emails</t>
  </si>
  <si>
    <t xml:space="preserve">Invalid phonenumbers </t>
  </si>
  <si>
    <t>Invalid salaries</t>
  </si>
  <si>
    <t>Invalid dates</t>
  </si>
  <si>
    <t>Summary</t>
  </si>
  <si>
    <t>duplicate_flag</t>
  </si>
  <si>
    <t>duplicates flagged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</si>
</sst>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wrapText="1"/>
    </xf>
    <xf numFmtId="2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29"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7FAD2A5-CA15-4890-BBCD-D93073830205}" autoFormatId="16" applyNumberFormats="0" applyBorderFormats="0" applyFontFormats="0" applyPatternFormats="0" applyAlignmentFormats="0" applyWidthHeightFormats="0">
  <queryTableRefresh nextId="13">
    <queryTableFields count="12">
      <queryTableField id="1" name="Employee_ID" tableColumnId="1"/>
      <queryTableField id="2" name="First_Name" tableColumnId="2"/>
      <queryTableField id="3" name="Last_Name" tableColumnId="3"/>
      <queryTableField id="4" name="Age" tableColumnId="4"/>
      <queryTableField id="5" name="Department_Region" tableColumnId="5"/>
      <queryTableField id="6" name="Status" tableColumnId="6"/>
      <queryTableField id="7" name="Join_Date" tableColumnId="7"/>
      <queryTableField id="8" name="Salary" tableColumnId="8"/>
      <queryTableField id="9" name="Email" tableColumnId="9"/>
      <queryTableField id="10" name="Phone" tableColumnId="10"/>
      <queryTableField id="11" name="Performance_Score" tableColumnId="11"/>
      <queryTableField id="12" name="Remote_Work" tableColumnId="12"/>
    </queryTableFields>
  </queryTableRefresh>
</queryTable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4BB1AAC-B003-4D4A-8F48-D8B8080B80AE}" name="data_map" displayName="data_map" ref="A1:H14" totalsRowShown="0" headerRowDxfId="16">
  <autoFilter ref="A1:H14" xr:uid="{A4BB1AAC-B003-4D4A-8F48-D8B8080B80AE}"/>
  <tableColumns count="8">
    <tableColumn id="9" xr3:uid="{5A6CE9E3-CB94-48FA-A189-FCC6E27D44F6}" name="Target Field"/>
    <tableColumn id="1" xr3:uid="{B6519D79-DBAC-4A75-BEC9-146730F3C5BE}" name="Source Field"/>
    <tableColumn id="3" xr3:uid="{77B7CA0B-D1A1-471B-8DB1-55D6C3DE7A20}" name="Data Type"/>
    <tableColumn id="4" xr3:uid="{087009F9-CF8D-4AA6-8B70-9416E7F6A162}" name="Transformation Rule"/>
    <tableColumn id="5" xr3:uid="{23057626-F290-47F8-92CD-F028A8E23339}" name="Valid Values"/>
    <tableColumn id="6" xr3:uid="{22E7BEA3-83F0-4C47-A12E-6647F83A583B}" name="Required?"/>
    <tableColumn id="7" xr3:uid="{62AFB16F-7BBD-4BFC-91EE-ED7180C7CA74}" name="Edge Cases"/>
    <tableColumn id="8" xr3:uid="{1C9BD0DE-54FD-4786-81CC-E7EC3DF72720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5AC59DB-58B9-49FD-8992-D9030A65003F}" name="new_emp_table" displayName="new_emp_table" ref="A1:M1021" totalsRowShown="0">
  <autoFilter ref="A1:M1021" xr:uid="{15AC59DB-58B9-49FD-8992-D9030A65003F}"/>
  <tableColumns count="13">
    <tableColumn id="1" xr3:uid="{86908231-87B6-4D24-AB0E-71B0B30CB421}" name="EmployeeID">
      <calculatedColumnFormula>TRIM(Employee_dataset[[#This Row],[Employee_ID]])</calculatedColumnFormula>
    </tableColumn>
    <tableColumn id="2" xr3:uid="{1E496B4B-AA46-41A1-B39E-3F610AF463E4}" name="FirstName" dataDxfId="28">
      <calculatedColumnFormula>PROPER(TRIM(Employee_dataset[[#This Row],[First_Name]]))</calculatedColumnFormula>
    </tableColumn>
    <tableColumn id="3" xr3:uid="{6F7C84EF-01B6-497F-A966-6F2DF882975B}" name="LastName" dataDxfId="27">
      <calculatedColumnFormula>PROPER(TRIM(Employee_dataset[[#This Row],[Last_Name]]))</calculatedColumnFormula>
    </tableColumn>
    <tableColumn id="4" xr3:uid="{96C201CC-01C4-443A-AE00-3ADDC4B8140C}" name="Age" dataDxfId="26">
      <calculatedColumnFormula>_xlfn.LET(
     _xlpm.a, TRIM(Employee_dataset[[#This Row],[Age]]),
     IF(
        _xlpm.a="","",
        IF(
           AND(ISNUMBER(--_xlpm.a),LEN(_xlpm.a)=2),_xlpm.a,""
          )
       )
    )</calculatedColumnFormula>
    </tableColumn>
    <tableColumn id="5" xr3:uid="{E1ED7C7F-CDD1-4530-B125-BCEAD5E0FEB6}" name="Department" dataDxfId="25">
      <calculatedColumnFormula>TRIM(_xlfn.TEXTBEFORE(Employee_dataset[[#This Row],[Department_Region]],"-"))</calculatedColumnFormula>
    </tableColumn>
    <tableColumn id="6" xr3:uid="{C0FCF7AF-707D-4DBA-81E8-81F29223642A}" name="Region" dataDxfId="24">
      <calculatedColumnFormula>TRIM(_xlfn.TEXTAFTER(Employee_dataset[[#This Row],[Department_Region]],"-"))</calculatedColumnFormula>
    </tableColumn>
    <tableColumn id="7" xr3:uid="{F86A05E7-3E43-48B8-81D9-CFEB3607E6A3}" name="EmploymentStatus" dataDxfId="23">
      <calculatedColumnFormula>TRIM(Employee_dataset[[#This Row],[Status]])</calculatedColumnFormula>
    </tableColumn>
    <tableColumn id="8" xr3:uid="{B4DDE3E9-A955-4B2E-8860-EC1987BB3D70}" name="StartDate" dataDxfId="22">
      <calculatedColumnFormula>_xlfn.LET(
     _xlpm.d, Employee_dataset[[#This Row],[Join_Date]],
     IF(
        ISNUMBER(_xlpm.d),_xlpm.d,""
       )
    )</calculatedColumnFormula>
    </tableColumn>
    <tableColumn id="9" xr3:uid="{E9E5637D-CDA7-46DF-B151-D2D0D46EB9E2}" name="Salary" dataDxfId="21">
      <calculatedColumnFormula>_xlfn.LET(
     _xlpm.s, TRIM(Employee_dataset[[#This Row],[Salary]]),
     IF(
        UPPER(_xlpm.s)="N/A","",
        IF(
           ISNUMBER(--_xlpm.s),ROUND(_xlfn.NUMBERVALUE(_xlpm.s),2),""
          )
       )
    )</calculatedColumnFormula>
    </tableColumn>
    <tableColumn id="10" xr3:uid="{E56D8983-2426-4106-8FBD-E1D33DECFC84}" name="Email" dataDxfId="20">
      <calculatedColumnFormula>TRIM(Employee_dataset[[#This Row],[Email]])</calculatedColumnFormula>
    </tableColumn>
    <tableColumn id="11" xr3:uid="{6D0B7741-CBEE-4513-9421-C879FA081083}" name="Phone" dataDxfId="19">
      <calculatedColumnFormula>_xlfn.LET(
     _xlpm.p,TRIM(SUBSTITUTE(Employee_dataset[[#This Row],[Phone]],"-","")),
     IF(
        LEN(_xlpm.p)=10,_xlfn.CONCAT("("&amp;LEFT(_xlpm.p,3)&amp;") "&amp;MID(_xlpm.p,4,3)&amp;"-"&amp;RIGHT(_xlpm.p,4),"")
       )
     )</calculatedColumnFormula>
    </tableColumn>
    <tableColumn id="12" xr3:uid="{1CAF507B-B3B7-4A4F-AD4E-BD48ED7D7BBB}" name="PerformanceScore" dataDxfId="18">
      <calculatedColumnFormula>TRIM(Employee_dataset[[#This Row],[Performance_Score]])</calculatedColumnFormula>
    </tableColumn>
    <tableColumn id="13" xr3:uid="{A9262EBB-7EB0-4AF9-BB66-D93017DCEF01}" name="RemoteWork" dataDxfId="17">
      <calculatedColumnFormula>TRIM(Employee_dataset[[#This Row],[Remote_Work]])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9641C0C-94FB-4642-8D71-54F6778C9547}" name="QA_Table" displayName="QA_Table" ref="A1:G1021" totalsRowShown="0">
  <autoFilter ref="A1:G1021" xr:uid="{F9641C0C-94FB-4642-8D71-54F6778C9547}"/>
  <tableColumns count="7">
    <tableColumn id="6" xr3:uid="{12D32B50-DF7D-4BA7-BD79-0E3987E055DA}" name="Employee_ID" dataDxfId="15">
      <calculatedColumnFormula>Employee_dataset[[#This Row],[Employee_ID]]</calculatedColumnFormula>
    </tableColumn>
    <tableColumn id="1" xr3:uid="{C86E2B47-5746-44E8-9DF5-7D97DC6893F3}" name="email_isValid" dataDxfId="14">
      <calculatedColumnFormula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calculatedColumnFormula>
    </tableColumn>
    <tableColumn id="2" xr3:uid="{7630D909-A0D5-4F27-9465-AFDD62EEB230}" name="phone_isValid" dataDxfId="13">
      <calculatedColumnFormula>_xlfn.LET(
     _xlpm.p,TRIM(Employee_dataset[[#This Row],[Phone]]),
     IF(
        OR(_xlpm.p="",UPPER(_xlpm.p)="N/A",UPPER(_xlpm.p)="NULL"),FALSE,
        IF(
           LEN(SUBSTITUTE(_xlpm.p,"-",""))&lt;&gt;10,FALSE,TRUE
          )
       )
    )</calculatedColumnFormula>
    </tableColumn>
    <tableColumn id="3" xr3:uid="{79EE8A26-CF6A-4CB4-90E2-391F823C4CDB}" name="join_date_isValid" dataDxfId="12">
      <calculatedColumnFormula>_xlfn.LET(
     _xlpm.d, Employee_dataset[[#This Row],[Join_Date]],
     IF(
        ISNUMBER(_xlpm.d),TRUE,FALSE
       )
    )</calculatedColumnFormula>
    </tableColumn>
    <tableColumn id="4" xr3:uid="{1141AB7D-BC55-46ED-993D-46DCC88814AD}" name="salary_isValid" dataDxfId="11">
      <calculatedColumnFormula>IF(ISERROR(_xlfn.NUMBERVALUE(Employee_dataset[[#This Row],[Salary]])),FALSE,TRUE)</calculatedColumnFormula>
    </tableColumn>
    <tableColumn id="5" xr3:uid="{EBB5E39B-4F29-4F26-B930-A4BF4E29495B}" name="Summary" dataDxfId="10">
      <calculatedColumnFormula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calculatedColumnFormula>
    </tableColumn>
    <tableColumn id="7" xr3:uid="{DF72E591-70F5-436C-85AE-FF72D6719660}" name="duplicate_flag" dataDxfId="9">
      <calculatedColumnFormula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196A36-CEA2-4DB7-94ED-5A1900AE3733}" name="Employee_dataset" displayName="Employee_dataset" ref="A1:L1021" tableType="queryTable" totalsRowShown="0">
  <autoFilter ref="A1:L1021" xr:uid="{ED196A36-CEA2-4DB7-94ED-5A1900AE3733}"/>
  <tableColumns count="12">
    <tableColumn id="1" xr3:uid="{7DF4FDA8-6CB7-4CF9-B1A6-9EF426F23952}" uniqueName="1" name="Employee_ID" queryTableFieldId="1" dataDxfId="8"/>
    <tableColumn id="2" xr3:uid="{B78E9EBD-889F-4041-A130-EFA1E02B6C37}" uniqueName="2" name="First_Name" queryTableFieldId="2" dataDxfId="7"/>
    <tableColumn id="3" xr3:uid="{30D2FB11-9342-4725-B95F-3053132E2E8E}" uniqueName="3" name="Last_Name" queryTableFieldId="3" dataDxfId="6"/>
    <tableColumn id="4" xr3:uid="{EC379FD5-E51F-432A-A1C8-091F6D42627F}" uniqueName="4" name="Age" queryTableFieldId="4"/>
    <tableColumn id="5" xr3:uid="{0FD162A2-DCEA-4641-A1B4-7441F4FDA1D5}" uniqueName="5" name="Department_Region" queryTableFieldId="5" dataDxfId="5"/>
    <tableColumn id="6" xr3:uid="{A4AFC9F1-0E42-4FBA-A4E0-4444572CF879}" uniqueName="6" name="Status" queryTableFieldId="6" dataDxfId="4"/>
    <tableColumn id="7" xr3:uid="{31989265-8165-4207-97DB-E49AA9BFC859}" uniqueName="7" name="Join_Date" queryTableFieldId="7" dataDxfId="3"/>
    <tableColumn id="8" xr3:uid="{AA1DCF0F-E004-4F04-961C-66994073F141}" uniqueName="8" name="Salary" queryTableFieldId="8" dataDxfId="2"/>
    <tableColumn id="9" xr3:uid="{62CF3B40-47FB-455C-A1F3-E29C3D296C3F}" uniqueName="9" name="Email" queryTableFieldId="9" dataDxfId="1"/>
    <tableColumn id="10" xr3:uid="{4356F22D-45C2-4048-8857-7E90481B9468}" uniqueName="10" name="Phone" queryTableFieldId="10"/>
    <tableColumn id="11" xr3:uid="{5F1C4CC8-259E-4128-9DBA-E699CD56B5BA}" uniqueName="11" name="Performance_Score" queryTableFieldId="11" dataDxfId="0"/>
    <tableColumn id="12" xr3:uid="{64903A5E-97AB-4037-A666-E0A46D17CC5F}" uniqueName="12" name="Remote_Work" queryTableField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1CDF7-AEFA-45DB-956E-B9E9EB7D5A55}">
  <dimension ref="A1:H23"/>
  <sheetViews>
    <sheetView zoomScaleNormal="100" workbookViewId="0">
      <pane ySplit="1" topLeftCell="A2" activePane="bottomLeft" state="frozen"/>
      <selection pane="bottomLeft" activeCell="B15" sqref="B15"/>
    </sheetView>
  </sheetViews>
  <sheetFormatPr defaultRowHeight="14.4" x14ac:dyDescent="0.3"/>
  <cols>
    <col min="1" max="2" width="19.44140625" customWidth="1"/>
    <col min="3" max="3" width="13.77734375" customWidth="1"/>
    <col min="4" max="4" width="26.88671875" customWidth="1"/>
    <col min="5" max="5" width="16.33203125" customWidth="1"/>
    <col min="6" max="7" width="13.77734375" customWidth="1"/>
    <col min="8" max="8" width="24.88671875" customWidth="1"/>
  </cols>
  <sheetData>
    <row r="1" spans="1:8" s="2" customFormat="1" ht="42" customHeight="1" x14ac:dyDescent="0.3">
      <c r="A1" s="2" t="s">
        <v>2141</v>
      </c>
      <c r="B1" s="2" t="s">
        <v>2140</v>
      </c>
      <c r="C1" s="2" t="s">
        <v>2134</v>
      </c>
      <c r="D1" s="2" t="s">
        <v>2135</v>
      </c>
      <c r="E1" s="2" t="s">
        <v>2136</v>
      </c>
      <c r="F1" s="2" t="s">
        <v>2137</v>
      </c>
      <c r="G1" s="2" t="s">
        <v>2138</v>
      </c>
      <c r="H1" s="2" t="s">
        <v>2139</v>
      </c>
    </row>
    <row r="2" spans="1:8" ht="43.2" customHeight="1" x14ac:dyDescent="0.3">
      <c r="A2" s="5" t="s">
        <v>2155</v>
      </c>
      <c r="B2" s="5" t="s">
        <v>0</v>
      </c>
      <c r="C2" s="5" t="s">
        <v>2145</v>
      </c>
      <c r="D2" s="5" t="s">
        <v>2175</v>
      </c>
      <c r="E2" s="5" t="s">
        <v>2156</v>
      </c>
      <c r="F2" s="5" t="s">
        <v>2147</v>
      </c>
      <c r="G2" s="5" t="s">
        <v>2148</v>
      </c>
      <c r="H2" s="5" t="s">
        <v>2157</v>
      </c>
    </row>
    <row r="3" spans="1:8" ht="43.2" customHeight="1" x14ac:dyDescent="0.3">
      <c r="A3" s="5" t="s">
        <v>2158</v>
      </c>
      <c r="B3" s="5" t="s">
        <v>1</v>
      </c>
      <c r="C3" s="5" t="s">
        <v>2145</v>
      </c>
      <c r="D3" s="5" t="s">
        <v>2176</v>
      </c>
      <c r="E3" s="5" t="s">
        <v>2162</v>
      </c>
      <c r="F3" s="5" t="s">
        <v>2147</v>
      </c>
      <c r="G3" s="5" t="s">
        <v>2148</v>
      </c>
      <c r="H3" s="5" t="s">
        <v>2163</v>
      </c>
    </row>
    <row r="4" spans="1:8" ht="43.2" customHeight="1" x14ac:dyDescent="0.3">
      <c r="A4" s="5" t="s">
        <v>2159</v>
      </c>
      <c r="B4" s="5" t="s">
        <v>2</v>
      </c>
      <c r="C4" s="5" t="s">
        <v>2145</v>
      </c>
      <c r="D4" s="5" t="s">
        <v>2176</v>
      </c>
      <c r="E4" s="5" t="s">
        <v>2162</v>
      </c>
      <c r="F4" s="5" t="s">
        <v>2147</v>
      </c>
      <c r="G4" s="5" t="s">
        <v>2148</v>
      </c>
      <c r="H4" s="5" t="s">
        <v>2163</v>
      </c>
    </row>
    <row r="5" spans="1:8" ht="43.2" customHeight="1" x14ac:dyDescent="0.3">
      <c r="A5" s="5" t="s">
        <v>3</v>
      </c>
      <c r="B5" s="5" t="s">
        <v>3</v>
      </c>
      <c r="C5" s="5" t="s">
        <v>2165</v>
      </c>
      <c r="D5" s="5" t="s">
        <v>2177</v>
      </c>
      <c r="E5" s="5" t="s">
        <v>2169</v>
      </c>
      <c r="F5" s="5" t="s">
        <v>2152</v>
      </c>
      <c r="G5" s="5" t="s">
        <v>2164</v>
      </c>
      <c r="H5" s="5" t="s">
        <v>2170</v>
      </c>
    </row>
    <row r="6" spans="1:8" ht="43.2" customHeight="1" x14ac:dyDescent="0.3">
      <c r="A6" s="5" t="s">
        <v>2160</v>
      </c>
      <c r="B6" s="5" t="s">
        <v>4</v>
      </c>
      <c r="C6" s="5" t="s">
        <v>2145</v>
      </c>
      <c r="D6" s="5" t="s">
        <v>2185</v>
      </c>
      <c r="E6" s="5" t="s">
        <v>2180</v>
      </c>
      <c r="F6" s="5" t="s">
        <v>2147</v>
      </c>
      <c r="G6" s="5" t="s">
        <v>2148</v>
      </c>
      <c r="H6" s="5" t="s">
        <v>2182</v>
      </c>
    </row>
    <row r="7" spans="1:8" ht="43.2" customHeight="1" x14ac:dyDescent="0.3">
      <c r="A7" s="5" t="s">
        <v>2161</v>
      </c>
      <c r="B7" s="5" t="s">
        <v>4</v>
      </c>
      <c r="C7" s="5" t="s">
        <v>2145</v>
      </c>
      <c r="D7" s="5" t="s">
        <v>2184</v>
      </c>
      <c r="E7" s="5" t="s">
        <v>2181</v>
      </c>
      <c r="F7" s="5" t="s">
        <v>2147</v>
      </c>
      <c r="G7" s="5" t="s">
        <v>2148</v>
      </c>
      <c r="H7" s="5" t="s">
        <v>2183</v>
      </c>
    </row>
    <row r="8" spans="1:8" ht="43.2" customHeight="1" x14ac:dyDescent="0.3">
      <c r="A8" s="5" t="s">
        <v>2171</v>
      </c>
      <c r="B8" s="5" t="s">
        <v>5</v>
      </c>
      <c r="C8" s="5" t="s">
        <v>2145</v>
      </c>
      <c r="D8" s="5" t="s">
        <v>2187</v>
      </c>
      <c r="E8" s="5" t="s">
        <v>2197</v>
      </c>
      <c r="F8" s="5" t="s">
        <v>2147</v>
      </c>
      <c r="G8" s="5" t="s">
        <v>2148</v>
      </c>
      <c r="H8" s="5" t="s">
        <v>2186</v>
      </c>
    </row>
    <row r="9" spans="1:8" ht="43.2" customHeight="1" x14ac:dyDescent="0.3">
      <c r="A9" s="5" t="s">
        <v>2172</v>
      </c>
      <c r="B9" s="5" t="s">
        <v>6</v>
      </c>
      <c r="C9" s="5" t="s">
        <v>2166</v>
      </c>
      <c r="D9" s="5" t="s">
        <v>2189</v>
      </c>
      <c r="E9" s="5" t="s">
        <v>2190</v>
      </c>
      <c r="F9" s="5" t="s">
        <v>2147</v>
      </c>
      <c r="G9" s="5" t="s">
        <v>2148</v>
      </c>
      <c r="H9" s="5" t="s">
        <v>2191</v>
      </c>
    </row>
    <row r="10" spans="1:8" ht="43.2" customHeight="1" x14ac:dyDescent="0.3">
      <c r="A10" s="5" t="s">
        <v>7</v>
      </c>
      <c r="B10" s="5" t="s">
        <v>7</v>
      </c>
      <c r="C10" s="5" t="s">
        <v>2167</v>
      </c>
      <c r="D10" s="5" t="s">
        <v>2194</v>
      </c>
      <c r="E10" s="5" t="s">
        <v>2192</v>
      </c>
      <c r="F10" s="5" t="s">
        <v>2152</v>
      </c>
      <c r="G10" s="5" t="s">
        <v>2193</v>
      </c>
      <c r="H10" s="5" t="s">
        <v>2195</v>
      </c>
    </row>
    <row r="11" spans="1:8" ht="43.2" customHeight="1" x14ac:dyDescent="0.3">
      <c r="A11" s="5" t="s">
        <v>8</v>
      </c>
      <c r="B11" s="5" t="s">
        <v>8</v>
      </c>
      <c r="C11" s="5" t="s">
        <v>2145</v>
      </c>
      <c r="D11" s="5" t="s">
        <v>2178</v>
      </c>
      <c r="E11" s="5" t="s">
        <v>2146</v>
      </c>
      <c r="F11" s="5" t="s">
        <v>2147</v>
      </c>
      <c r="G11" s="5" t="s">
        <v>2148</v>
      </c>
      <c r="H11" s="5" t="s">
        <v>2149</v>
      </c>
    </row>
    <row r="12" spans="1:8" ht="43.2" customHeight="1" x14ac:dyDescent="0.3">
      <c r="A12" s="5" t="s">
        <v>9</v>
      </c>
      <c r="B12" s="5" t="s">
        <v>9</v>
      </c>
      <c r="C12" s="5" t="s">
        <v>2145</v>
      </c>
      <c r="D12" s="5" t="s">
        <v>2179</v>
      </c>
      <c r="E12" s="5" t="s">
        <v>2151</v>
      </c>
      <c r="F12" s="5" t="s">
        <v>2152</v>
      </c>
      <c r="G12" s="5" t="s">
        <v>2153</v>
      </c>
      <c r="H12" s="5" t="s">
        <v>2154</v>
      </c>
    </row>
    <row r="13" spans="1:8" ht="43.2" customHeight="1" x14ac:dyDescent="0.3">
      <c r="A13" s="5" t="s">
        <v>2173</v>
      </c>
      <c r="B13" s="5" t="s">
        <v>2143</v>
      </c>
      <c r="C13" s="5" t="s">
        <v>2145</v>
      </c>
      <c r="D13" s="5" t="s">
        <v>2199</v>
      </c>
      <c r="E13" s="5" t="s">
        <v>2196</v>
      </c>
      <c r="F13" s="5" t="s">
        <v>2147</v>
      </c>
      <c r="G13" s="5" t="s">
        <v>2148</v>
      </c>
      <c r="H13" s="5" t="s">
        <v>2198</v>
      </c>
    </row>
    <row r="14" spans="1:8" ht="43.2" customHeight="1" x14ac:dyDescent="0.3">
      <c r="A14" s="5" t="s">
        <v>2174</v>
      </c>
      <c r="B14" s="5" t="s">
        <v>2142</v>
      </c>
      <c r="C14" s="5" t="s">
        <v>2168</v>
      </c>
      <c r="D14" s="5" t="s">
        <v>2199</v>
      </c>
      <c r="E14" s="5" t="s">
        <v>2200</v>
      </c>
      <c r="F14" s="5" t="s">
        <v>2147</v>
      </c>
      <c r="G14" s="5" t="s">
        <v>2148</v>
      </c>
      <c r="H14" s="5" t="s">
        <v>2198</v>
      </c>
    </row>
    <row r="15" spans="1:8" ht="42" customHeight="1" x14ac:dyDescent="0.3"/>
    <row r="16" spans="1:8" ht="42" customHeight="1" x14ac:dyDescent="0.35">
      <c r="A16" s="4"/>
      <c r="B16" s="4"/>
    </row>
    <row r="17" spans="1:2" ht="42" customHeight="1" x14ac:dyDescent="0.3"/>
    <row r="18" spans="1:2" ht="42" customHeight="1" x14ac:dyDescent="0.3">
      <c r="A18" s="3"/>
      <c r="B18" s="3"/>
    </row>
    <row r="19" spans="1:2" ht="42" customHeight="1" x14ac:dyDescent="0.3">
      <c r="A19" s="3"/>
      <c r="B19" s="3"/>
    </row>
    <row r="20" spans="1:2" ht="42" customHeight="1" x14ac:dyDescent="0.3">
      <c r="A20" s="3"/>
      <c r="B20" s="3"/>
    </row>
    <row r="21" spans="1:2" ht="42" customHeight="1" x14ac:dyDescent="0.3">
      <c r="A21" s="3"/>
      <c r="B21" s="3"/>
    </row>
    <row r="22" spans="1:2" ht="42" customHeight="1" x14ac:dyDescent="0.3">
      <c r="A22" s="3"/>
      <c r="B22" s="3"/>
    </row>
    <row r="23" spans="1:2" ht="42" customHeight="1" x14ac:dyDescent="0.3">
      <c r="A23" s="3"/>
      <c r="B23" s="3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155A2-15D8-4C82-BF30-C1BC8A6B5B23}">
  <dimension ref="A1:M1021"/>
  <sheetViews>
    <sheetView tabSelected="1" workbookViewId="0">
      <selection activeCell="N1" sqref="N1"/>
    </sheetView>
  </sheetViews>
  <sheetFormatPr defaultRowHeight="14.4" x14ac:dyDescent="0.3"/>
  <cols>
    <col min="1" max="1" width="13.77734375" customWidth="1"/>
    <col min="2" max="3" width="13.44140625" customWidth="1"/>
    <col min="4" max="4" width="7.21875" style="6" customWidth="1"/>
    <col min="5" max="5" width="15.109375" customWidth="1"/>
    <col min="6" max="6" width="10.33203125" customWidth="1"/>
    <col min="7" max="7" width="12.77734375" customWidth="1"/>
    <col min="8" max="8" width="13.44140625" style="1" customWidth="1"/>
    <col min="9" max="9" width="11.6640625" style="6" customWidth="1"/>
    <col min="10" max="10" width="27.88671875" customWidth="1"/>
    <col min="11" max="11" width="16.109375" customWidth="1"/>
    <col min="12" max="12" width="18.33203125" customWidth="1"/>
    <col min="13" max="13" width="16.109375" customWidth="1"/>
  </cols>
  <sheetData>
    <row r="1" spans="1:13" x14ac:dyDescent="0.3">
      <c r="A1" t="s">
        <v>2155</v>
      </c>
      <c r="B1" t="s">
        <v>2158</v>
      </c>
      <c r="C1" t="s">
        <v>2159</v>
      </c>
      <c r="D1" s="6" t="s">
        <v>3</v>
      </c>
      <c r="E1" t="s">
        <v>2160</v>
      </c>
      <c r="F1" t="s">
        <v>2161</v>
      </c>
      <c r="G1" t="s">
        <v>2171</v>
      </c>
      <c r="H1" s="1" t="s">
        <v>2172</v>
      </c>
      <c r="I1" s="6" t="s">
        <v>7</v>
      </c>
      <c r="J1" t="s">
        <v>8</v>
      </c>
      <c r="K1" t="s">
        <v>9</v>
      </c>
      <c r="L1" t="s">
        <v>2173</v>
      </c>
      <c r="M1" t="s">
        <v>2174</v>
      </c>
    </row>
    <row r="2" spans="1:13" x14ac:dyDescent="0.3">
      <c r="A2" t="str">
        <f>TRIM(Employee_dataset[[#This Row],[Employee_ID]])</f>
        <v>EMP1000</v>
      </c>
      <c r="B2" t="str">
        <f>PROPER(TRIM(Employee_dataset[[#This Row],[First_Name]]))</f>
        <v>Bob</v>
      </c>
      <c r="C2" t="str">
        <f>PROPER(TRIM(Employee_dataset[[#This Row],[Last_Name]]))</f>
        <v>Davis</v>
      </c>
      <c r="D2" s="6" t="str">
        <f>_xlfn.LET(
     _xlpm.a, TRIM(Employee_dataset[[#This Row],[Age]]),
     IF(
        _xlpm.a="","",
        IF(
           AND(ISNUMBER(--_xlpm.a),LEN(_xlpm.a)=2),_xlpm.a,""
          )
       )
    )</f>
        <v>25</v>
      </c>
      <c r="E2" t="str">
        <f>TRIM(_xlfn.TEXTBEFORE(Employee_dataset[[#This Row],[Department_Region]],"-"))</f>
        <v>DevOps</v>
      </c>
      <c r="F2" t="str">
        <f>TRIM(_xlfn.TEXTAFTER(Employee_dataset[[#This Row],[Department_Region]],"-"))</f>
        <v>California</v>
      </c>
      <c r="G2" t="str">
        <f>TRIM(Employee_dataset[[#This Row],[Status]])</f>
        <v>Active</v>
      </c>
      <c r="H2" s="1">
        <f>_xlfn.LET(
     _xlpm.d, Employee_dataset[[#This Row],[Join_Date]],
     IF(
        ISNUMBER(_xlpm.d),_xlpm.d,""
       )
    )</f>
        <v>44288</v>
      </c>
      <c r="I2" s="6">
        <f>_xlfn.LET(
     _xlpm.s, TRIM(Employee_dataset[[#This Row],[Salary]]),
     IF(
        UPPER(_xlpm.s)="N/A","",
        IF(
           ISNUMBER(--_xlpm.s),ROUND(_xlfn.NUMBERVALUE(_xlpm.s),2),""
          )
       )
    )</f>
        <v>59767.65</v>
      </c>
      <c r="J2" t="str">
        <f>TRIM(Employee_dataset[[#This Row],[Email]])</f>
        <v>bob.davis@example.com</v>
      </c>
      <c r="K2" t="str">
        <f>_xlfn.LET(
     _xlpm.p,TRIM(SUBSTITUTE(Employee_dataset[[#This Row],[Phone]],"-","")),
     IF(
        LEN(_xlpm.p)=10,_xlfn.CONCAT("("&amp;LEFT(_xlpm.p,3)&amp;") "&amp;MID(_xlpm.p,4,3)&amp;"-"&amp;RIGHT(_xlpm.p,4),"")
       )
     )</f>
        <v>(165) 162-3197</v>
      </c>
      <c r="L2" t="str">
        <f>TRIM(Employee_dataset[[#This Row],[Performance_Score]])</f>
        <v>Average</v>
      </c>
      <c r="M2" t="str">
        <f>TRIM(Employee_dataset[[#This Row],[Remote_Work]])</f>
        <v>TRUE</v>
      </c>
    </row>
    <row r="3" spans="1:13" x14ac:dyDescent="0.3">
      <c r="A3" t="str">
        <f>TRIM(Employee_dataset[[#This Row],[Employee_ID]])</f>
        <v>EMP1001</v>
      </c>
      <c r="B3" t="str">
        <f>PROPER(TRIM(Employee_dataset[[#This Row],[First_Name]]))</f>
        <v>Bob</v>
      </c>
      <c r="C3" t="str">
        <f>PROPER(TRIM(Employee_dataset[[#This Row],[Last_Name]]))</f>
        <v>Brown</v>
      </c>
      <c r="D3" s="6" t="str">
        <f>_xlfn.LET(
     _xlpm.a, TRIM(Employee_dataset[[#This Row],[Age]]),
     IF(
        _xlpm.a="","",
        IF(
           AND(ISNUMBER(--_xlpm.a),LEN(_xlpm.a)=2),_xlpm.a,""
          )
       )
    )</f>
        <v/>
      </c>
      <c r="E3" t="str">
        <f>TRIM(_xlfn.TEXTBEFORE(Employee_dataset[[#This Row],[Department_Region]],"-"))</f>
        <v>Finance</v>
      </c>
      <c r="F3" t="str">
        <f>TRIM(_xlfn.TEXTAFTER(Employee_dataset[[#This Row],[Department_Region]],"-"))</f>
        <v>Texas</v>
      </c>
      <c r="G3" t="str">
        <f>TRIM(Employee_dataset[[#This Row],[Status]])</f>
        <v>Active</v>
      </c>
      <c r="H3" s="1">
        <f>_xlfn.LET(
     _xlpm.d, Employee_dataset[[#This Row],[Join_Date]],
     IF(
        ISNUMBER(_xlpm.d),_xlpm.d,""
       )
    )</f>
        <v>44022</v>
      </c>
      <c r="I3" s="6">
        <f>_xlfn.LET(
     _xlpm.s, TRIM(Employee_dataset[[#This Row],[Salary]]),
     IF(
        UPPER(_xlpm.s)="N/A","",
        IF(
           ISNUMBER(--_xlpm.s),ROUND(_xlfn.NUMBERVALUE(_xlpm.s),2),""
          )
       )
    )</f>
        <v>65304.66</v>
      </c>
      <c r="J3" t="str">
        <f>TRIM(Employee_dataset[[#This Row],[Email]])</f>
        <v>bob.brown@example.com</v>
      </c>
      <c r="K3" t="str">
        <f>_xlfn.LET(
     _xlpm.p,TRIM(SUBSTITUTE(Employee_dataset[[#This Row],[Phone]],"-","")),
     IF(
        LEN(_xlpm.p)=10,_xlfn.CONCAT("("&amp;LEFT(_xlpm.p,3)&amp;") "&amp;MID(_xlpm.p,4,3)&amp;"-"&amp;RIGHT(_xlpm.p,4),"")
       )
     )</f>
        <v>(189) 847-1390</v>
      </c>
      <c r="L3" t="str">
        <f>TRIM(Employee_dataset[[#This Row],[Performance_Score]])</f>
        <v>Excellent</v>
      </c>
      <c r="M3" t="str">
        <f>TRIM(Employee_dataset[[#This Row],[Remote_Work]])</f>
        <v>TRUE</v>
      </c>
    </row>
    <row r="4" spans="1:13" x14ac:dyDescent="0.3">
      <c r="A4" t="str">
        <f>TRIM(Employee_dataset[[#This Row],[Employee_ID]])</f>
        <v>EMP1002</v>
      </c>
      <c r="B4" t="str">
        <f>PROPER(TRIM(Employee_dataset[[#This Row],[First_Name]]))</f>
        <v>Alice</v>
      </c>
      <c r="C4" t="str">
        <f>PROPER(TRIM(Employee_dataset[[#This Row],[Last_Name]]))</f>
        <v>Jones</v>
      </c>
      <c r="D4" s="6" t="str">
        <f>_xlfn.LET(
     _xlpm.a, TRIM(Employee_dataset[[#This Row],[Age]]),
     IF(
        _xlpm.a="","",
        IF(
           AND(ISNUMBER(--_xlpm.a),LEN(_xlpm.a)=2),_xlpm.a,""
          )
       )
    )</f>
        <v/>
      </c>
      <c r="E4" t="str">
        <f>TRIM(_xlfn.TEXTBEFORE(Employee_dataset[[#This Row],[Department_Region]],"-"))</f>
        <v>Admin</v>
      </c>
      <c r="F4" t="str">
        <f>TRIM(_xlfn.TEXTAFTER(Employee_dataset[[#This Row],[Department_Region]],"-"))</f>
        <v>Nevada</v>
      </c>
      <c r="G4" t="str">
        <f>TRIM(Employee_dataset[[#This Row],[Status]])</f>
        <v>Pending</v>
      </c>
      <c r="H4" s="1">
        <f>_xlfn.LET(
     _xlpm.d, Employee_dataset[[#This Row],[Join_Date]],
     IF(
        ISNUMBER(_xlpm.d),_xlpm.d,""
       )
    )</f>
        <v>45267</v>
      </c>
      <c r="I4" s="6">
        <f>_xlfn.LET(
     _xlpm.s, TRIM(Employee_dataset[[#This Row],[Salary]]),
     IF(
        UPPER(_xlpm.s)="N/A","",
        IF(
           ISNUMBER(--_xlpm.s),ROUND(_xlfn.NUMBERVALUE(_xlpm.s),2),""
          )
       )
    )</f>
        <v>88145.9</v>
      </c>
      <c r="J4" t="str">
        <f>TRIM(Employee_dataset[[#This Row],[Email]])</f>
        <v>alice.jones@example.com</v>
      </c>
      <c r="K4" t="str">
        <f>_xlfn.LET(
     _xlpm.p,TRIM(SUBSTITUTE(Employee_dataset[[#This Row],[Phone]],"-","")),
     IF(
        LEN(_xlpm.p)=10,_xlfn.CONCAT("("&amp;LEFT(_xlpm.p,3)&amp;") "&amp;MID(_xlpm.p,4,3)&amp;"-"&amp;RIGHT(_xlpm.p,4),"")
       )
     )</f>
        <v>(559) 636-3211</v>
      </c>
      <c r="L4" t="str">
        <f>TRIM(Employee_dataset[[#This Row],[Performance_Score]])</f>
        <v>Good</v>
      </c>
      <c r="M4" t="str">
        <f>TRIM(Employee_dataset[[#This Row],[Remote_Work]])</f>
        <v>TRUE</v>
      </c>
    </row>
    <row r="5" spans="1:13" x14ac:dyDescent="0.3">
      <c r="A5" t="str">
        <f>TRIM(Employee_dataset[[#This Row],[Employee_ID]])</f>
        <v>EMP1003</v>
      </c>
      <c r="B5" t="str">
        <f>PROPER(TRIM(Employee_dataset[[#This Row],[First_Name]]))</f>
        <v>Eva</v>
      </c>
      <c r="C5" t="str">
        <f>PROPER(TRIM(Employee_dataset[[#This Row],[Last_Name]]))</f>
        <v>Davis</v>
      </c>
      <c r="D5" s="6" t="str">
        <f>_xlfn.LET(
     _xlpm.a, TRIM(Employee_dataset[[#This Row],[Age]]),
     IF(
        _xlpm.a="","",
        IF(
           AND(ISNUMBER(--_xlpm.a),LEN(_xlpm.a)=2),_xlpm.a,""
          )
       )
    )</f>
        <v>25</v>
      </c>
      <c r="E5" t="str">
        <f>TRIM(_xlfn.TEXTBEFORE(Employee_dataset[[#This Row],[Department_Region]],"-"))</f>
        <v>Admin</v>
      </c>
      <c r="F5" t="str">
        <f>TRIM(_xlfn.TEXTAFTER(Employee_dataset[[#This Row],[Department_Region]],"-"))</f>
        <v>Nevada</v>
      </c>
      <c r="G5" t="str">
        <f>TRIM(Employee_dataset[[#This Row],[Status]])</f>
        <v>Inactive</v>
      </c>
      <c r="H5" s="1">
        <f>_xlfn.LET(
     _xlpm.d, Employee_dataset[[#This Row],[Join_Date]],
     IF(
        ISNUMBER(_xlpm.d),_xlpm.d,""
       )
    )</f>
        <v>44527</v>
      </c>
      <c r="I5" s="6">
        <f>_xlfn.LET(
     _xlpm.s, TRIM(Employee_dataset[[#This Row],[Salary]]),
     IF(
        UPPER(_xlpm.s)="N/A","",
        IF(
           ISNUMBER(--_xlpm.s),ROUND(_xlfn.NUMBERVALUE(_xlpm.s),2),""
          )
       )
    )</f>
        <v>69450.990000000005</v>
      </c>
      <c r="J5" t="str">
        <f>TRIM(Employee_dataset[[#This Row],[Email]])</f>
        <v>eva.davis@example.com</v>
      </c>
      <c r="K5" t="str">
        <f>_xlfn.LET(
     _xlpm.p,TRIM(SUBSTITUTE(Employee_dataset[[#This Row],[Phone]],"-","")),
     IF(
        LEN(_xlpm.p)=10,_xlfn.CONCAT("("&amp;LEFT(_xlpm.p,3)&amp;") "&amp;MID(_xlpm.p,4,3)&amp;"-"&amp;RIGHT(_xlpm.p,4),"")
       )
     )</f>
        <v>(347) 649-0784</v>
      </c>
      <c r="L5" t="str">
        <f>TRIM(Employee_dataset[[#This Row],[Performance_Score]])</f>
        <v>Good</v>
      </c>
      <c r="M5" t="str">
        <f>TRIM(Employee_dataset[[#This Row],[Remote_Work]])</f>
        <v>TRUE</v>
      </c>
    </row>
    <row r="6" spans="1:13" x14ac:dyDescent="0.3">
      <c r="A6" t="str">
        <f>TRIM(Employee_dataset[[#This Row],[Employee_ID]])</f>
        <v>EMP1004</v>
      </c>
      <c r="B6" t="str">
        <f>PROPER(TRIM(Employee_dataset[[#This Row],[First_Name]]))</f>
        <v>Frank</v>
      </c>
      <c r="C6" t="str">
        <f>PROPER(TRIM(Employee_dataset[[#This Row],[Last_Name]]))</f>
        <v>Williams</v>
      </c>
      <c r="D6" s="6" t="str">
        <f>_xlfn.LET(
     _xlpm.a, TRIM(Employee_dataset[[#This Row],[Age]]),
     IF(
        _xlpm.a="","",
        IF(
           AND(ISNUMBER(--_xlpm.a),LEN(_xlpm.a)=2),_xlpm.a,""
          )
       )
    )</f>
        <v>25</v>
      </c>
      <c r="E6" t="str">
        <f>TRIM(_xlfn.TEXTBEFORE(Employee_dataset[[#This Row],[Department_Region]],"-"))</f>
        <v>Cloud Tech</v>
      </c>
      <c r="F6" t="str">
        <f>TRIM(_xlfn.TEXTAFTER(Employee_dataset[[#This Row],[Department_Region]],"-"))</f>
        <v>Florida</v>
      </c>
      <c r="G6" t="str">
        <f>TRIM(Employee_dataset[[#This Row],[Status]])</f>
        <v>Active</v>
      </c>
      <c r="H6" s="1">
        <f>_xlfn.LET(
     _xlpm.d, Employee_dataset[[#This Row],[Join_Date]],
     IF(
        ISNUMBER(_xlpm.d),_xlpm.d,""
       )
    )</f>
        <v>44566</v>
      </c>
      <c r="I6" s="6">
        <f>_xlfn.LET(
     _xlpm.s, TRIM(Employee_dataset[[#This Row],[Salary]]),
     IF(
        UPPER(_xlpm.s)="N/A","",
        IF(
           ISNUMBER(--_xlpm.s),ROUND(_xlfn.NUMBERVALUE(_xlpm.s),2),""
          )
       )
    )</f>
        <v>109324.61</v>
      </c>
      <c r="J6" t="str">
        <f>TRIM(Employee_dataset[[#This Row],[Email]])</f>
        <v>frank.williams@example.com</v>
      </c>
      <c r="K6" t="str">
        <f>_xlfn.LET(
     _xlpm.p,TRIM(SUBSTITUTE(Employee_dataset[[#This Row],[Phone]],"-","")),
     IF(
        LEN(_xlpm.p)=10,_xlfn.CONCAT("("&amp;LEFT(_xlpm.p,3)&amp;") "&amp;MID(_xlpm.p,4,3)&amp;"-"&amp;RIGHT(_xlpm.p,4),"")
       )
     )</f>
        <v>(158) 673-4256</v>
      </c>
      <c r="L6" t="str">
        <f>TRIM(Employee_dataset[[#This Row],[Performance_Score]])</f>
        <v>Poor</v>
      </c>
      <c r="M6" t="str">
        <f>TRIM(Employee_dataset[[#This Row],[Remote_Work]])</f>
        <v>FALSE</v>
      </c>
    </row>
    <row r="7" spans="1:13" x14ac:dyDescent="0.3">
      <c r="A7" t="str">
        <f>TRIM(Employee_dataset[[#This Row],[Employee_ID]])</f>
        <v>EMP1005</v>
      </c>
      <c r="B7" t="str">
        <f>PROPER(TRIM(Employee_dataset[[#This Row],[First_Name]]))</f>
        <v>Alice</v>
      </c>
      <c r="C7" t="str">
        <f>PROPER(TRIM(Employee_dataset[[#This Row],[Last_Name]]))</f>
        <v>Garcia</v>
      </c>
      <c r="D7" s="6" t="str">
        <f>_xlfn.LET(
     _xlpm.a, TRIM(Employee_dataset[[#This Row],[Age]]),
     IF(
        _xlpm.a="","",
        IF(
           AND(ISNUMBER(--_xlpm.a),LEN(_xlpm.a)=2),_xlpm.a,""
          )
       )
    )</f>
        <v>40</v>
      </c>
      <c r="E7" t="str">
        <f>TRIM(_xlfn.TEXTBEFORE(Employee_dataset[[#This Row],[Department_Region]],"-"))</f>
        <v>Sales</v>
      </c>
      <c r="F7" t="str">
        <f>TRIM(_xlfn.TEXTAFTER(Employee_dataset[[#This Row],[Department_Region]],"-"))</f>
        <v>Texas</v>
      </c>
      <c r="G7" t="str">
        <f>TRIM(Employee_dataset[[#This Row],[Status]])</f>
        <v>Inactive</v>
      </c>
      <c r="H7" s="1">
        <f>_xlfn.LET(
     _xlpm.d, Employee_dataset[[#This Row],[Join_Date]],
     IF(
        ISNUMBER(_xlpm.d),_xlpm.d,""
       )
    )</f>
        <v>43992</v>
      </c>
      <c r="I7" s="6">
        <f>_xlfn.LET(
     _xlpm.s, TRIM(Employee_dataset[[#This Row],[Salary]]),
     IF(
        UPPER(_xlpm.s)="N/A","",
        IF(
           ISNUMBER(--_xlpm.s),ROUND(_xlfn.NUMBERVALUE(_xlpm.s),2),""
          )
       )
    )</f>
        <v>88642.84</v>
      </c>
      <c r="J7" t="str">
        <f>TRIM(Employee_dataset[[#This Row],[Email]])</f>
        <v>alice.garcia@example.com</v>
      </c>
      <c r="K7" t="str">
        <f>_xlfn.LET(
     _xlpm.p,TRIM(SUBSTITUTE(Employee_dataset[[#This Row],[Phone]],"-","")),
     IF(
        LEN(_xlpm.p)=10,_xlfn.CONCAT("("&amp;LEFT(_xlpm.p,3)&amp;") "&amp;MID(_xlpm.p,4,3)&amp;"-"&amp;RIGHT(_xlpm.p,4),"")
       )
     )</f>
        <v>(540) 900-3485</v>
      </c>
      <c r="L7" t="str">
        <f>TRIM(Employee_dataset[[#This Row],[Performance_Score]])</f>
        <v>Good</v>
      </c>
      <c r="M7" t="str">
        <f>TRIM(Employee_dataset[[#This Row],[Remote_Work]])</f>
        <v>FALSE</v>
      </c>
    </row>
    <row r="8" spans="1:13" x14ac:dyDescent="0.3">
      <c r="A8" t="str">
        <f>TRIM(Employee_dataset[[#This Row],[Employee_ID]])</f>
        <v>EMP1006</v>
      </c>
      <c r="B8" t="str">
        <f>PROPER(TRIM(Employee_dataset[[#This Row],[First_Name]]))</f>
        <v>Frank</v>
      </c>
      <c r="C8" t="str">
        <f>PROPER(TRIM(Employee_dataset[[#This Row],[Last_Name]]))</f>
        <v>Jones</v>
      </c>
      <c r="D8" s="6" t="str">
        <f>_xlfn.LET(
     _xlpm.a, TRIM(Employee_dataset[[#This Row],[Age]]),
     IF(
        _xlpm.a="","",
        IF(
           AND(ISNUMBER(--_xlpm.a),LEN(_xlpm.a)=2),_xlpm.a,""
          )
       )
    )</f>
        <v/>
      </c>
      <c r="E8" t="str">
        <f>TRIM(_xlfn.TEXTBEFORE(Employee_dataset[[#This Row],[Department_Region]],"-"))</f>
        <v>Admin</v>
      </c>
      <c r="F8" t="str">
        <f>TRIM(_xlfn.TEXTAFTER(Employee_dataset[[#This Row],[Department_Region]],"-"))</f>
        <v>Nevada</v>
      </c>
      <c r="G8" t="str">
        <f>TRIM(Employee_dataset[[#This Row],[Status]])</f>
        <v>Active</v>
      </c>
      <c r="H8" s="1">
        <f>_xlfn.LET(
     _xlpm.d, Employee_dataset[[#This Row],[Join_Date]],
     IF(
        ISNUMBER(_xlpm.d),_xlpm.d,""
       )
    )</f>
        <v>43924</v>
      </c>
      <c r="I8" s="6">
        <f>_xlfn.LET(
     _xlpm.s, TRIM(Employee_dataset[[#This Row],[Salary]]),
     IF(
        UPPER(_xlpm.s)="N/A","",
        IF(
           ISNUMBER(--_xlpm.s),ROUND(_xlfn.NUMBERVALUE(_xlpm.s),2),""
          )
       )
    )</f>
        <v>96288.43</v>
      </c>
      <c r="J8" t="str">
        <f>TRIM(Employee_dataset[[#This Row],[Email]])</f>
        <v>frank.jones@example.com</v>
      </c>
      <c r="K8" t="str">
        <f>_xlfn.LET(
     _xlpm.p,TRIM(SUBSTITUTE(Employee_dataset[[#This Row],[Phone]],"-","")),
     IF(
        LEN(_xlpm.p)=10,_xlfn.CONCAT("("&amp;LEFT(_xlpm.p,3)&amp;") "&amp;MID(_xlpm.p,4,3)&amp;"-"&amp;RIGHT(_xlpm.p,4),"")
       )
     )</f>
        <v>(451) 837-6063</v>
      </c>
      <c r="L8" t="str">
        <f>TRIM(Employee_dataset[[#This Row],[Performance_Score]])</f>
        <v>Good</v>
      </c>
      <c r="M8" t="str">
        <f>TRIM(Employee_dataset[[#This Row],[Remote_Work]])</f>
        <v>FALSE</v>
      </c>
    </row>
    <row r="9" spans="1:13" x14ac:dyDescent="0.3">
      <c r="A9" t="str">
        <f>TRIM(Employee_dataset[[#This Row],[Employee_ID]])</f>
        <v>EMP1007</v>
      </c>
      <c r="B9" t="str">
        <f>PROPER(TRIM(Employee_dataset[[#This Row],[First_Name]]))</f>
        <v>Bob</v>
      </c>
      <c r="C9" t="str">
        <f>PROPER(TRIM(Employee_dataset[[#This Row],[Last_Name]]))</f>
        <v>Jones</v>
      </c>
      <c r="D9" s="6" t="str">
        <f>_xlfn.LET(
     _xlpm.a, TRIM(Employee_dataset[[#This Row],[Age]]),
     IF(
        _xlpm.a="","",
        IF(
           AND(ISNUMBER(--_xlpm.a),LEN(_xlpm.a)=2),_xlpm.a,""
          )
       )
    )</f>
        <v>30</v>
      </c>
      <c r="E9" t="str">
        <f>TRIM(_xlfn.TEXTBEFORE(Employee_dataset[[#This Row],[Department_Region]],"-"))</f>
        <v>Cloud Tech</v>
      </c>
      <c r="F9" t="str">
        <f>TRIM(_xlfn.TEXTAFTER(Employee_dataset[[#This Row],[Department_Region]],"-"))</f>
        <v>Florida</v>
      </c>
      <c r="G9" t="str">
        <f>TRIM(Employee_dataset[[#This Row],[Status]])</f>
        <v>Inactive</v>
      </c>
      <c r="H9" s="1">
        <f>_xlfn.LET(
     _xlpm.d, Employee_dataset[[#This Row],[Join_Date]],
     IF(
        ISNUMBER(_xlpm.d),_xlpm.d,""
       )
    )</f>
        <v>44759</v>
      </c>
      <c r="I9" s="6">
        <f>_xlfn.LET(
     _xlpm.s, TRIM(Employee_dataset[[#This Row],[Salary]]),
     IF(
        UPPER(_xlpm.s)="N/A","",
        IF(
           ISNUMBER(--_xlpm.s),ROUND(_xlfn.NUMBERVALUE(_xlpm.s),2),""
          )
       )
    )</f>
        <v>94497.91</v>
      </c>
      <c r="J9" t="str">
        <f>TRIM(Employee_dataset[[#This Row],[Email]])</f>
        <v>bob.jones@example.com</v>
      </c>
      <c r="K9" t="str">
        <f>_xlfn.LET(
     _xlpm.p,TRIM(SUBSTITUTE(Employee_dataset[[#This Row],[Phone]],"-","")),
     IF(
        LEN(_xlpm.p)=10,_xlfn.CONCAT("("&amp;LEFT(_xlpm.p,3)&amp;") "&amp;MID(_xlpm.p,4,3)&amp;"-"&amp;RIGHT(_xlpm.p,4),"")
       )
     )</f>
        <v>(413) 432-7559</v>
      </c>
      <c r="L9" t="str">
        <f>TRIM(Employee_dataset[[#This Row],[Performance_Score]])</f>
        <v>Average</v>
      </c>
      <c r="M9" t="str">
        <f>TRIM(Employee_dataset[[#This Row],[Remote_Work]])</f>
        <v>TRUE</v>
      </c>
    </row>
    <row r="10" spans="1:13" x14ac:dyDescent="0.3">
      <c r="A10" t="str">
        <f>TRIM(Employee_dataset[[#This Row],[Employee_ID]])</f>
        <v>EMP1008</v>
      </c>
      <c r="B10" t="str">
        <f>PROPER(TRIM(Employee_dataset[[#This Row],[First_Name]]))</f>
        <v>Frank</v>
      </c>
      <c r="C10" t="str">
        <f>PROPER(TRIM(Employee_dataset[[#This Row],[Last_Name]]))</f>
        <v>Davis</v>
      </c>
      <c r="D10" s="6" t="str">
        <f>_xlfn.LET(
     _xlpm.a, TRIM(Employee_dataset[[#This Row],[Age]]),
     IF(
        _xlpm.a="","",
        IF(
           AND(ISNUMBER(--_xlpm.a),LEN(_xlpm.a)=2),_xlpm.a,""
          )
       )
    )</f>
        <v>35</v>
      </c>
      <c r="E10" t="str">
        <f>TRIM(_xlfn.TEXTBEFORE(Employee_dataset[[#This Row],[Department_Region]],"-"))</f>
        <v>Admin</v>
      </c>
      <c r="F10" t="str">
        <f>TRIM(_xlfn.TEXTAFTER(Employee_dataset[[#This Row],[Department_Region]],"-"))</f>
        <v>Nevada</v>
      </c>
      <c r="G10" t="str">
        <f>TRIM(Employee_dataset[[#This Row],[Status]])</f>
        <v>Inactive</v>
      </c>
      <c r="H10" s="1">
        <f>_xlfn.LET(
     _xlpm.d, Employee_dataset[[#This Row],[Join_Date]],
     IF(
        ISNUMBER(_xlpm.d),_xlpm.d,""
       )
    )</f>
        <v>45268</v>
      </c>
      <c r="I10" s="6">
        <f>_xlfn.LET(
     _xlpm.s, TRIM(Employee_dataset[[#This Row],[Salary]]),
     IF(
        UPPER(_xlpm.s)="N/A","",
        IF(
           ISNUMBER(--_xlpm.s),ROUND(_xlfn.NUMBERVALUE(_xlpm.s),2),""
          )
       )
    )</f>
        <v>115565.82</v>
      </c>
      <c r="J10" t="str">
        <f>TRIM(Employee_dataset[[#This Row],[Email]])</f>
        <v>frank.davis@example.com</v>
      </c>
      <c r="K10" t="str">
        <f>_xlfn.LET(
     _xlpm.p,TRIM(SUBSTITUTE(Employee_dataset[[#This Row],[Phone]],"-","")),
     IF(
        LEN(_xlpm.p)=10,_xlfn.CONCAT("("&amp;LEFT(_xlpm.p,3)&amp;") "&amp;MID(_xlpm.p,4,3)&amp;"-"&amp;RIGHT(_xlpm.p,4),"")
       )
     )</f>
        <v>(417) 765-6123</v>
      </c>
      <c r="L10" t="str">
        <f>TRIM(Employee_dataset[[#This Row],[Performance_Score]])</f>
        <v>Excellent</v>
      </c>
      <c r="M10" t="str">
        <f>TRIM(Employee_dataset[[#This Row],[Remote_Work]])</f>
        <v>TRUE</v>
      </c>
    </row>
    <row r="11" spans="1:13" x14ac:dyDescent="0.3">
      <c r="A11" t="str">
        <f>TRIM(Employee_dataset[[#This Row],[Employee_ID]])</f>
        <v>EMP1009</v>
      </c>
      <c r="B11" t="str">
        <f>PROPER(TRIM(Employee_dataset[[#This Row],[First_Name]]))</f>
        <v>Charlie</v>
      </c>
      <c r="C11" t="str">
        <f>PROPER(TRIM(Employee_dataset[[#This Row],[Last_Name]]))</f>
        <v>Johnson</v>
      </c>
      <c r="D11" s="6" t="str">
        <f>_xlfn.LET(
     _xlpm.a, TRIM(Employee_dataset[[#This Row],[Age]]),
     IF(
        _xlpm.a="","",
        IF(
           AND(ISNUMBER(--_xlpm.a),LEN(_xlpm.a)=2),_xlpm.a,""
          )
       )
    )</f>
        <v/>
      </c>
      <c r="E11" t="str">
        <f>TRIM(_xlfn.TEXTBEFORE(Employee_dataset[[#This Row],[Department_Region]],"-"))</f>
        <v>DevOps</v>
      </c>
      <c r="F11" t="str">
        <f>TRIM(_xlfn.TEXTAFTER(Employee_dataset[[#This Row],[Department_Region]],"-"))</f>
        <v>New York</v>
      </c>
      <c r="G11" t="str">
        <f>TRIM(Employee_dataset[[#This Row],[Status]])</f>
        <v>Active</v>
      </c>
      <c r="H11" s="1">
        <f>_xlfn.LET(
     _xlpm.d, Employee_dataset[[#This Row],[Join_Date]],
     IF(
        ISNUMBER(_xlpm.d),_xlpm.d,""
       )
    )</f>
        <v>44777</v>
      </c>
      <c r="I11" s="6">
        <f>_xlfn.LET(
     _xlpm.s, TRIM(Employee_dataset[[#This Row],[Salary]]),
     IF(
        UPPER(_xlpm.s)="N/A","",
        IF(
           ISNUMBER(--_xlpm.s),ROUND(_xlfn.NUMBERVALUE(_xlpm.s),2),""
          )
       )
    )</f>
        <v>76561.88</v>
      </c>
      <c r="J11" t="str">
        <f>TRIM(Employee_dataset[[#This Row],[Email]])</f>
        <v>charlie.johnson@example.com</v>
      </c>
      <c r="K11" t="str">
        <f>_xlfn.LET(
     _xlpm.p,TRIM(SUBSTITUTE(Employee_dataset[[#This Row],[Phone]],"-","")),
     IF(
        LEN(_xlpm.p)=10,_xlfn.CONCAT("("&amp;LEFT(_xlpm.p,3)&amp;") "&amp;MID(_xlpm.p,4,3)&amp;"-"&amp;RIGHT(_xlpm.p,4),"")
       )
     )</f>
        <v>(815) 698-5699</v>
      </c>
      <c r="L11" t="str">
        <f>TRIM(Employee_dataset[[#This Row],[Performance_Score]])</f>
        <v>Excellent</v>
      </c>
      <c r="M11" t="str">
        <f>TRIM(Employee_dataset[[#This Row],[Remote_Work]])</f>
        <v>TRUE</v>
      </c>
    </row>
    <row r="12" spans="1:13" x14ac:dyDescent="0.3">
      <c r="A12" t="str">
        <f>TRIM(Employee_dataset[[#This Row],[Employee_ID]])</f>
        <v>EMP1010</v>
      </c>
      <c r="B12" t="str">
        <f>PROPER(TRIM(Employee_dataset[[#This Row],[First_Name]]))</f>
        <v>David</v>
      </c>
      <c r="C12" t="str">
        <f>PROPER(TRIM(Employee_dataset[[#This Row],[Last_Name]]))</f>
        <v>Williams</v>
      </c>
      <c r="D12" s="6" t="str">
        <f>_xlfn.LET(
     _xlpm.a, TRIM(Employee_dataset[[#This Row],[Age]]),
     IF(
        _xlpm.a="","",
        IF(
           AND(ISNUMBER(--_xlpm.a),LEN(_xlpm.a)=2),_xlpm.a,""
          )
       )
    )</f>
        <v>35</v>
      </c>
      <c r="E12" t="str">
        <f>TRIM(_xlfn.TEXTBEFORE(Employee_dataset[[#This Row],[Department_Region]],"-"))</f>
        <v>Cloud Tech</v>
      </c>
      <c r="F12" t="str">
        <f>TRIM(_xlfn.TEXTAFTER(Employee_dataset[[#This Row],[Department_Region]],"-"))</f>
        <v>New York</v>
      </c>
      <c r="G12" t="str">
        <f>TRIM(Employee_dataset[[#This Row],[Status]])</f>
        <v>Active</v>
      </c>
      <c r="H12" s="1">
        <f>_xlfn.LET(
     _xlpm.d, Employee_dataset[[#This Row],[Join_Date]],
     IF(
        ISNUMBER(_xlpm.d),_xlpm.d,""
       )
    )</f>
        <v>45479</v>
      </c>
      <c r="I12" s="6">
        <f>_xlfn.LET(
     _xlpm.s, TRIM(Employee_dataset[[#This Row],[Salary]]),
     IF(
        UPPER(_xlpm.s)="N/A","",
        IF(
           ISNUMBER(--_xlpm.s),ROUND(_xlfn.NUMBERVALUE(_xlpm.s),2),""
          )
       )
    )</f>
        <v>72081.710000000006</v>
      </c>
      <c r="J12" t="str">
        <f>TRIM(Employee_dataset[[#This Row],[Email]])</f>
        <v>david.williams@example.com</v>
      </c>
      <c r="K12" t="str">
        <f>_xlfn.LET(
     _xlpm.p,TRIM(SUBSTITUTE(Employee_dataset[[#This Row],[Phone]],"-","")),
     IF(
        LEN(_xlpm.p)=10,_xlfn.CONCAT("("&amp;LEFT(_xlpm.p,3)&amp;") "&amp;MID(_xlpm.p,4,3)&amp;"-"&amp;RIGHT(_xlpm.p,4),"")
       )
     )</f>
        <v>(272) 063-4590</v>
      </c>
      <c r="L12" t="str">
        <f>TRIM(Employee_dataset[[#This Row],[Performance_Score]])</f>
        <v>Average</v>
      </c>
      <c r="M12" t="str">
        <f>TRIM(Employee_dataset[[#This Row],[Remote_Work]])</f>
        <v>FALSE</v>
      </c>
    </row>
    <row r="13" spans="1:13" x14ac:dyDescent="0.3">
      <c r="A13" t="str">
        <f>TRIM(Employee_dataset[[#This Row],[Employee_ID]])</f>
        <v>EMP1011</v>
      </c>
      <c r="B13" t="str">
        <f>PROPER(TRIM(Employee_dataset[[#This Row],[First_Name]]))</f>
        <v>David</v>
      </c>
      <c r="C13" t="str">
        <f>PROPER(TRIM(Employee_dataset[[#This Row],[Last_Name]]))</f>
        <v>Davis</v>
      </c>
      <c r="D13" s="6" t="str">
        <f>_xlfn.LET(
     _xlpm.a, TRIM(Employee_dataset[[#This Row],[Age]]),
     IF(
        _xlpm.a="","",
        IF(
           AND(ISNUMBER(--_xlpm.a),LEN(_xlpm.a)=2),_xlpm.a,""
          )
       )
    )</f>
        <v/>
      </c>
      <c r="E13" t="str">
        <f>TRIM(_xlfn.TEXTBEFORE(Employee_dataset[[#This Row],[Department_Region]],"-"))</f>
        <v>DevOps</v>
      </c>
      <c r="F13" t="str">
        <f>TRIM(_xlfn.TEXTAFTER(Employee_dataset[[#This Row],[Department_Region]],"-"))</f>
        <v>California</v>
      </c>
      <c r="G13" t="str">
        <f>TRIM(Employee_dataset[[#This Row],[Status]])</f>
        <v>Active</v>
      </c>
      <c r="H13" s="1">
        <f>_xlfn.LET(
     _xlpm.d, Employee_dataset[[#This Row],[Join_Date]],
     IF(
        ISNUMBER(_xlpm.d),_xlpm.d,""
       )
    )</f>
        <v>45173</v>
      </c>
      <c r="I13" s="6">
        <f>_xlfn.LET(
     _xlpm.s, TRIM(Employee_dataset[[#This Row],[Salary]]),
     IF(
        UPPER(_xlpm.s)="N/A","",
        IF(
           ISNUMBER(--_xlpm.s),ROUND(_xlfn.NUMBERVALUE(_xlpm.s),2),""
          )
       )
    )</f>
        <v>84946.19</v>
      </c>
      <c r="J13" t="str">
        <f>TRIM(Employee_dataset[[#This Row],[Email]])</f>
        <v>david.davis@example.com</v>
      </c>
      <c r="K13" t="str">
        <f>_xlfn.LET(
     _xlpm.p,TRIM(SUBSTITUTE(Employee_dataset[[#This Row],[Phone]],"-","")),
     IF(
        LEN(_xlpm.p)=10,_xlfn.CONCAT("("&amp;LEFT(_xlpm.p,3)&amp;") "&amp;MID(_xlpm.p,4,3)&amp;"-"&amp;RIGHT(_xlpm.p,4),"")
       )
     )</f>
        <v>(123) 829-6576</v>
      </c>
      <c r="L13" t="str">
        <f>TRIM(Employee_dataset[[#This Row],[Performance_Score]])</f>
        <v>Poor</v>
      </c>
      <c r="M13" t="str">
        <f>TRIM(Employee_dataset[[#This Row],[Remote_Work]])</f>
        <v>TRUE</v>
      </c>
    </row>
    <row r="14" spans="1:13" x14ac:dyDescent="0.3">
      <c r="A14" t="str">
        <f>TRIM(Employee_dataset[[#This Row],[Employee_ID]])</f>
        <v>EMP1012</v>
      </c>
      <c r="B14" t="str">
        <f>PROPER(TRIM(Employee_dataset[[#This Row],[First_Name]]))</f>
        <v>Heidi</v>
      </c>
      <c r="C14" t="str">
        <f>PROPER(TRIM(Employee_dataset[[#This Row],[Last_Name]]))</f>
        <v>Williams</v>
      </c>
      <c r="D14" s="6" t="str">
        <f>_xlfn.LET(
     _xlpm.a, TRIM(Employee_dataset[[#This Row],[Age]]),
     IF(
        _xlpm.a="","",
        IF(
           AND(ISNUMBER(--_xlpm.a),LEN(_xlpm.a)=2),_xlpm.a,""
          )
       )
    )</f>
        <v>30</v>
      </c>
      <c r="E14" t="str">
        <f>TRIM(_xlfn.TEXTBEFORE(Employee_dataset[[#This Row],[Department_Region]],"-"))</f>
        <v>HR</v>
      </c>
      <c r="F14" t="str">
        <f>TRIM(_xlfn.TEXTAFTER(Employee_dataset[[#This Row],[Department_Region]],"-"))</f>
        <v>New York</v>
      </c>
      <c r="G14" t="str">
        <f>TRIM(Employee_dataset[[#This Row],[Status]])</f>
        <v>Active</v>
      </c>
      <c r="H14" s="1">
        <f>_xlfn.LET(
     _xlpm.d, Employee_dataset[[#This Row],[Join_Date]],
     IF(
        ISNUMBER(_xlpm.d),_xlpm.d,""
       )
    )</f>
        <v>45356</v>
      </c>
      <c r="I14" s="6">
        <f>_xlfn.LET(
     _xlpm.s, TRIM(Employee_dataset[[#This Row],[Salary]]),
     IF(
        UPPER(_xlpm.s)="N/A","",
        IF(
           ISNUMBER(--_xlpm.s),ROUND(_xlfn.NUMBERVALUE(_xlpm.s),2),""
          )
       )
    )</f>
        <v>89295.77</v>
      </c>
      <c r="J14" t="str">
        <f>TRIM(Employee_dataset[[#This Row],[Email]])</f>
        <v>heidi.williams@example.com</v>
      </c>
      <c r="K14" t="str">
        <f>_xlfn.LET(
     _xlpm.p,TRIM(SUBSTITUTE(Employee_dataset[[#This Row],[Phone]],"-","")),
     IF(
        LEN(_xlpm.p)=10,_xlfn.CONCAT("("&amp;LEFT(_xlpm.p,3)&amp;") "&amp;MID(_xlpm.p,4,3)&amp;"-"&amp;RIGHT(_xlpm.p,4),"")
       )
     )</f>
        <v>(242) 954-3164</v>
      </c>
      <c r="L14" t="str">
        <f>TRIM(Employee_dataset[[#This Row],[Performance_Score]])</f>
        <v>Excellent</v>
      </c>
      <c r="M14" t="str">
        <f>TRIM(Employee_dataset[[#This Row],[Remote_Work]])</f>
        <v>FALSE</v>
      </c>
    </row>
    <row r="15" spans="1:13" x14ac:dyDescent="0.3">
      <c r="A15" t="str">
        <f>TRIM(Employee_dataset[[#This Row],[Employee_ID]])</f>
        <v>EMP1013</v>
      </c>
      <c r="B15" t="str">
        <f>PROPER(TRIM(Employee_dataset[[#This Row],[First_Name]]))</f>
        <v>Grace</v>
      </c>
      <c r="C15" t="str">
        <f>PROPER(TRIM(Employee_dataset[[#This Row],[Last_Name]]))</f>
        <v>Williams</v>
      </c>
      <c r="D15" s="6" t="str">
        <f>_xlfn.LET(
     _xlpm.a, TRIM(Employee_dataset[[#This Row],[Age]]),
     IF(
        _xlpm.a="","",
        IF(
           AND(ISNUMBER(--_xlpm.a),LEN(_xlpm.a)=2),_xlpm.a,""
          )
       )
    )</f>
        <v/>
      </c>
      <c r="E15" t="str">
        <f>TRIM(_xlfn.TEXTBEFORE(Employee_dataset[[#This Row],[Department_Region]],"-"))</f>
        <v>Finance</v>
      </c>
      <c r="F15" t="str">
        <f>TRIM(_xlfn.TEXTAFTER(Employee_dataset[[#This Row],[Department_Region]],"-"))</f>
        <v>California</v>
      </c>
      <c r="G15" t="str">
        <f>TRIM(Employee_dataset[[#This Row],[Status]])</f>
        <v>Active</v>
      </c>
      <c r="H15" s="1">
        <f>_xlfn.LET(
     _xlpm.d, Employee_dataset[[#This Row],[Join_Date]],
     IF(
        ISNUMBER(_xlpm.d),_xlpm.d,""
       )
    )</f>
        <v>44114</v>
      </c>
      <c r="I15" s="6">
        <f>_xlfn.LET(
     _xlpm.s, TRIM(Employee_dataset[[#This Row],[Salary]]),
     IF(
        UPPER(_xlpm.s)="N/A","",
        IF(
           ISNUMBER(--_xlpm.s),ROUND(_xlfn.NUMBERVALUE(_xlpm.s),2),""
          )
       )
    )</f>
        <v>85666.84</v>
      </c>
      <c r="J15" t="str">
        <f>TRIM(Employee_dataset[[#This Row],[Email]])</f>
        <v>grace.williams@example.com</v>
      </c>
      <c r="K15" t="str">
        <f>_xlfn.LET(
     _xlpm.p,TRIM(SUBSTITUTE(Employee_dataset[[#This Row],[Phone]],"-","")),
     IF(
        LEN(_xlpm.p)=10,_xlfn.CONCAT("("&amp;LEFT(_xlpm.p,3)&amp;") "&amp;MID(_xlpm.p,4,3)&amp;"-"&amp;RIGHT(_xlpm.p,4),"")
       )
     )</f>
        <v>(266) 930-0892</v>
      </c>
      <c r="L15" t="str">
        <f>TRIM(Employee_dataset[[#This Row],[Performance_Score]])</f>
        <v>Good</v>
      </c>
      <c r="M15" t="str">
        <f>TRIM(Employee_dataset[[#This Row],[Remote_Work]])</f>
        <v>FALSE</v>
      </c>
    </row>
    <row r="16" spans="1:13" x14ac:dyDescent="0.3">
      <c r="A16" t="str">
        <f>TRIM(Employee_dataset[[#This Row],[Employee_ID]])</f>
        <v>EMP1014</v>
      </c>
      <c r="B16" t="str">
        <f>PROPER(TRIM(Employee_dataset[[#This Row],[First_Name]]))</f>
        <v>Alice</v>
      </c>
      <c r="C16" t="str">
        <f>PROPER(TRIM(Employee_dataset[[#This Row],[Last_Name]]))</f>
        <v>Garcia</v>
      </c>
      <c r="D16" s="6" t="str">
        <f>_xlfn.LET(
     _xlpm.a, TRIM(Employee_dataset[[#This Row],[Age]]),
     IF(
        _xlpm.a="","",
        IF(
           AND(ISNUMBER(--_xlpm.a),LEN(_xlpm.a)=2),_xlpm.a,""
          )
       )
    )</f>
        <v>25</v>
      </c>
      <c r="E16" t="str">
        <f>TRIM(_xlfn.TEXTBEFORE(Employee_dataset[[#This Row],[Department_Region]],"-"))</f>
        <v>Admin</v>
      </c>
      <c r="F16" t="str">
        <f>TRIM(_xlfn.TEXTAFTER(Employee_dataset[[#This Row],[Department_Region]],"-"))</f>
        <v>Nevada</v>
      </c>
      <c r="G16" t="str">
        <f>TRIM(Employee_dataset[[#This Row],[Status]])</f>
        <v>Active</v>
      </c>
      <c r="H16" s="1">
        <f>_xlfn.LET(
     _xlpm.d, Employee_dataset[[#This Row],[Join_Date]],
     IF(
        ISNUMBER(_xlpm.d),_xlpm.d,""
       )
    )</f>
        <v>45453</v>
      </c>
      <c r="I16" s="6">
        <f>_xlfn.LET(
     _xlpm.s, TRIM(Employee_dataset[[#This Row],[Salary]]),
     IF(
        UPPER(_xlpm.s)="N/A","",
        IF(
           ISNUMBER(--_xlpm.s),ROUND(_xlfn.NUMBERVALUE(_xlpm.s),2),""
          )
       )
    )</f>
        <v>97633.68</v>
      </c>
      <c r="J16" t="str">
        <f>TRIM(Employee_dataset[[#This Row],[Email]])</f>
        <v>alice.garcia@example.com</v>
      </c>
      <c r="K16" t="str">
        <f>_xlfn.LET(
     _xlpm.p,TRIM(SUBSTITUTE(Employee_dataset[[#This Row],[Phone]],"-","")),
     IF(
        LEN(_xlpm.p)=10,_xlfn.CONCAT("("&amp;LEFT(_xlpm.p,3)&amp;") "&amp;MID(_xlpm.p,4,3)&amp;"-"&amp;RIGHT(_xlpm.p,4),"")
       )
     )</f>
        <v>(173) 420-6968</v>
      </c>
      <c r="L16" t="str">
        <f>TRIM(Employee_dataset[[#This Row],[Performance_Score]])</f>
        <v>Excellent</v>
      </c>
      <c r="M16" t="str">
        <f>TRIM(Employee_dataset[[#This Row],[Remote_Work]])</f>
        <v>TRUE</v>
      </c>
    </row>
    <row r="17" spans="1:13" x14ac:dyDescent="0.3">
      <c r="A17" t="str">
        <f>TRIM(Employee_dataset[[#This Row],[Employee_ID]])</f>
        <v>EMP1015</v>
      </c>
      <c r="B17" t="str">
        <f>PROPER(TRIM(Employee_dataset[[#This Row],[First_Name]]))</f>
        <v>Grace</v>
      </c>
      <c r="C17" t="str">
        <f>PROPER(TRIM(Employee_dataset[[#This Row],[Last_Name]]))</f>
        <v>Jones</v>
      </c>
      <c r="D17" s="6" t="str">
        <f>_xlfn.LET(
     _xlpm.a, TRIM(Employee_dataset[[#This Row],[Age]]),
     IF(
        _xlpm.a="","",
        IF(
           AND(ISNUMBER(--_xlpm.a),LEN(_xlpm.a)=2),_xlpm.a,""
          )
       )
    )</f>
        <v>40</v>
      </c>
      <c r="E17" t="str">
        <f>TRIM(_xlfn.TEXTBEFORE(Employee_dataset[[#This Row],[Department_Region]],"-"))</f>
        <v>Sales</v>
      </c>
      <c r="F17" t="str">
        <f>TRIM(_xlfn.TEXTAFTER(Employee_dataset[[#This Row],[Department_Region]],"-"))</f>
        <v>Florida</v>
      </c>
      <c r="G17" t="str">
        <f>TRIM(Employee_dataset[[#This Row],[Status]])</f>
        <v>Pending</v>
      </c>
      <c r="H17" s="1">
        <f>_xlfn.LET(
     _xlpm.d, Employee_dataset[[#This Row],[Join_Date]],
     IF(
        ISNUMBER(_xlpm.d),_xlpm.d,""
       )
    )</f>
        <v>44345</v>
      </c>
      <c r="I17" s="6">
        <f>_xlfn.LET(
     _xlpm.s, TRIM(Employee_dataset[[#This Row],[Salary]]),
     IF(
        UPPER(_xlpm.s)="N/A","",
        IF(
           ISNUMBER(--_xlpm.s),ROUND(_xlfn.NUMBERVALUE(_xlpm.s),2),""
          )
       )
    )</f>
        <v>117975.49</v>
      </c>
      <c r="J17" t="str">
        <f>TRIM(Employee_dataset[[#This Row],[Email]])</f>
        <v>grace.jones@example.com</v>
      </c>
      <c r="K17" t="str">
        <f>_xlfn.LET(
     _xlpm.p,TRIM(SUBSTITUTE(Employee_dataset[[#This Row],[Phone]],"-","")),
     IF(
        LEN(_xlpm.p)=10,_xlfn.CONCAT("("&amp;LEFT(_xlpm.p,3)&amp;") "&amp;MID(_xlpm.p,4,3)&amp;"-"&amp;RIGHT(_xlpm.p,4),"")
       )
     )</f>
        <v>(421) 529-1085</v>
      </c>
      <c r="L17" t="str">
        <f>TRIM(Employee_dataset[[#This Row],[Performance_Score]])</f>
        <v>Good</v>
      </c>
      <c r="M17" t="str">
        <f>TRIM(Employee_dataset[[#This Row],[Remote_Work]])</f>
        <v>TRUE</v>
      </c>
    </row>
    <row r="18" spans="1:13" x14ac:dyDescent="0.3">
      <c r="A18" t="str">
        <f>TRIM(Employee_dataset[[#This Row],[Employee_ID]])</f>
        <v>EMP1016</v>
      </c>
      <c r="B18" t="str">
        <f>PROPER(TRIM(Employee_dataset[[#This Row],[First_Name]]))</f>
        <v>Alice</v>
      </c>
      <c r="C18" t="str">
        <f>PROPER(TRIM(Employee_dataset[[#This Row],[Last_Name]]))</f>
        <v>Brown</v>
      </c>
      <c r="D18" s="6" t="str">
        <f>_xlfn.LET(
     _xlpm.a, TRIM(Employee_dataset[[#This Row],[Age]]),
     IF(
        _xlpm.a="","",
        IF(
           AND(ISNUMBER(--_xlpm.a),LEN(_xlpm.a)=2),_xlpm.a,""
          )
       )
    )</f>
        <v>25</v>
      </c>
      <c r="E18" t="str">
        <f>TRIM(_xlfn.TEXTBEFORE(Employee_dataset[[#This Row],[Department_Region]],"-"))</f>
        <v>DevOps</v>
      </c>
      <c r="F18" t="str">
        <f>TRIM(_xlfn.TEXTAFTER(Employee_dataset[[#This Row],[Department_Region]],"-"))</f>
        <v>Illinois</v>
      </c>
      <c r="G18" t="str">
        <f>TRIM(Employee_dataset[[#This Row],[Status]])</f>
        <v>Inactive</v>
      </c>
      <c r="H18" s="1">
        <f>_xlfn.LET(
     _xlpm.d, Employee_dataset[[#This Row],[Join_Date]],
     IF(
        ISNUMBER(_xlpm.d),_xlpm.d,""
       )
    )</f>
        <v>45405</v>
      </c>
      <c r="I18" s="6">
        <f>_xlfn.LET(
     _xlpm.s, TRIM(Employee_dataset[[#This Row],[Salary]]),
     IF(
        UPPER(_xlpm.s)="N/A","",
        IF(
           ISNUMBER(--_xlpm.s),ROUND(_xlfn.NUMBERVALUE(_xlpm.s),2),""
          )
       )
    )</f>
        <v>94867.33</v>
      </c>
      <c r="J18" t="str">
        <f>TRIM(Employee_dataset[[#This Row],[Email]])</f>
        <v>alice.brown@example.com</v>
      </c>
      <c r="K18" t="str">
        <f>_xlfn.LET(
     _xlpm.p,TRIM(SUBSTITUTE(Employee_dataset[[#This Row],[Phone]],"-","")),
     IF(
        LEN(_xlpm.p)=10,_xlfn.CONCAT("("&amp;LEFT(_xlpm.p,3)&amp;") "&amp;MID(_xlpm.p,4,3)&amp;"-"&amp;RIGHT(_xlpm.p,4),"")
       )
     )</f>
        <v>(771) 333-4475</v>
      </c>
      <c r="L18" t="str">
        <f>TRIM(Employee_dataset[[#This Row],[Performance_Score]])</f>
        <v>Poor</v>
      </c>
      <c r="M18" t="str">
        <f>TRIM(Employee_dataset[[#This Row],[Remote_Work]])</f>
        <v>FALSE</v>
      </c>
    </row>
    <row r="19" spans="1:13" x14ac:dyDescent="0.3">
      <c r="A19" t="str">
        <f>TRIM(Employee_dataset[[#This Row],[Employee_ID]])</f>
        <v>EMP1017</v>
      </c>
      <c r="B19" t="str">
        <f>PROPER(TRIM(Employee_dataset[[#This Row],[First_Name]]))</f>
        <v>Grace</v>
      </c>
      <c r="C19" t="str">
        <f>PROPER(TRIM(Employee_dataset[[#This Row],[Last_Name]]))</f>
        <v>Garcia</v>
      </c>
      <c r="D19" s="6" t="str">
        <f>_xlfn.LET(
     _xlpm.a, TRIM(Employee_dataset[[#This Row],[Age]]),
     IF(
        _xlpm.a="","",
        IF(
           AND(ISNUMBER(--_xlpm.a),LEN(_xlpm.a)=2),_xlpm.a,""
          )
       )
    )</f>
        <v>30</v>
      </c>
      <c r="E19" t="str">
        <f>TRIM(_xlfn.TEXTBEFORE(Employee_dataset[[#This Row],[Department_Region]],"-"))</f>
        <v>Finance</v>
      </c>
      <c r="F19" t="str">
        <f>TRIM(_xlfn.TEXTAFTER(Employee_dataset[[#This Row],[Department_Region]],"-"))</f>
        <v>Texas</v>
      </c>
      <c r="G19" t="str">
        <f>TRIM(Employee_dataset[[#This Row],[Status]])</f>
        <v>Pending</v>
      </c>
      <c r="H19" s="1">
        <f>_xlfn.LET(
     _xlpm.d, Employee_dataset[[#This Row],[Join_Date]],
     IF(
        ISNUMBER(_xlpm.d),_xlpm.d,""
       )
    )</f>
        <v>45624</v>
      </c>
      <c r="I19" s="6">
        <f>_xlfn.LET(
     _xlpm.s, TRIM(Employee_dataset[[#This Row],[Salary]]),
     IF(
        UPPER(_xlpm.s)="N/A","",
        IF(
           ISNUMBER(--_xlpm.s),ROUND(_xlfn.NUMBERVALUE(_xlpm.s),2),""
          )
       )
    )</f>
        <v>100377.65</v>
      </c>
      <c r="J19" t="str">
        <f>TRIM(Employee_dataset[[#This Row],[Email]])</f>
        <v>grace.garcia@example.com</v>
      </c>
      <c r="K19" t="str">
        <f>_xlfn.LET(
     _xlpm.p,TRIM(SUBSTITUTE(Employee_dataset[[#This Row],[Phone]],"-","")),
     IF(
        LEN(_xlpm.p)=10,_xlfn.CONCAT("("&amp;LEFT(_xlpm.p,3)&amp;") "&amp;MID(_xlpm.p,4,3)&amp;"-"&amp;RIGHT(_xlpm.p,4),"")
       )
     )</f>
        <v>(263) 934-3625</v>
      </c>
      <c r="L19" t="str">
        <f>TRIM(Employee_dataset[[#This Row],[Performance_Score]])</f>
        <v>Average</v>
      </c>
      <c r="M19" t="str">
        <f>TRIM(Employee_dataset[[#This Row],[Remote_Work]])</f>
        <v>TRUE</v>
      </c>
    </row>
    <row r="20" spans="1:13" x14ac:dyDescent="0.3">
      <c r="A20" t="str">
        <f>TRIM(Employee_dataset[[#This Row],[Employee_ID]])</f>
        <v>EMP1018</v>
      </c>
      <c r="B20" t="str">
        <f>PROPER(TRIM(Employee_dataset[[#This Row],[First_Name]]))</f>
        <v>Charlie</v>
      </c>
      <c r="C20" t="str">
        <f>PROPER(TRIM(Employee_dataset[[#This Row],[Last_Name]]))</f>
        <v>Garcia</v>
      </c>
      <c r="D20" s="6" t="str">
        <f>_xlfn.LET(
     _xlpm.a, TRIM(Employee_dataset[[#This Row],[Age]]),
     IF(
        _xlpm.a="","",
        IF(
           AND(ISNUMBER(--_xlpm.a),LEN(_xlpm.a)=2),_xlpm.a,""
          )
       )
    )</f>
        <v/>
      </c>
      <c r="E20" t="str">
        <f>TRIM(_xlfn.TEXTBEFORE(Employee_dataset[[#This Row],[Department_Region]],"-"))</f>
        <v>Cloud Tech</v>
      </c>
      <c r="F20" t="str">
        <f>TRIM(_xlfn.TEXTAFTER(Employee_dataset[[#This Row],[Department_Region]],"-"))</f>
        <v>Nevada</v>
      </c>
      <c r="G20" t="str">
        <f>TRIM(Employee_dataset[[#This Row],[Status]])</f>
        <v>Inactive</v>
      </c>
      <c r="H20" s="1">
        <f>_xlfn.LET(
     _xlpm.d, Employee_dataset[[#This Row],[Join_Date]],
     IF(
        ISNUMBER(_xlpm.d),_xlpm.d,""
       )
    )</f>
        <v>45554</v>
      </c>
      <c r="I20" s="6">
        <f>_xlfn.LET(
     _xlpm.s, TRIM(Employee_dataset[[#This Row],[Salary]]),
     IF(
        UPPER(_xlpm.s)="N/A","",
        IF(
           ISNUMBER(--_xlpm.s),ROUND(_xlfn.NUMBERVALUE(_xlpm.s),2),""
          )
       )
    )</f>
        <v>94726.46</v>
      </c>
      <c r="J20" t="str">
        <f>TRIM(Employee_dataset[[#This Row],[Email]])</f>
        <v>charlie.garcia@example.com</v>
      </c>
      <c r="K20" t="str">
        <f>_xlfn.LET(
     _xlpm.p,TRIM(SUBSTITUTE(Employee_dataset[[#This Row],[Phone]],"-","")),
     IF(
        LEN(_xlpm.p)=10,_xlfn.CONCAT("("&amp;LEFT(_xlpm.p,3)&amp;") "&amp;MID(_xlpm.p,4,3)&amp;"-"&amp;RIGHT(_xlpm.p,4),"")
       )
     )</f>
        <v>(204) 439-7358</v>
      </c>
      <c r="L20" t="str">
        <f>TRIM(Employee_dataset[[#This Row],[Performance_Score]])</f>
        <v>Excellent</v>
      </c>
      <c r="M20" t="str">
        <f>TRIM(Employee_dataset[[#This Row],[Remote_Work]])</f>
        <v>FALSE</v>
      </c>
    </row>
    <row r="21" spans="1:13" x14ac:dyDescent="0.3">
      <c r="A21" t="str">
        <f>TRIM(Employee_dataset[[#This Row],[Employee_ID]])</f>
        <v>EMP1019</v>
      </c>
      <c r="B21" t="str">
        <f>PROPER(TRIM(Employee_dataset[[#This Row],[First_Name]]))</f>
        <v>Charlie</v>
      </c>
      <c r="C21" t="str">
        <f>PROPER(TRIM(Employee_dataset[[#This Row],[Last_Name]]))</f>
        <v>Williams</v>
      </c>
      <c r="D21" s="6" t="str">
        <f>_xlfn.LET(
     _xlpm.a, TRIM(Employee_dataset[[#This Row],[Age]]),
     IF(
        _xlpm.a="","",
        IF(
           AND(ISNUMBER(--_xlpm.a),LEN(_xlpm.a)=2),_xlpm.a,""
          )
       )
    )</f>
        <v>35</v>
      </c>
      <c r="E21" t="str">
        <f>TRIM(_xlfn.TEXTBEFORE(Employee_dataset[[#This Row],[Department_Region]],"-"))</f>
        <v>Admin</v>
      </c>
      <c r="F21" t="str">
        <f>TRIM(_xlfn.TEXTAFTER(Employee_dataset[[#This Row],[Department_Region]],"-"))</f>
        <v>Illinois</v>
      </c>
      <c r="G21" t="str">
        <f>TRIM(Employee_dataset[[#This Row],[Status]])</f>
        <v>Pending</v>
      </c>
      <c r="H21" s="1">
        <f>_xlfn.LET(
     _xlpm.d, Employee_dataset[[#This Row],[Join_Date]],
     IF(
        ISNUMBER(_xlpm.d),_xlpm.d,""
       )
    )</f>
        <v>43832</v>
      </c>
      <c r="I21" s="6">
        <f>_xlfn.LET(
     _xlpm.s, TRIM(Employee_dataset[[#This Row],[Salary]]),
     IF(
        UPPER(_xlpm.s)="N/A","",
        IF(
           ISNUMBER(--_xlpm.s),ROUND(_xlfn.NUMBERVALUE(_xlpm.s),2),""
          )
       )
    )</f>
        <v>91926.12</v>
      </c>
      <c r="J21" t="str">
        <f>TRIM(Employee_dataset[[#This Row],[Email]])</f>
        <v>charlie.williams@example.com</v>
      </c>
      <c r="K21" t="str">
        <f>_xlfn.LET(
     _xlpm.p,TRIM(SUBSTITUTE(Employee_dataset[[#This Row],[Phone]],"-","")),
     IF(
        LEN(_xlpm.p)=10,_xlfn.CONCAT("("&amp;LEFT(_xlpm.p,3)&amp;") "&amp;MID(_xlpm.p,4,3)&amp;"-"&amp;RIGHT(_xlpm.p,4),"")
       )
     )</f>
        <v>(710) 725-6365</v>
      </c>
      <c r="L21" t="str">
        <f>TRIM(Employee_dataset[[#This Row],[Performance_Score]])</f>
        <v>Average</v>
      </c>
      <c r="M21" t="str">
        <f>TRIM(Employee_dataset[[#This Row],[Remote_Work]])</f>
        <v>TRUE</v>
      </c>
    </row>
    <row r="22" spans="1:13" x14ac:dyDescent="0.3">
      <c r="A22" t="str">
        <f>TRIM(Employee_dataset[[#This Row],[Employee_ID]])</f>
        <v>EMP1020</v>
      </c>
      <c r="B22" t="str">
        <f>PROPER(TRIM(Employee_dataset[[#This Row],[First_Name]]))</f>
        <v>Bob</v>
      </c>
      <c r="C22" t="str">
        <f>PROPER(TRIM(Employee_dataset[[#This Row],[Last_Name]]))</f>
        <v>Miller</v>
      </c>
      <c r="D22" s="6" t="str">
        <f>_xlfn.LET(
     _xlpm.a, TRIM(Employee_dataset[[#This Row],[Age]]),
     IF(
        _xlpm.a="","",
        IF(
           AND(ISNUMBER(--_xlpm.a),LEN(_xlpm.a)=2),_xlpm.a,""
          )
       )
    )</f>
        <v>35</v>
      </c>
      <c r="E22" t="str">
        <f>TRIM(_xlfn.TEXTBEFORE(Employee_dataset[[#This Row],[Department_Region]],"-"))</f>
        <v>HR</v>
      </c>
      <c r="F22" t="str">
        <f>TRIM(_xlfn.TEXTAFTER(Employee_dataset[[#This Row],[Department_Region]],"-"))</f>
        <v>New York</v>
      </c>
      <c r="G22" t="str">
        <f>TRIM(Employee_dataset[[#This Row],[Status]])</f>
        <v>Active</v>
      </c>
      <c r="H22" s="1">
        <f>_xlfn.LET(
     _xlpm.d, Employee_dataset[[#This Row],[Join_Date]],
     IF(
        ISNUMBER(_xlpm.d),_xlpm.d,""
       )
    )</f>
        <v>44324</v>
      </c>
      <c r="I22" s="6">
        <f>_xlfn.LET(
     _xlpm.s, TRIM(Employee_dataset[[#This Row],[Salary]]),
     IF(
        UPPER(_xlpm.s)="N/A","",
        IF(
           ISNUMBER(--_xlpm.s),ROUND(_xlfn.NUMBERVALUE(_xlpm.s),2),""
          )
       )
    )</f>
        <v>111460.67</v>
      </c>
      <c r="J22" t="str">
        <f>TRIM(Employee_dataset[[#This Row],[Email]])</f>
        <v>bob.miller@example.com</v>
      </c>
      <c r="K22" t="str">
        <f>_xlfn.LET(
     _xlpm.p,TRIM(SUBSTITUTE(Employee_dataset[[#This Row],[Phone]],"-","")),
     IF(
        LEN(_xlpm.p)=10,_xlfn.CONCAT("("&amp;LEFT(_xlpm.p,3)&amp;") "&amp;MID(_xlpm.p,4,3)&amp;"-"&amp;RIGHT(_xlpm.p,4),"")
       )
     )</f>
        <v>(941) 180-0536</v>
      </c>
      <c r="L22" t="str">
        <f>TRIM(Employee_dataset[[#This Row],[Performance_Score]])</f>
        <v>Excellent</v>
      </c>
      <c r="M22" t="str">
        <f>TRIM(Employee_dataset[[#This Row],[Remote_Work]])</f>
        <v>TRUE</v>
      </c>
    </row>
    <row r="23" spans="1:13" x14ac:dyDescent="0.3">
      <c r="A23" t="str">
        <f>TRIM(Employee_dataset[[#This Row],[Employee_ID]])</f>
        <v>EMP1021</v>
      </c>
      <c r="B23" t="str">
        <f>PROPER(TRIM(Employee_dataset[[#This Row],[First_Name]]))</f>
        <v>Bob</v>
      </c>
      <c r="C23" t="str">
        <f>PROPER(TRIM(Employee_dataset[[#This Row],[Last_Name]]))</f>
        <v>Jones</v>
      </c>
      <c r="D23" s="6" t="str">
        <f>_xlfn.LET(
     _xlpm.a, TRIM(Employee_dataset[[#This Row],[Age]]),
     IF(
        _xlpm.a="","",
        IF(
           AND(ISNUMBER(--_xlpm.a),LEN(_xlpm.a)=2),_xlpm.a,""
          )
       )
    )</f>
        <v>40</v>
      </c>
      <c r="E23" t="str">
        <f>TRIM(_xlfn.TEXTBEFORE(Employee_dataset[[#This Row],[Department_Region]],"-"))</f>
        <v>Cloud Tech</v>
      </c>
      <c r="F23" t="str">
        <f>TRIM(_xlfn.TEXTAFTER(Employee_dataset[[#This Row],[Department_Region]],"-"))</f>
        <v>Illinois</v>
      </c>
      <c r="G23" t="str">
        <f>TRIM(Employee_dataset[[#This Row],[Status]])</f>
        <v>Active</v>
      </c>
      <c r="H23" s="1">
        <f>_xlfn.LET(
     _xlpm.d, Employee_dataset[[#This Row],[Join_Date]],
     IF(
        ISNUMBER(_xlpm.d),_xlpm.d,""
       )
    )</f>
        <v>44093</v>
      </c>
      <c r="I23" s="6">
        <f>_xlfn.LET(
     _xlpm.s, TRIM(Employee_dataset[[#This Row],[Salary]]),
     IF(
        UPPER(_xlpm.s)="N/A","",
        IF(
           ISNUMBER(--_xlpm.s),ROUND(_xlfn.NUMBERVALUE(_xlpm.s),2),""
          )
       )
    )</f>
        <v>96182.56</v>
      </c>
      <c r="J23" t="str">
        <f>TRIM(Employee_dataset[[#This Row],[Email]])</f>
        <v>bob.jones@example.com</v>
      </c>
      <c r="K23" t="str">
        <f>_xlfn.LET(
     _xlpm.p,TRIM(SUBSTITUTE(Employee_dataset[[#This Row],[Phone]],"-","")),
     IF(
        LEN(_xlpm.p)=10,_xlfn.CONCAT("("&amp;LEFT(_xlpm.p,3)&amp;") "&amp;MID(_xlpm.p,4,3)&amp;"-"&amp;RIGHT(_xlpm.p,4),"")
       )
     )</f>
        <v>(599) 004-8963</v>
      </c>
      <c r="L23" t="str">
        <f>TRIM(Employee_dataset[[#This Row],[Performance_Score]])</f>
        <v>Good</v>
      </c>
      <c r="M23" t="str">
        <f>TRIM(Employee_dataset[[#This Row],[Remote_Work]])</f>
        <v>FALSE</v>
      </c>
    </row>
    <row r="24" spans="1:13" x14ac:dyDescent="0.3">
      <c r="A24" t="str">
        <f>TRIM(Employee_dataset[[#This Row],[Employee_ID]])</f>
        <v>EMP1022</v>
      </c>
      <c r="B24" t="str">
        <f>PROPER(TRIM(Employee_dataset[[#This Row],[First_Name]]))</f>
        <v>Charlie</v>
      </c>
      <c r="C24" t="str">
        <f>PROPER(TRIM(Employee_dataset[[#This Row],[Last_Name]]))</f>
        <v>Johnson</v>
      </c>
      <c r="D24" s="6" t="str">
        <f>_xlfn.LET(
     _xlpm.a, TRIM(Employee_dataset[[#This Row],[Age]]),
     IF(
        _xlpm.a="","",
        IF(
           AND(ISNUMBER(--_xlpm.a),LEN(_xlpm.a)=2),_xlpm.a,""
          )
       )
    )</f>
        <v>35</v>
      </c>
      <c r="E24" t="str">
        <f>TRIM(_xlfn.TEXTBEFORE(Employee_dataset[[#This Row],[Department_Region]],"-"))</f>
        <v>Sales</v>
      </c>
      <c r="F24" t="str">
        <f>TRIM(_xlfn.TEXTAFTER(Employee_dataset[[#This Row],[Department_Region]],"-"))</f>
        <v>Illinois</v>
      </c>
      <c r="G24" t="str">
        <f>TRIM(Employee_dataset[[#This Row],[Status]])</f>
        <v>Inactive</v>
      </c>
      <c r="H24" s="1">
        <f>_xlfn.LET(
     _xlpm.d, Employee_dataset[[#This Row],[Join_Date]],
     IF(
        ISNUMBER(_xlpm.d),_xlpm.d,""
       )
    )</f>
        <v>44264</v>
      </c>
      <c r="I24" s="6">
        <f>_xlfn.LET(
     _xlpm.s, TRIM(Employee_dataset[[#This Row],[Salary]]),
     IF(
        UPPER(_xlpm.s)="N/A","",
        IF(
           ISNUMBER(--_xlpm.s),ROUND(_xlfn.NUMBERVALUE(_xlpm.s),2),""
          )
       )
    )</f>
        <v>115023.94</v>
      </c>
      <c r="J24" t="str">
        <f>TRIM(Employee_dataset[[#This Row],[Email]])</f>
        <v>charlie.johnson@example.com</v>
      </c>
      <c r="K24" t="str">
        <f>_xlfn.LET(
     _xlpm.p,TRIM(SUBSTITUTE(Employee_dataset[[#This Row],[Phone]],"-","")),
     IF(
        LEN(_xlpm.p)=10,_xlfn.CONCAT("("&amp;LEFT(_xlpm.p,3)&amp;") "&amp;MID(_xlpm.p,4,3)&amp;"-"&amp;RIGHT(_xlpm.p,4),"")
       )
     )</f>
        <v>(652) 809-2427</v>
      </c>
      <c r="L24" t="str">
        <f>TRIM(Employee_dataset[[#This Row],[Performance_Score]])</f>
        <v>Average</v>
      </c>
      <c r="M24" t="str">
        <f>TRIM(Employee_dataset[[#This Row],[Remote_Work]])</f>
        <v>TRUE</v>
      </c>
    </row>
    <row r="25" spans="1:13" x14ac:dyDescent="0.3">
      <c r="A25" t="str">
        <f>TRIM(Employee_dataset[[#This Row],[Employee_ID]])</f>
        <v>EMP1023</v>
      </c>
      <c r="B25" t="str">
        <f>PROPER(TRIM(Employee_dataset[[#This Row],[First_Name]]))</f>
        <v>David</v>
      </c>
      <c r="C25" t="str">
        <f>PROPER(TRIM(Employee_dataset[[#This Row],[Last_Name]]))</f>
        <v>Garcia</v>
      </c>
      <c r="D25" s="6" t="str">
        <f>_xlfn.LET(
     _xlpm.a, TRIM(Employee_dataset[[#This Row],[Age]]),
     IF(
        _xlpm.a="","",
        IF(
           AND(ISNUMBER(--_xlpm.a),LEN(_xlpm.a)=2),_xlpm.a,""
          )
       )
    )</f>
        <v>35</v>
      </c>
      <c r="E25" t="str">
        <f>TRIM(_xlfn.TEXTBEFORE(Employee_dataset[[#This Row],[Department_Region]],"-"))</f>
        <v>Finance</v>
      </c>
      <c r="F25" t="str">
        <f>TRIM(_xlfn.TEXTAFTER(Employee_dataset[[#This Row],[Department_Region]],"-"))</f>
        <v>Nevada</v>
      </c>
      <c r="G25" t="str">
        <f>TRIM(Employee_dataset[[#This Row],[Status]])</f>
        <v>Pending</v>
      </c>
      <c r="H25" s="1">
        <f>_xlfn.LET(
     _xlpm.d, Employee_dataset[[#This Row],[Join_Date]],
     IF(
        ISNUMBER(_xlpm.d),_xlpm.d,""
       )
    )</f>
        <v>44595</v>
      </c>
      <c r="I25" s="6">
        <f>_xlfn.LET(
     _xlpm.s, TRIM(Employee_dataset[[#This Row],[Salary]]),
     IF(
        UPPER(_xlpm.s)="N/A","",
        IF(
           ISNUMBER(--_xlpm.s),ROUND(_xlfn.NUMBERVALUE(_xlpm.s),2),""
          )
       )
    )</f>
        <v>80667.009999999995</v>
      </c>
      <c r="J25" t="str">
        <f>TRIM(Employee_dataset[[#This Row],[Email]])</f>
        <v>david.garcia@example.com</v>
      </c>
      <c r="K25" t="str">
        <f>_xlfn.LET(
     _xlpm.p,TRIM(SUBSTITUTE(Employee_dataset[[#This Row],[Phone]],"-","")),
     IF(
        LEN(_xlpm.p)=10,_xlfn.CONCAT("("&amp;LEFT(_xlpm.p,3)&amp;") "&amp;MID(_xlpm.p,4,3)&amp;"-"&amp;RIGHT(_xlpm.p,4),"")
       )
     )</f>
        <v>(757) 215-8623</v>
      </c>
      <c r="L25" t="str">
        <f>TRIM(Employee_dataset[[#This Row],[Performance_Score]])</f>
        <v>Excellent</v>
      </c>
      <c r="M25" t="str">
        <f>TRIM(Employee_dataset[[#This Row],[Remote_Work]])</f>
        <v>FALSE</v>
      </c>
    </row>
    <row r="26" spans="1:13" x14ac:dyDescent="0.3">
      <c r="A26" t="str">
        <f>TRIM(Employee_dataset[[#This Row],[Employee_ID]])</f>
        <v>EMP1024</v>
      </c>
      <c r="B26" t="str">
        <f>PROPER(TRIM(Employee_dataset[[#This Row],[First_Name]]))</f>
        <v>Bob</v>
      </c>
      <c r="C26" t="str">
        <f>PROPER(TRIM(Employee_dataset[[#This Row],[Last_Name]]))</f>
        <v>Brown</v>
      </c>
      <c r="D26" s="6" t="str">
        <f>_xlfn.LET(
     _xlpm.a, TRIM(Employee_dataset[[#This Row],[Age]]),
     IF(
        _xlpm.a="","",
        IF(
           AND(ISNUMBER(--_xlpm.a),LEN(_xlpm.a)=2),_xlpm.a,""
          )
       )
    )</f>
        <v>30</v>
      </c>
      <c r="E26" t="str">
        <f>TRIM(_xlfn.TEXTBEFORE(Employee_dataset[[#This Row],[Department_Region]],"-"))</f>
        <v>Admin</v>
      </c>
      <c r="F26" t="str">
        <f>TRIM(_xlfn.TEXTAFTER(Employee_dataset[[#This Row],[Department_Region]],"-"))</f>
        <v>Texas</v>
      </c>
      <c r="G26" t="str">
        <f>TRIM(Employee_dataset[[#This Row],[Status]])</f>
        <v>Inactive</v>
      </c>
      <c r="H26" s="1">
        <f>_xlfn.LET(
     _xlpm.d, Employee_dataset[[#This Row],[Join_Date]],
     IF(
        ISNUMBER(_xlpm.d),_xlpm.d,""
       )
    )</f>
        <v>43874</v>
      </c>
      <c r="I26" s="6">
        <f>_xlfn.LET(
     _xlpm.s, TRIM(Employee_dataset[[#This Row],[Salary]]),
     IF(
        UPPER(_xlpm.s)="N/A","",
        IF(
           ISNUMBER(--_xlpm.s),ROUND(_xlfn.NUMBERVALUE(_xlpm.s),2),""
          )
       )
    )</f>
        <v>91181.61</v>
      </c>
      <c r="J26" t="str">
        <f>TRIM(Employee_dataset[[#This Row],[Email]])</f>
        <v>bob.brown@example.com</v>
      </c>
      <c r="K26" t="str">
        <f>_xlfn.LET(
     _xlpm.p,TRIM(SUBSTITUTE(Employee_dataset[[#This Row],[Phone]],"-","")),
     IF(
        LEN(_xlpm.p)=10,_xlfn.CONCAT("("&amp;LEFT(_xlpm.p,3)&amp;") "&amp;MID(_xlpm.p,4,3)&amp;"-"&amp;RIGHT(_xlpm.p,4),"")
       )
     )</f>
        <v>(150) 274-5643</v>
      </c>
      <c r="L26" t="str">
        <f>TRIM(Employee_dataset[[#This Row],[Performance_Score]])</f>
        <v>Good</v>
      </c>
      <c r="M26" t="str">
        <f>TRIM(Employee_dataset[[#This Row],[Remote_Work]])</f>
        <v>TRUE</v>
      </c>
    </row>
    <row r="27" spans="1:13" x14ac:dyDescent="0.3">
      <c r="A27" t="str">
        <f>TRIM(Employee_dataset[[#This Row],[Employee_ID]])</f>
        <v>EMP1025</v>
      </c>
      <c r="B27" t="str">
        <f>PROPER(TRIM(Employee_dataset[[#This Row],[First_Name]]))</f>
        <v>David</v>
      </c>
      <c r="C27" t="str">
        <f>PROPER(TRIM(Employee_dataset[[#This Row],[Last_Name]]))</f>
        <v>Miller</v>
      </c>
      <c r="D27" s="6" t="str">
        <f>_xlfn.LET(
     _xlpm.a, TRIM(Employee_dataset[[#This Row],[Age]]),
     IF(
        _xlpm.a="","",
        IF(
           AND(ISNUMBER(--_xlpm.a),LEN(_xlpm.a)=2),_xlpm.a,""
          )
       )
    )</f>
        <v>25</v>
      </c>
      <c r="E27" t="str">
        <f>TRIM(_xlfn.TEXTBEFORE(Employee_dataset[[#This Row],[Department_Region]],"-"))</f>
        <v>Cloud Tech</v>
      </c>
      <c r="F27" t="str">
        <f>TRIM(_xlfn.TEXTAFTER(Employee_dataset[[#This Row],[Department_Region]],"-"))</f>
        <v>Nevada</v>
      </c>
      <c r="G27" t="str">
        <f>TRIM(Employee_dataset[[#This Row],[Status]])</f>
        <v>Pending</v>
      </c>
      <c r="H27" s="1">
        <f>_xlfn.LET(
     _xlpm.d, Employee_dataset[[#This Row],[Join_Date]],
     IF(
        ISNUMBER(_xlpm.d),_xlpm.d,""
       )
    )</f>
        <v>43951</v>
      </c>
      <c r="I27" s="6">
        <f>_xlfn.LET(
     _xlpm.s, TRIM(Employee_dataset[[#This Row],[Salary]]),
     IF(
        UPPER(_xlpm.s)="N/A","",
        IF(
           ISNUMBER(--_xlpm.s),ROUND(_xlfn.NUMBERVALUE(_xlpm.s),2),""
          )
       )
    )</f>
        <v>66025.919999999998</v>
      </c>
      <c r="J27" t="str">
        <f>TRIM(Employee_dataset[[#This Row],[Email]])</f>
        <v>david.miller@example.com</v>
      </c>
      <c r="K27" t="str">
        <f>_xlfn.LET(
     _xlpm.p,TRIM(SUBSTITUTE(Employee_dataset[[#This Row],[Phone]],"-","")),
     IF(
        LEN(_xlpm.p)=10,_xlfn.CONCAT("("&amp;LEFT(_xlpm.p,3)&amp;") "&amp;MID(_xlpm.p,4,3)&amp;"-"&amp;RIGHT(_xlpm.p,4),"")
       )
     )</f>
        <v>(948) 562-5727</v>
      </c>
      <c r="L27" t="str">
        <f>TRIM(Employee_dataset[[#This Row],[Performance_Score]])</f>
        <v>Average</v>
      </c>
      <c r="M27" t="str">
        <f>TRIM(Employee_dataset[[#This Row],[Remote_Work]])</f>
        <v>FALSE</v>
      </c>
    </row>
    <row r="28" spans="1:13" x14ac:dyDescent="0.3">
      <c r="A28" t="str">
        <f>TRIM(Employee_dataset[[#This Row],[Employee_ID]])</f>
        <v>EMP1026</v>
      </c>
      <c r="B28" t="str">
        <f>PROPER(TRIM(Employee_dataset[[#This Row],[First_Name]]))</f>
        <v>Frank</v>
      </c>
      <c r="C28" t="str">
        <f>PROPER(TRIM(Employee_dataset[[#This Row],[Last_Name]]))</f>
        <v>Miller</v>
      </c>
      <c r="D28" s="6" t="str">
        <f>_xlfn.LET(
     _xlpm.a, TRIM(Employee_dataset[[#This Row],[Age]]),
     IF(
        _xlpm.a="","",
        IF(
           AND(ISNUMBER(--_xlpm.a),LEN(_xlpm.a)=2),_xlpm.a,""
          )
       )
    )</f>
        <v>25</v>
      </c>
      <c r="E28" t="str">
        <f>TRIM(_xlfn.TEXTBEFORE(Employee_dataset[[#This Row],[Department_Region]],"-"))</f>
        <v>Sales</v>
      </c>
      <c r="F28" t="str">
        <f>TRIM(_xlfn.TEXTAFTER(Employee_dataset[[#This Row],[Department_Region]],"-"))</f>
        <v>New York</v>
      </c>
      <c r="G28" t="str">
        <f>TRIM(Employee_dataset[[#This Row],[Status]])</f>
        <v>Inactive</v>
      </c>
      <c r="H28" s="1">
        <f>_xlfn.LET(
     _xlpm.d, Employee_dataset[[#This Row],[Join_Date]],
     IF(
        ISNUMBER(_xlpm.d),_xlpm.d,""
       )
    )</f>
        <v>45201</v>
      </c>
      <c r="I28" s="6">
        <f>_xlfn.LET(
     _xlpm.s, TRIM(Employee_dataset[[#This Row],[Salary]]),
     IF(
        UPPER(_xlpm.s)="N/A","",
        IF(
           ISNUMBER(--_xlpm.s),ROUND(_xlfn.NUMBERVALUE(_xlpm.s),2),""
          )
       )
    )</f>
        <v>83979.01</v>
      </c>
      <c r="J28" t="str">
        <f>TRIM(Employee_dataset[[#This Row],[Email]])</f>
        <v>frank.miller@example.com</v>
      </c>
      <c r="K28" t="str">
        <f>_xlfn.LET(
     _xlpm.p,TRIM(SUBSTITUTE(Employee_dataset[[#This Row],[Phone]],"-","")),
     IF(
        LEN(_xlpm.p)=10,_xlfn.CONCAT("("&amp;LEFT(_xlpm.p,3)&amp;") "&amp;MID(_xlpm.p,4,3)&amp;"-"&amp;RIGHT(_xlpm.p,4),"")
       )
     )</f>
        <v>(703) 203-2073</v>
      </c>
      <c r="L28" t="str">
        <f>TRIM(Employee_dataset[[#This Row],[Performance_Score]])</f>
        <v>Average</v>
      </c>
      <c r="M28" t="str">
        <f>TRIM(Employee_dataset[[#This Row],[Remote_Work]])</f>
        <v>FALSE</v>
      </c>
    </row>
    <row r="29" spans="1:13" x14ac:dyDescent="0.3">
      <c r="A29" t="str">
        <f>TRIM(Employee_dataset[[#This Row],[Employee_ID]])</f>
        <v>EMP1027</v>
      </c>
      <c r="B29" t="str">
        <f>PROPER(TRIM(Employee_dataset[[#This Row],[First_Name]]))</f>
        <v>Heidi</v>
      </c>
      <c r="C29" t="str">
        <f>PROPER(TRIM(Employee_dataset[[#This Row],[Last_Name]]))</f>
        <v>Johnson</v>
      </c>
      <c r="D29" s="6" t="str">
        <f>_xlfn.LET(
     _xlpm.a, TRIM(Employee_dataset[[#This Row],[Age]]),
     IF(
        _xlpm.a="","",
        IF(
           AND(ISNUMBER(--_xlpm.a),LEN(_xlpm.a)=2),_xlpm.a,""
          )
       )
    )</f>
        <v>30</v>
      </c>
      <c r="E29" t="str">
        <f>TRIM(_xlfn.TEXTBEFORE(Employee_dataset[[#This Row],[Department_Region]],"-"))</f>
        <v>Finance</v>
      </c>
      <c r="F29" t="str">
        <f>TRIM(_xlfn.TEXTAFTER(Employee_dataset[[#This Row],[Department_Region]],"-"))</f>
        <v>Florida</v>
      </c>
      <c r="G29" t="str">
        <f>TRIM(Employee_dataset[[#This Row],[Status]])</f>
        <v>Active</v>
      </c>
      <c r="H29" s="1">
        <f>_xlfn.LET(
     _xlpm.d, Employee_dataset[[#This Row],[Join_Date]],
     IF(
        ISNUMBER(_xlpm.d),_xlpm.d,""
       )
    )</f>
        <v>44024</v>
      </c>
      <c r="I29" s="6">
        <f>_xlfn.LET(
     _xlpm.s, TRIM(Employee_dataset[[#This Row],[Salary]]),
     IF(
        UPPER(_xlpm.s)="N/A","",
        IF(
           ISNUMBER(--_xlpm.s),ROUND(_xlfn.NUMBERVALUE(_xlpm.s),2),""
          )
       )
    )</f>
        <v>56785.16</v>
      </c>
      <c r="J29" t="str">
        <f>TRIM(Employee_dataset[[#This Row],[Email]])</f>
        <v>heidi.johnson@example.com</v>
      </c>
      <c r="K29" t="str">
        <f>_xlfn.LET(
     _xlpm.p,TRIM(SUBSTITUTE(Employee_dataset[[#This Row],[Phone]],"-","")),
     IF(
        LEN(_xlpm.p)=10,_xlfn.CONCAT("("&amp;LEFT(_xlpm.p,3)&amp;") "&amp;MID(_xlpm.p,4,3)&amp;"-"&amp;RIGHT(_xlpm.p,4),"")
       )
     )</f>
        <v>(276) 170-7586</v>
      </c>
      <c r="L29" t="str">
        <f>TRIM(Employee_dataset[[#This Row],[Performance_Score]])</f>
        <v>Excellent</v>
      </c>
      <c r="M29" t="str">
        <f>TRIM(Employee_dataset[[#This Row],[Remote_Work]])</f>
        <v>TRUE</v>
      </c>
    </row>
    <row r="30" spans="1:13" x14ac:dyDescent="0.3">
      <c r="A30" t="str">
        <f>TRIM(Employee_dataset[[#This Row],[Employee_ID]])</f>
        <v>EMP1028</v>
      </c>
      <c r="B30" t="str">
        <f>PROPER(TRIM(Employee_dataset[[#This Row],[First_Name]]))</f>
        <v>Grace</v>
      </c>
      <c r="C30" t="str">
        <f>PROPER(TRIM(Employee_dataset[[#This Row],[Last_Name]]))</f>
        <v>Garcia</v>
      </c>
      <c r="D30" s="6" t="str">
        <f>_xlfn.LET(
     _xlpm.a, TRIM(Employee_dataset[[#This Row],[Age]]),
     IF(
        _xlpm.a="","",
        IF(
           AND(ISNUMBER(--_xlpm.a),LEN(_xlpm.a)=2),_xlpm.a,""
          )
       )
    )</f>
        <v>40</v>
      </c>
      <c r="E30" t="str">
        <f>TRIM(_xlfn.TEXTBEFORE(Employee_dataset[[#This Row],[Department_Region]],"-"))</f>
        <v>Finance</v>
      </c>
      <c r="F30" t="str">
        <f>TRIM(_xlfn.TEXTAFTER(Employee_dataset[[#This Row],[Department_Region]],"-"))</f>
        <v>Nevada</v>
      </c>
      <c r="G30" t="str">
        <f>TRIM(Employee_dataset[[#This Row],[Status]])</f>
        <v>Active</v>
      </c>
      <c r="H30" s="1">
        <f>_xlfn.LET(
     _xlpm.d, Employee_dataset[[#This Row],[Join_Date]],
     IF(
        ISNUMBER(_xlpm.d),_xlpm.d,""
       )
    )</f>
        <v>45210</v>
      </c>
      <c r="I30" s="6">
        <f>_xlfn.LET(
     _xlpm.s, TRIM(Employee_dataset[[#This Row],[Salary]]),
     IF(
        UPPER(_xlpm.s)="N/A","",
        IF(
           ISNUMBER(--_xlpm.s),ROUND(_xlfn.NUMBERVALUE(_xlpm.s),2),""
          )
       )
    )</f>
        <v>95741.88</v>
      </c>
      <c r="J30" t="str">
        <f>TRIM(Employee_dataset[[#This Row],[Email]])</f>
        <v>grace.garcia@example.com</v>
      </c>
      <c r="K30" t="str">
        <f>_xlfn.LET(
     _xlpm.p,TRIM(SUBSTITUTE(Employee_dataset[[#This Row],[Phone]],"-","")),
     IF(
        LEN(_xlpm.p)=10,_xlfn.CONCAT("("&amp;LEFT(_xlpm.p,3)&amp;") "&amp;MID(_xlpm.p,4,3)&amp;"-"&amp;RIGHT(_xlpm.p,4),"")
       )
     )</f>
        <v>(771) 215-1341</v>
      </c>
      <c r="L30" t="str">
        <f>TRIM(Employee_dataset[[#This Row],[Performance_Score]])</f>
        <v>Excellent</v>
      </c>
      <c r="M30" t="str">
        <f>TRIM(Employee_dataset[[#This Row],[Remote_Work]])</f>
        <v>FALSE</v>
      </c>
    </row>
    <row r="31" spans="1:13" x14ac:dyDescent="0.3">
      <c r="A31" t="str">
        <f>TRIM(Employee_dataset[[#This Row],[Employee_ID]])</f>
        <v>EMP1029</v>
      </c>
      <c r="B31" t="str">
        <f>PROPER(TRIM(Employee_dataset[[#This Row],[First_Name]]))</f>
        <v>Alice</v>
      </c>
      <c r="C31" t="str">
        <f>PROPER(TRIM(Employee_dataset[[#This Row],[Last_Name]]))</f>
        <v>Brown</v>
      </c>
      <c r="D31" s="6" t="str">
        <f>_xlfn.LET(
     _xlpm.a, TRIM(Employee_dataset[[#This Row],[Age]]),
     IF(
        _xlpm.a="","",
        IF(
           AND(ISNUMBER(--_xlpm.a),LEN(_xlpm.a)=2),_xlpm.a,""
          )
       )
    )</f>
        <v>40</v>
      </c>
      <c r="E31" t="str">
        <f>TRIM(_xlfn.TEXTBEFORE(Employee_dataset[[#This Row],[Department_Region]],"-"))</f>
        <v>DevOps</v>
      </c>
      <c r="F31" t="str">
        <f>TRIM(_xlfn.TEXTAFTER(Employee_dataset[[#This Row],[Department_Region]],"-"))</f>
        <v>California</v>
      </c>
      <c r="G31" t="str">
        <f>TRIM(Employee_dataset[[#This Row],[Status]])</f>
        <v>Active</v>
      </c>
      <c r="H31" s="1">
        <f>_xlfn.LET(
     _xlpm.d, Employee_dataset[[#This Row],[Join_Date]],
     IF(
        ISNUMBER(_xlpm.d),_xlpm.d,""
       )
    )</f>
        <v>44340</v>
      </c>
      <c r="I31" s="6">
        <f>_xlfn.LET(
     _xlpm.s, TRIM(Employee_dataset[[#This Row],[Salary]]),
     IF(
        UPPER(_xlpm.s)="N/A","",
        IF(
           ISNUMBER(--_xlpm.s),ROUND(_xlfn.NUMBERVALUE(_xlpm.s),2),""
          )
       )
    )</f>
        <v>63411.31</v>
      </c>
      <c r="J31" t="str">
        <f>TRIM(Employee_dataset[[#This Row],[Email]])</f>
        <v>alice.brown@example.com</v>
      </c>
      <c r="K31" t="str">
        <f>_xlfn.LET(
     _xlpm.p,TRIM(SUBSTITUTE(Employee_dataset[[#This Row],[Phone]],"-","")),
     IF(
        LEN(_xlpm.p)=10,_xlfn.CONCAT("("&amp;LEFT(_xlpm.p,3)&amp;") "&amp;MID(_xlpm.p,4,3)&amp;"-"&amp;RIGHT(_xlpm.p,4),"")
       )
     )</f>
        <v>(284) 993-9088</v>
      </c>
      <c r="L31" t="str">
        <f>TRIM(Employee_dataset[[#This Row],[Performance_Score]])</f>
        <v>Excellent</v>
      </c>
      <c r="M31" t="str">
        <f>TRIM(Employee_dataset[[#This Row],[Remote_Work]])</f>
        <v>TRUE</v>
      </c>
    </row>
    <row r="32" spans="1:13" x14ac:dyDescent="0.3">
      <c r="A32" t="str">
        <f>TRIM(Employee_dataset[[#This Row],[Employee_ID]])</f>
        <v>EMP1030</v>
      </c>
      <c r="B32" t="str">
        <f>PROPER(TRIM(Employee_dataset[[#This Row],[First_Name]]))</f>
        <v>Charlie</v>
      </c>
      <c r="C32" t="str">
        <f>PROPER(TRIM(Employee_dataset[[#This Row],[Last_Name]]))</f>
        <v>Jones</v>
      </c>
      <c r="D32" s="6" t="str">
        <f>_xlfn.LET(
     _xlpm.a, TRIM(Employee_dataset[[#This Row],[Age]]),
     IF(
        _xlpm.a="","",
        IF(
           AND(ISNUMBER(--_xlpm.a),LEN(_xlpm.a)=2),_xlpm.a,""
          )
       )
    )</f>
        <v>40</v>
      </c>
      <c r="E32" t="str">
        <f>TRIM(_xlfn.TEXTBEFORE(Employee_dataset[[#This Row],[Department_Region]],"-"))</f>
        <v>Admin</v>
      </c>
      <c r="F32" t="str">
        <f>TRIM(_xlfn.TEXTAFTER(Employee_dataset[[#This Row],[Department_Region]],"-"))</f>
        <v>California</v>
      </c>
      <c r="G32" t="str">
        <f>TRIM(Employee_dataset[[#This Row],[Status]])</f>
        <v>Inactive</v>
      </c>
      <c r="H32" s="1">
        <f>_xlfn.LET(
     _xlpm.d, Employee_dataset[[#This Row],[Join_Date]],
     IF(
        ISNUMBER(_xlpm.d),_xlpm.d,""
       )
    )</f>
        <v>44342</v>
      </c>
      <c r="I32" s="6">
        <f>_xlfn.LET(
     _xlpm.s, TRIM(Employee_dataset[[#This Row],[Salary]]),
     IF(
        UPPER(_xlpm.s)="N/A","",
        IF(
           ISNUMBER(--_xlpm.s),ROUND(_xlfn.NUMBERVALUE(_xlpm.s),2),""
          )
       )
    )</f>
        <v>111214.02</v>
      </c>
      <c r="J32" t="str">
        <f>TRIM(Employee_dataset[[#This Row],[Email]])</f>
        <v>charlie.jones@example.com</v>
      </c>
      <c r="K32" t="str">
        <f>_xlfn.LET(
     _xlpm.p,TRIM(SUBSTITUTE(Employee_dataset[[#This Row],[Phone]],"-","")),
     IF(
        LEN(_xlpm.p)=10,_xlfn.CONCAT("("&amp;LEFT(_xlpm.p,3)&amp;") "&amp;MID(_xlpm.p,4,3)&amp;"-"&amp;RIGHT(_xlpm.p,4),"")
       )
     )</f>
        <v>(261) 371-5040</v>
      </c>
      <c r="L32" t="str">
        <f>TRIM(Employee_dataset[[#This Row],[Performance_Score]])</f>
        <v>Good</v>
      </c>
      <c r="M32" t="str">
        <f>TRIM(Employee_dataset[[#This Row],[Remote_Work]])</f>
        <v>TRUE</v>
      </c>
    </row>
    <row r="33" spans="1:13" x14ac:dyDescent="0.3">
      <c r="A33" t="str">
        <f>TRIM(Employee_dataset[[#This Row],[Employee_ID]])</f>
        <v>EMP1031</v>
      </c>
      <c r="B33" t="str">
        <f>PROPER(TRIM(Employee_dataset[[#This Row],[First_Name]]))</f>
        <v>Bob</v>
      </c>
      <c r="C33" t="str">
        <f>PROPER(TRIM(Employee_dataset[[#This Row],[Last_Name]]))</f>
        <v>Smith</v>
      </c>
      <c r="D33" s="6" t="str">
        <f>_xlfn.LET(
     _xlpm.a, TRIM(Employee_dataset[[#This Row],[Age]]),
     IF(
        _xlpm.a="","",
        IF(
           AND(ISNUMBER(--_xlpm.a),LEN(_xlpm.a)=2),_xlpm.a,""
          )
       )
    )</f>
        <v>25</v>
      </c>
      <c r="E33" t="str">
        <f>TRIM(_xlfn.TEXTBEFORE(Employee_dataset[[#This Row],[Department_Region]],"-"))</f>
        <v>DevOps</v>
      </c>
      <c r="F33" t="str">
        <f>TRIM(_xlfn.TEXTAFTER(Employee_dataset[[#This Row],[Department_Region]],"-"))</f>
        <v>Illinois</v>
      </c>
      <c r="G33" t="str">
        <f>TRIM(Employee_dataset[[#This Row],[Status]])</f>
        <v>Active</v>
      </c>
      <c r="H33" s="1">
        <f>_xlfn.LET(
     _xlpm.d, Employee_dataset[[#This Row],[Join_Date]],
     IF(
        ISNUMBER(_xlpm.d),_xlpm.d,""
       )
    )</f>
        <v>44022</v>
      </c>
      <c r="I33" s="6">
        <f>_xlfn.LET(
     _xlpm.s, TRIM(Employee_dataset[[#This Row],[Salary]]),
     IF(
        UPPER(_xlpm.s)="N/A","",
        IF(
           ISNUMBER(--_xlpm.s),ROUND(_xlfn.NUMBERVALUE(_xlpm.s),2),""
          )
       )
    )</f>
        <v>114845.69</v>
      </c>
      <c r="J33" t="str">
        <f>TRIM(Employee_dataset[[#This Row],[Email]])</f>
        <v>bob.smith@example.com</v>
      </c>
      <c r="K33" t="str">
        <f>_xlfn.LET(
     _xlpm.p,TRIM(SUBSTITUTE(Employee_dataset[[#This Row],[Phone]],"-","")),
     IF(
        LEN(_xlpm.p)=10,_xlfn.CONCAT("("&amp;LEFT(_xlpm.p,3)&amp;") "&amp;MID(_xlpm.p,4,3)&amp;"-"&amp;RIGHT(_xlpm.p,4),"")
       )
     )</f>
        <v>(659) 152-0176</v>
      </c>
      <c r="L33" t="str">
        <f>TRIM(Employee_dataset[[#This Row],[Performance_Score]])</f>
        <v>Excellent</v>
      </c>
      <c r="M33" t="str">
        <f>TRIM(Employee_dataset[[#This Row],[Remote_Work]])</f>
        <v>TRUE</v>
      </c>
    </row>
    <row r="34" spans="1:13" x14ac:dyDescent="0.3">
      <c r="A34" t="str">
        <f>TRIM(Employee_dataset[[#This Row],[Employee_ID]])</f>
        <v>EMP1032</v>
      </c>
      <c r="B34" t="str">
        <f>PROPER(TRIM(Employee_dataset[[#This Row],[First_Name]]))</f>
        <v>Charlie</v>
      </c>
      <c r="C34" t="str">
        <f>PROPER(TRIM(Employee_dataset[[#This Row],[Last_Name]]))</f>
        <v>Brown</v>
      </c>
      <c r="D34" s="6" t="str">
        <f>_xlfn.LET(
     _xlpm.a, TRIM(Employee_dataset[[#This Row],[Age]]),
     IF(
        _xlpm.a="","",
        IF(
           AND(ISNUMBER(--_xlpm.a),LEN(_xlpm.a)=2),_xlpm.a,""
          )
       )
    )</f>
        <v>40</v>
      </c>
      <c r="E34" t="str">
        <f>TRIM(_xlfn.TEXTBEFORE(Employee_dataset[[#This Row],[Department_Region]],"-"))</f>
        <v>Finance</v>
      </c>
      <c r="F34" t="str">
        <f>TRIM(_xlfn.TEXTAFTER(Employee_dataset[[#This Row],[Department_Region]],"-"))</f>
        <v>Florida</v>
      </c>
      <c r="G34" t="str">
        <f>TRIM(Employee_dataset[[#This Row],[Status]])</f>
        <v>Active</v>
      </c>
      <c r="H34" s="1">
        <f>_xlfn.LET(
     _xlpm.d, Employee_dataset[[#This Row],[Join_Date]],
     IF(
        ISNUMBER(_xlpm.d),_xlpm.d,""
       )
    )</f>
        <v>45601</v>
      </c>
      <c r="I34" s="6">
        <f>_xlfn.LET(
     _xlpm.s, TRIM(Employee_dataset[[#This Row],[Salary]]),
     IF(
        UPPER(_xlpm.s)="N/A","",
        IF(
           ISNUMBER(--_xlpm.s),ROUND(_xlfn.NUMBERVALUE(_xlpm.s),2),""
          )
       )
    )</f>
        <v>78072.820000000007</v>
      </c>
      <c r="J34" t="str">
        <f>TRIM(Employee_dataset[[#This Row],[Email]])</f>
        <v>charlie.brown@example.com</v>
      </c>
      <c r="K34" t="str">
        <f>_xlfn.LET(
     _xlpm.p,TRIM(SUBSTITUTE(Employee_dataset[[#This Row],[Phone]],"-","")),
     IF(
        LEN(_xlpm.p)=10,_xlfn.CONCAT("("&amp;LEFT(_xlpm.p,3)&amp;") "&amp;MID(_xlpm.p,4,3)&amp;"-"&amp;RIGHT(_xlpm.p,4),"")
       )
     )</f>
        <v>(749) 050-9758</v>
      </c>
      <c r="L34" t="str">
        <f>TRIM(Employee_dataset[[#This Row],[Performance_Score]])</f>
        <v>Average</v>
      </c>
      <c r="M34" t="str">
        <f>TRIM(Employee_dataset[[#This Row],[Remote_Work]])</f>
        <v>FALSE</v>
      </c>
    </row>
    <row r="35" spans="1:13" x14ac:dyDescent="0.3">
      <c r="A35" t="str">
        <f>TRIM(Employee_dataset[[#This Row],[Employee_ID]])</f>
        <v>EMP1033</v>
      </c>
      <c r="B35" t="str">
        <f>PROPER(TRIM(Employee_dataset[[#This Row],[First_Name]]))</f>
        <v>Grace</v>
      </c>
      <c r="C35" t="str">
        <f>PROPER(TRIM(Employee_dataset[[#This Row],[Last_Name]]))</f>
        <v>Johnson</v>
      </c>
      <c r="D35" s="6" t="str">
        <f>_xlfn.LET(
     _xlpm.a, TRIM(Employee_dataset[[#This Row],[Age]]),
     IF(
        _xlpm.a="","",
        IF(
           AND(ISNUMBER(--_xlpm.a),LEN(_xlpm.a)=2),_xlpm.a,""
          )
       )
    )</f>
        <v>25</v>
      </c>
      <c r="E35" t="str">
        <f>TRIM(_xlfn.TEXTBEFORE(Employee_dataset[[#This Row],[Department_Region]],"-"))</f>
        <v>Finance</v>
      </c>
      <c r="F35" t="str">
        <f>TRIM(_xlfn.TEXTAFTER(Employee_dataset[[#This Row],[Department_Region]],"-"))</f>
        <v>California</v>
      </c>
      <c r="G35" t="str">
        <f>TRIM(Employee_dataset[[#This Row],[Status]])</f>
        <v>Inactive</v>
      </c>
      <c r="H35" s="1">
        <f>_xlfn.LET(
     _xlpm.d, Employee_dataset[[#This Row],[Join_Date]],
     IF(
        ISNUMBER(_xlpm.d),_xlpm.d,""
       )
    )</f>
        <v>44415</v>
      </c>
      <c r="I35" s="6">
        <f>_xlfn.LET(
     _xlpm.s, TRIM(Employee_dataset[[#This Row],[Salary]]),
     IF(
        UPPER(_xlpm.s)="N/A","",
        IF(
           ISNUMBER(--_xlpm.s),ROUND(_xlfn.NUMBERVALUE(_xlpm.s),2),""
          )
       )
    )</f>
        <v>79610.52</v>
      </c>
      <c r="J35" t="str">
        <f>TRIM(Employee_dataset[[#This Row],[Email]])</f>
        <v>grace.johnson@example.com</v>
      </c>
      <c r="K35" t="str">
        <f>_xlfn.LET(
     _xlpm.p,TRIM(SUBSTITUTE(Employee_dataset[[#This Row],[Phone]],"-","")),
     IF(
        LEN(_xlpm.p)=10,_xlfn.CONCAT("("&amp;LEFT(_xlpm.p,3)&amp;") "&amp;MID(_xlpm.p,4,3)&amp;"-"&amp;RIGHT(_xlpm.p,4),"")
       )
     )</f>
        <v>(230) 450-1895</v>
      </c>
      <c r="L35" t="str">
        <f>TRIM(Employee_dataset[[#This Row],[Performance_Score]])</f>
        <v>Average</v>
      </c>
      <c r="M35" t="str">
        <f>TRIM(Employee_dataset[[#This Row],[Remote_Work]])</f>
        <v>FALSE</v>
      </c>
    </row>
    <row r="36" spans="1:13" x14ac:dyDescent="0.3">
      <c r="A36" t="str">
        <f>TRIM(Employee_dataset[[#This Row],[Employee_ID]])</f>
        <v>EMP1034</v>
      </c>
      <c r="B36" t="str">
        <f>PROPER(TRIM(Employee_dataset[[#This Row],[First_Name]]))</f>
        <v>Heidi</v>
      </c>
      <c r="C36" t="str">
        <f>PROPER(TRIM(Employee_dataset[[#This Row],[Last_Name]]))</f>
        <v>Miller</v>
      </c>
      <c r="D36" s="6" t="str">
        <f>_xlfn.LET(
     _xlpm.a, TRIM(Employee_dataset[[#This Row],[Age]]),
     IF(
        _xlpm.a="","",
        IF(
           AND(ISNUMBER(--_xlpm.a),LEN(_xlpm.a)=2),_xlpm.a,""
          )
       )
    )</f>
        <v>30</v>
      </c>
      <c r="E36" t="str">
        <f>TRIM(_xlfn.TEXTBEFORE(Employee_dataset[[#This Row],[Department_Region]],"-"))</f>
        <v>Admin</v>
      </c>
      <c r="F36" t="str">
        <f>TRIM(_xlfn.TEXTAFTER(Employee_dataset[[#This Row],[Department_Region]],"-"))</f>
        <v>California</v>
      </c>
      <c r="G36" t="str">
        <f>TRIM(Employee_dataset[[#This Row],[Status]])</f>
        <v>Active</v>
      </c>
      <c r="H36" s="1">
        <f>_xlfn.LET(
     _xlpm.d, Employee_dataset[[#This Row],[Join_Date]],
     IF(
        ISNUMBER(_xlpm.d),_xlpm.d,""
       )
    )</f>
        <v>43950</v>
      </c>
      <c r="I36" s="6">
        <f>_xlfn.LET(
     _xlpm.s, TRIM(Employee_dataset[[#This Row],[Salary]]),
     IF(
        UPPER(_xlpm.s)="N/A","",
        IF(
           ISNUMBER(--_xlpm.s),ROUND(_xlfn.NUMBERVALUE(_xlpm.s),2),""
          )
       )
    )</f>
        <v>90542.62</v>
      </c>
      <c r="J36" t="str">
        <f>TRIM(Employee_dataset[[#This Row],[Email]])</f>
        <v>heidi.miller@example.com</v>
      </c>
      <c r="K36" t="str">
        <f>_xlfn.LET(
     _xlpm.p,TRIM(SUBSTITUTE(Employee_dataset[[#This Row],[Phone]],"-","")),
     IF(
        LEN(_xlpm.p)=10,_xlfn.CONCAT("("&amp;LEFT(_xlpm.p,3)&amp;") "&amp;MID(_xlpm.p,4,3)&amp;"-"&amp;RIGHT(_xlpm.p,4),"")
       )
     )</f>
        <v>(164) 236-1031</v>
      </c>
      <c r="L36" t="str">
        <f>TRIM(Employee_dataset[[#This Row],[Performance_Score]])</f>
        <v>Excellent</v>
      </c>
      <c r="M36" t="str">
        <f>TRIM(Employee_dataset[[#This Row],[Remote_Work]])</f>
        <v>TRUE</v>
      </c>
    </row>
    <row r="37" spans="1:13" x14ac:dyDescent="0.3">
      <c r="A37" t="str">
        <f>TRIM(Employee_dataset[[#This Row],[Employee_ID]])</f>
        <v>EMP1035</v>
      </c>
      <c r="B37" t="str">
        <f>PROPER(TRIM(Employee_dataset[[#This Row],[First_Name]]))</f>
        <v>Frank</v>
      </c>
      <c r="C37" t="str">
        <f>PROPER(TRIM(Employee_dataset[[#This Row],[Last_Name]]))</f>
        <v>Jones</v>
      </c>
      <c r="D37" s="6" t="str">
        <f>_xlfn.LET(
     _xlpm.a, TRIM(Employee_dataset[[#This Row],[Age]]),
     IF(
        _xlpm.a="","",
        IF(
           AND(ISNUMBER(--_xlpm.a),LEN(_xlpm.a)=2),_xlpm.a,""
          )
       )
    )</f>
        <v>25</v>
      </c>
      <c r="E37" t="str">
        <f>TRIM(_xlfn.TEXTBEFORE(Employee_dataset[[#This Row],[Department_Region]],"-"))</f>
        <v>Cloud Tech</v>
      </c>
      <c r="F37" t="str">
        <f>TRIM(_xlfn.TEXTAFTER(Employee_dataset[[#This Row],[Department_Region]],"-"))</f>
        <v>Illinois</v>
      </c>
      <c r="G37" t="str">
        <f>TRIM(Employee_dataset[[#This Row],[Status]])</f>
        <v>Inactive</v>
      </c>
      <c r="H37" s="1">
        <f>_xlfn.LET(
     _xlpm.d, Employee_dataset[[#This Row],[Join_Date]],
     IF(
        ISNUMBER(_xlpm.d),_xlpm.d,""
       )
    )</f>
        <v>44860</v>
      </c>
      <c r="I37" s="6">
        <f>_xlfn.LET(
     _xlpm.s, TRIM(Employee_dataset[[#This Row],[Salary]]),
     IF(
        UPPER(_xlpm.s)="N/A","",
        IF(
           ISNUMBER(--_xlpm.s),ROUND(_xlfn.NUMBERVALUE(_xlpm.s),2),""
          )
       )
    )</f>
        <v>114357.1</v>
      </c>
      <c r="J37" t="str">
        <f>TRIM(Employee_dataset[[#This Row],[Email]])</f>
        <v>frank.jones@example.com</v>
      </c>
      <c r="K37" t="str">
        <f>_xlfn.LET(
     _xlpm.p,TRIM(SUBSTITUTE(Employee_dataset[[#This Row],[Phone]],"-","")),
     IF(
        LEN(_xlpm.p)=10,_xlfn.CONCAT("("&amp;LEFT(_xlpm.p,3)&amp;") "&amp;MID(_xlpm.p,4,3)&amp;"-"&amp;RIGHT(_xlpm.p,4),"")
       )
     )</f>
        <v>(664) 214-7648</v>
      </c>
      <c r="L37" t="str">
        <f>TRIM(Employee_dataset[[#This Row],[Performance_Score]])</f>
        <v>Excellent</v>
      </c>
      <c r="M37" t="str">
        <f>TRIM(Employee_dataset[[#This Row],[Remote_Work]])</f>
        <v>TRUE</v>
      </c>
    </row>
    <row r="38" spans="1:13" x14ac:dyDescent="0.3">
      <c r="A38" t="str">
        <f>TRIM(Employee_dataset[[#This Row],[Employee_ID]])</f>
        <v>EMP1036</v>
      </c>
      <c r="B38" t="str">
        <f>PROPER(TRIM(Employee_dataset[[#This Row],[First_Name]]))</f>
        <v>Alice</v>
      </c>
      <c r="C38" t="str">
        <f>PROPER(TRIM(Employee_dataset[[#This Row],[Last_Name]]))</f>
        <v>Brown</v>
      </c>
      <c r="D38" s="6" t="str">
        <f>_xlfn.LET(
     _xlpm.a, TRIM(Employee_dataset[[#This Row],[Age]]),
     IF(
        _xlpm.a="","",
        IF(
           AND(ISNUMBER(--_xlpm.a),LEN(_xlpm.a)=2),_xlpm.a,""
          )
       )
    )</f>
        <v/>
      </c>
      <c r="E38" t="str">
        <f>TRIM(_xlfn.TEXTBEFORE(Employee_dataset[[#This Row],[Department_Region]],"-"))</f>
        <v>Cloud Tech</v>
      </c>
      <c r="F38" t="str">
        <f>TRIM(_xlfn.TEXTAFTER(Employee_dataset[[#This Row],[Department_Region]],"-"))</f>
        <v>New York</v>
      </c>
      <c r="G38" t="str">
        <f>TRIM(Employee_dataset[[#This Row],[Status]])</f>
        <v>Active</v>
      </c>
      <c r="H38" s="1">
        <f>_xlfn.LET(
     _xlpm.d, Employee_dataset[[#This Row],[Join_Date]],
     IF(
        ISNUMBER(_xlpm.d),_xlpm.d,""
       )
    )</f>
        <v>45049</v>
      </c>
      <c r="I38" s="6">
        <f>_xlfn.LET(
     _xlpm.s, TRIM(Employee_dataset[[#This Row],[Salary]]),
     IF(
        UPPER(_xlpm.s)="N/A","",
        IF(
           ISNUMBER(--_xlpm.s),ROUND(_xlfn.NUMBERVALUE(_xlpm.s),2),""
          )
       )
    )</f>
        <v>54757.26</v>
      </c>
      <c r="J38" t="str">
        <f>TRIM(Employee_dataset[[#This Row],[Email]])</f>
        <v>alice.brown@example.com</v>
      </c>
      <c r="K38" t="str">
        <f>_xlfn.LET(
     _xlpm.p,TRIM(SUBSTITUTE(Employee_dataset[[#This Row],[Phone]],"-","")),
     IF(
        LEN(_xlpm.p)=10,_xlfn.CONCAT("("&amp;LEFT(_xlpm.p,3)&amp;") "&amp;MID(_xlpm.p,4,3)&amp;"-"&amp;RIGHT(_xlpm.p,4),"")
       )
     )</f>
        <v>(251) 583-7766</v>
      </c>
      <c r="L38" t="str">
        <f>TRIM(Employee_dataset[[#This Row],[Performance_Score]])</f>
        <v>Poor</v>
      </c>
      <c r="M38" t="str">
        <f>TRIM(Employee_dataset[[#This Row],[Remote_Work]])</f>
        <v>FALSE</v>
      </c>
    </row>
    <row r="39" spans="1:13" x14ac:dyDescent="0.3">
      <c r="A39" t="str">
        <f>TRIM(Employee_dataset[[#This Row],[Employee_ID]])</f>
        <v>EMP1037</v>
      </c>
      <c r="B39" t="str">
        <f>PROPER(TRIM(Employee_dataset[[#This Row],[First_Name]]))</f>
        <v>Grace</v>
      </c>
      <c r="C39" t="str">
        <f>PROPER(TRIM(Employee_dataset[[#This Row],[Last_Name]]))</f>
        <v>Smith</v>
      </c>
      <c r="D39" s="6" t="str">
        <f>_xlfn.LET(
     _xlpm.a, TRIM(Employee_dataset[[#This Row],[Age]]),
     IF(
        _xlpm.a="","",
        IF(
           AND(ISNUMBER(--_xlpm.a),LEN(_xlpm.a)=2),_xlpm.a,""
          )
       )
    )</f>
        <v>25</v>
      </c>
      <c r="E39" t="str">
        <f>TRIM(_xlfn.TEXTBEFORE(Employee_dataset[[#This Row],[Department_Region]],"-"))</f>
        <v>Sales</v>
      </c>
      <c r="F39" t="str">
        <f>TRIM(_xlfn.TEXTAFTER(Employee_dataset[[#This Row],[Department_Region]],"-"))</f>
        <v>New York</v>
      </c>
      <c r="G39" t="str">
        <f>TRIM(Employee_dataset[[#This Row],[Status]])</f>
        <v>Pending</v>
      </c>
      <c r="H39" s="1">
        <f>_xlfn.LET(
     _xlpm.d, Employee_dataset[[#This Row],[Join_Date]],
     IF(
        ISNUMBER(_xlpm.d),_xlpm.d,""
       )
    )</f>
        <v>45048</v>
      </c>
      <c r="I39" s="6">
        <f>_xlfn.LET(
     _xlpm.s, TRIM(Employee_dataset[[#This Row],[Salary]]),
     IF(
        UPPER(_xlpm.s)="N/A","",
        IF(
           ISNUMBER(--_xlpm.s),ROUND(_xlfn.NUMBERVALUE(_xlpm.s),2),""
          )
       )
    )</f>
        <v>52781.919999999998</v>
      </c>
      <c r="J39" t="str">
        <f>TRIM(Employee_dataset[[#This Row],[Email]])</f>
        <v>grace.smith@example.com</v>
      </c>
      <c r="K39" t="str">
        <f>_xlfn.LET(
     _xlpm.p,TRIM(SUBSTITUTE(Employee_dataset[[#This Row],[Phone]],"-","")),
     IF(
        LEN(_xlpm.p)=10,_xlfn.CONCAT("("&amp;LEFT(_xlpm.p,3)&amp;") "&amp;MID(_xlpm.p,4,3)&amp;"-"&amp;RIGHT(_xlpm.p,4),"")
       )
     )</f>
        <v>(499) 616-5925</v>
      </c>
      <c r="L39" t="str">
        <f>TRIM(Employee_dataset[[#This Row],[Performance_Score]])</f>
        <v>Average</v>
      </c>
      <c r="M39" t="str">
        <f>TRIM(Employee_dataset[[#This Row],[Remote_Work]])</f>
        <v>TRUE</v>
      </c>
    </row>
    <row r="40" spans="1:13" x14ac:dyDescent="0.3">
      <c r="A40" t="str">
        <f>TRIM(Employee_dataset[[#This Row],[Employee_ID]])</f>
        <v>EMP1038</v>
      </c>
      <c r="B40" t="str">
        <f>PROPER(TRIM(Employee_dataset[[#This Row],[First_Name]]))</f>
        <v>Frank</v>
      </c>
      <c r="C40" t="str">
        <f>PROPER(TRIM(Employee_dataset[[#This Row],[Last_Name]]))</f>
        <v>Smith</v>
      </c>
      <c r="D40" s="6" t="str">
        <f>_xlfn.LET(
     _xlpm.a, TRIM(Employee_dataset[[#This Row],[Age]]),
     IF(
        _xlpm.a="","",
        IF(
           AND(ISNUMBER(--_xlpm.a),LEN(_xlpm.a)=2),_xlpm.a,""
          )
       )
    )</f>
        <v>35</v>
      </c>
      <c r="E40" t="str">
        <f>TRIM(_xlfn.TEXTBEFORE(Employee_dataset[[#This Row],[Department_Region]],"-"))</f>
        <v>Admin</v>
      </c>
      <c r="F40" t="str">
        <f>TRIM(_xlfn.TEXTAFTER(Employee_dataset[[#This Row],[Department_Region]],"-"))</f>
        <v>Nevada</v>
      </c>
      <c r="G40" t="str">
        <f>TRIM(Employee_dataset[[#This Row],[Status]])</f>
        <v>Pending</v>
      </c>
      <c r="H40" s="1">
        <f>_xlfn.LET(
     _xlpm.d, Employee_dataset[[#This Row],[Join_Date]],
     IF(
        ISNUMBER(_xlpm.d),_xlpm.d,""
       )
    )</f>
        <v>44474</v>
      </c>
      <c r="I40" s="6">
        <f>_xlfn.LET(
     _xlpm.s, TRIM(Employee_dataset[[#This Row],[Salary]]),
     IF(
        UPPER(_xlpm.s)="N/A","",
        IF(
           ISNUMBER(--_xlpm.s),ROUND(_xlfn.NUMBERVALUE(_xlpm.s),2),""
          )
       )
    )</f>
        <v>66708.02</v>
      </c>
      <c r="J40" t="str">
        <f>TRIM(Employee_dataset[[#This Row],[Email]])</f>
        <v>frank.smith@example.com</v>
      </c>
      <c r="K40" t="str">
        <f>_xlfn.LET(
     _xlpm.p,TRIM(SUBSTITUTE(Employee_dataset[[#This Row],[Phone]],"-","")),
     IF(
        LEN(_xlpm.p)=10,_xlfn.CONCAT("("&amp;LEFT(_xlpm.p,3)&amp;") "&amp;MID(_xlpm.p,4,3)&amp;"-"&amp;RIGHT(_xlpm.p,4),"")
       )
     )</f>
        <v>(610) 857-3277</v>
      </c>
      <c r="L40" t="str">
        <f>TRIM(Employee_dataset[[#This Row],[Performance_Score]])</f>
        <v>Good</v>
      </c>
      <c r="M40" t="str">
        <f>TRIM(Employee_dataset[[#This Row],[Remote_Work]])</f>
        <v>TRUE</v>
      </c>
    </row>
    <row r="41" spans="1:13" x14ac:dyDescent="0.3">
      <c r="A41" t="str">
        <f>TRIM(Employee_dataset[[#This Row],[Employee_ID]])</f>
        <v>EMP1039</v>
      </c>
      <c r="B41" t="str">
        <f>PROPER(TRIM(Employee_dataset[[#This Row],[First_Name]]))</f>
        <v>Eva</v>
      </c>
      <c r="C41" t="str">
        <f>PROPER(TRIM(Employee_dataset[[#This Row],[Last_Name]]))</f>
        <v>Williams</v>
      </c>
      <c r="D41" s="6" t="str">
        <f>_xlfn.LET(
     _xlpm.a, TRIM(Employee_dataset[[#This Row],[Age]]),
     IF(
        _xlpm.a="","",
        IF(
           AND(ISNUMBER(--_xlpm.a),LEN(_xlpm.a)=2),_xlpm.a,""
          )
       )
    )</f>
        <v>40</v>
      </c>
      <c r="E41" t="str">
        <f>TRIM(_xlfn.TEXTBEFORE(Employee_dataset[[#This Row],[Department_Region]],"-"))</f>
        <v>HR</v>
      </c>
      <c r="F41" t="str">
        <f>TRIM(_xlfn.TEXTAFTER(Employee_dataset[[#This Row],[Department_Region]],"-"))</f>
        <v>Texas</v>
      </c>
      <c r="G41" t="str">
        <f>TRIM(Employee_dataset[[#This Row],[Status]])</f>
        <v>Active</v>
      </c>
      <c r="H41" s="1">
        <f>_xlfn.LET(
     _xlpm.d, Employee_dataset[[#This Row],[Join_Date]],
     IF(
        ISNUMBER(_xlpm.d),_xlpm.d,""
       )
    )</f>
        <v>44769</v>
      </c>
      <c r="I41" s="6">
        <f>_xlfn.LET(
     _xlpm.s, TRIM(Employee_dataset[[#This Row],[Salary]]),
     IF(
        UPPER(_xlpm.s)="N/A","",
        IF(
           ISNUMBER(--_xlpm.s),ROUND(_xlfn.NUMBERVALUE(_xlpm.s),2),""
          )
       )
    )</f>
        <v>93481.15</v>
      </c>
      <c r="J41" t="str">
        <f>TRIM(Employee_dataset[[#This Row],[Email]])</f>
        <v>eva.williams@example.com</v>
      </c>
      <c r="K41" t="str">
        <f>_xlfn.LET(
     _xlpm.p,TRIM(SUBSTITUTE(Employee_dataset[[#This Row],[Phone]],"-","")),
     IF(
        LEN(_xlpm.p)=10,_xlfn.CONCAT("("&amp;LEFT(_xlpm.p,3)&amp;") "&amp;MID(_xlpm.p,4,3)&amp;"-"&amp;RIGHT(_xlpm.p,4),"")
       )
     )</f>
        <v>(814) 761-7421</v>
      </c>
      <c r="L41" t="str">
        <f>TRIM(Employee_dataset[[#This Row],[Performance_Score]])</f>
        <v>Poor</v>
      </c>
      <c r="M41" t="str">
        <f>TRIM(Employee_dataset[[#This Row],[Remote_Work]])</f>
        <v>FALSE</v>
      </c>
    </row>
    <row r="42" spans="1:13" x14ac:dyDescent="0.3">
      <c r="A42" t="str">
        <f>TRIM(Employee_dataset[[#This Row],[Employee_ID]])</f>
        <v>EMP1040</v>
      </c>
      <c r="B42" t="str">
        <f>PROPER(TRIM(Employee_dataset[[#This Row],[First_Name]]))</f>
        <v>Bob</v>
      </c>
      <c r="C42" t="str">
        <f>PROPER(TRIM(Employee_dataset[[#This Row],[Last_Name]]))</f>
        <v>Williams</v>
      </c>
      <c r="D42" s="6" t="str">
        <f>_xlfn.LET(
     _xlpm.a, TRIM(Employee_dataset[[#This Row],[Age]]),
     IF(
        _xlpm.a="","",
        IF(
           AND(ISNUMBER(--_xlpm.a),LEN(_xlpm.a)=2),_xlpm.a,""
          )
       )
    )</f>
        <v>25</v>
      </c>
      <c r="E42" t="str">
        <f>TRIM(_xlfn.TEXTBEFORE(Employee_dataset[[#This Row],[Department_Region]],"-"))</f>
        <v>Sales</v>
      </c>
      <c r="F42" t="str">
        <f>TRIM(_xlfn.TEXTAFTER(Employee_dataset[[#This Row],[Department_Region]],"-"))</f>
        <v>New York</v>
      </c>
      <c r="G42" t="str">
        <f>TRIM(Employee_dataset[[#This Row],[Status]])</f>
        <v>Pending</v>
      </c>
      <c r="H42" s="1">
        <f>_xlfn.LET(
     _xlpm.d, Employee_dataset[[#This Row],[Join_Date]],
     IF(
        ISNUMBER(_xlpm.d),_xlpm.d,""
       )
    )</f>
        <v>44374</v>
      </c>
      <c r="I42" s="6">
        <f>_xlfn.LET(
     _xlpm.s, TRIM(Employee_dataset[[#This Row],[Salary]]),
     IF(
        UPPER(_xlpm.s)="N/A","",
        IF(
           ISNUMBER(--_xlpm.s),ROUND(_xlfn.NUMBERVALUE(_xlpm.s),2),""
          )
       )
    )</f>
        <v>59271.96</v>
      </c>
      <c r="J42" t="str">
        <f>TRIM(Employee_dataset[[#This Row],[Email]])</f>
        <v>bob.williams@example.com</v>
      </c>
      <c r="K42" t="str">
        <f>_xlfn.LET(
     _xlpm.p,TRIM(SUBSTITUTE(Employee_dataset[[#This Row],[Phone]],"-","")),
     IF(
        LEN(_xlpm.p)=10,_xlfn.CONCAT("("&amp;LEFT(_xlpm.p,3)&amp;") "&amp;MID(_xlpm.p,4,3)&amp;"-"&amp;RIGHT(_xlpm.p,4),"")
       )
     )</f>
        <v>(438) 649-0809</v>
      </c>
      <c r="L42" t="str">
        <f>TRIM(Employee_dataset[[#This Row],[Performance_Score]])</f>
        <v>Excellent</v>
      </c>
      <c r="M42" t="str">
        <f>TRIM(Employee_dataset[[#This Row],[Remote_Work]])</f>
        <v>TRUE</v>
      </c>
    </row>
    <row r="43" spans="1:13" x14ac:dyDescent="0.3">
      <c r="A43" t="str">
        <f>TRIM(Employee_dataset[[#This Row],[Employee_ID]])</f>
        <v>EMP1041</v>
      </c>
      <c r="B43" t="str">
        <f>PROPER(TRIM(Employee_dataset[[#This Row],[First_Name]]))</f>
        <v>Bob</v>
      </c>
      <c r="C43" t="str">
        <f>PROPER(TRIM(Employee_dataset[[#This Row],[Last_Name]]))</f>
        <v>Davis</v>
      </c>
      <c r="D43" s="6" t="str">
        <f>_xlfn.LET(
     _xlpm.a, TRIM(Employee_dataset[[#This Row],[Age]]),
     IF(
        _xlpm.a="","",
        IF(
           AND(ISNUMBER(--_xlpm.a),LEN(_xlpm.a)=2),_xlpm.a,""
          )
       )
    )</f>
        <v>30</v>
      </c>
      <c r="E43" t="str">
        <f>TRIM(_xlfn.TEXTBEFORE(Employee_dataset[[#This Row],[Department_Region]],"-"))</f>
        <v>HR</v>
      </c>
      <c r="F43" t="str">
        <f>TRIM(_xlfn.TEXTAFTER(Employee_dataset[[#This Row],[Department_Region]],"-"))</f>
        <v>California</v>
      </c>
      <c r="G43" t="str">
        <f>TRIM(Employee_dataset[[#This Row],[Status]])</f>
        <v>Active</v>
      </c>
      <c r="H43" s="1">
        <f>_xlfn.LET(
     _xlpm.d, Employee_dataset[[#This Row],[Join_Date]],
     IF(
        ISNUMBER(_xlpm.d),_xlpm.d,""
       )
    )</f>
        <v>44728</v>
      </c>
      <c r="I43" s="6">
        <f>_xlfn.LET(
     _xlpm.s, TRIM(Employee_dataset[[#This Row],[Salary]]),
     IF(
        UPPER(_xlpm.s)="N/A","",
        IF(
           ISNUMBER(--_xlpm.s),ROUND(_xlfn.NUMBERVALUE(_xlpm.s),2),""
          )
       )
    )</f>
        <v>108362.15</v>
      </c>
      <c r="J43" t="str">
        <f>TRIM(Employee_dataset[[#This Row],[Email]])</f>
        <v>bob.davis@example.com</v>
      </c>
      <c r="K43" t="str">
        <f>_xlfn.LET(
     _xlpm.p,TRIM(SUBSTITUTE(Employee_dataset[[#This Row],[Phone]],"-","")),
     IF(
        LEN(_xlpm.p)=10,_xlfn.CONCAT("("&amp;LEFT(_xlpm.p,3)&amp;") "&amp;MID(_xlpm.p,4,3)&amp;"-"&amp;RIGHT(_xlpm.p,4),"")
       )
     )</f>
        <v>(818) 661-7944</v>
      </c>
      <c r="L43" t="str">
        <f>TRIM(Employee_dataset[[#This Row],[Performance_Score]])</f>
        <v>Excellent</v>
      </c>
      <c r="M43" t="str">
        <f>TRIM(Employee_dataset[[#This Row],[Remote_Work]])</f>
        <v>FALSE</v>
      </c>
    </row>
    <row r="44" spans="1:13" x14ac:dyDescent="0.3">
      <c r="A44" t="str">
        <f>TRIM(Employee_dataset[[#This Row],[Employee_ID]])</f>
        <v>EMP1042</v>
      </c>
      <c r="B44" t="str">
        <f>PROPER(TRIM(Employee_dataset[[#This Row],[First_Name]]))</f>
        <v>Alice</v>
      </c>
      <c r="C44" t="str">
        <f>PROPER(TRIM(Employee_dataset[[#This Row],[Last_Name]]))</f>
        <v>Johnson</v>
      </c>
      <c r="D44" s="6" t="str">
        <f>_xlfn.LET(
     _xlpm.a, TRIM(Employee_dataset[[#This Row],[Age]]),
     IF(
        _xlpm.a="","",
        IF(
           AND(ISNUMBER(--_xlpm.a),LEN(_xlpm.a)=2),_xlpm.a,""
          )
       )
    )</f>
        <v/>
      </c>
      <c r="E44" t="str">
        <f>TRIM(_xlfn.TEXTBEFORE(Employee_dataset[[#This Row],[Department_Region]],"-"))</f>
        <v>HR</v>
      </c>
      <c r="F44" t="str">
        <f>TRIM(_xlfn.TEXTAFTER(Employee_dataset[[#This Row],[Department_Region]],"-"))</f>
        <v>Nevada</v>
      </c>
      <c r="G44" t="str">
        <f>TRIM(Employee_dataset[[#This Row],[Status]])</f>
        <v>Active</v>
      </c>
      <c r="H44" s="1">
        <f>_xlfn.LET(
     _xlpm.d, Employee_dataset[[#This Row],[Join_Date]],
     IF(
        ISNUMBER(_xlpm.d),_xlpm.d,""
       )
    )</f>
        <v>45629</v>
      </c>
      <c r="I44" s="6">
        <f>_xlfn.LET(
     _xlpm.s, TRIM(Employee_dataset[[#This Row],[Salary]]),
     IF(
        UPPER(_xlpm.s)="N/A","",
        IF(
           ISNUMBER(--_xlpm.s),ROUND(_xlfn.NUMBERVALUE(_xlpm.s),2),""
          )
       )
    )</f>
        <v>59400.38</v>
      </c>
      <c r="J44" t="str">
        <f>TRIM(Employee_dataset[[#This Row],[Email]])</f>
        <v>alice.johnson@example.com</v>
      </c>
      <c r="K44" t="str">
        <f>_xlfn.LET(
     _xlpm.p,TRIM(SUBSTITUTE(Employee_dataset[[#This Row],[Phone]],"-","")),
     IF(
        LEN(_xlpm.p)=10,_xlfn.CONCAT("("&amp;LEFT(_xlpm.p,3)&amp;") "&amp;MID(_xlpm.p,4,3)&amp;"-"&amp;RIGHT(_xlpm.p,4),"")
       )
     )</f>
        <v>(491) 801-7225</v>
      </c>
      <c r="L44" t="str">
        <f>TRIM(Employee_dataset[[#This Row],[Performance_Score]])</f>
        <v>Average</v>
      </c>
      <c r="M44" t="str">
        <f>TRIM(Employee_dataset[[#This Row],[Remote_Work]])</f>
        <v>TRUE</v>
      </c>
    </row>
    <row r="45" spans="1:13" x14ac:dyDescent="0.3">
      <c r="A45" t="str">
        <f>TRIM(Employee_dataset[[#This Row],[Employee_ID]])</f>
        <v>EMP1043</v>
      </c>
      <c r="B45" t="str">
        <f>PROPER(TRIM(Employee_dataset[[#This Row],[First_Name]]))</f>
        <v>Bob</v>
      </c>
      <c r="C45" t="str">
        <f>PROPER(TRIM(Employee_dataset[[#This Row],[Last_Name]]))</f>
        <v>Garcia</v>
      </c>
      <c r="D45" s="6" t="str">
        <f>_xlfn.LET(
     _xlpm.a, TRIM(Employee_dataset[[#This Row],[Age]]),
     IF(
        _xlpm.a="","",
        IF(
           AND(ISNUMBER(--_xlpm.a),LEN(_xlpm.a)=2),_xlpm.a,""
          )
       )
    )</f>
        <v/>
      </c>
      <c r="E45" t="str">
        <f>TRIM(_xlfn.TEXTBEFORE(Employee_dataset[[#This Row],[Department_Region]],"-"))</f>
        <v>Admin</v>
      </c>
      <c r="F45" t="str">
        <f>TRIM(_xlfn.TEXTAFTER(Employee_dataset[[#This Row],[Department_Region]],"-"))</f>
        <v>California</v>
      </c>
      <c r="G45" t="str">
        <f>TRIM(Employee_dataset[[#This Row],[Status]])</f>
        <v>Inactive</v>
      </c>
      <c r="H45" s="1">
        <f>_xlfn.LET(
     _xlpm.d, Employee_dataset[[#This Row],[Join_Date]],
     IF(
        ISNUMBER(_xlpm.d),_xlpm.d,""
       )
    )</f>
        <v>45069</v>
      </c>
      <c r="I45" s="6">
        <f>_xlfn.LET(
     _xlpm.s, TRIM(Employee_dataset[[#This Row],[Salary]]),
     IF(
        UPPER(_xlpm.s)="N/A","",
        IF(
           ISNUMBER(--_xlpm.s),ROUND(_xlfn.NUMBERVALUE(_xlpm.s),2),""
          )
       )
    )</f>
        <v>64744.08</v>
      </c>
      <c r="J45" t="str">
        <f>TRIM(Employee_dataset[[#This Row],[Email]])</f>
        <v>bob.garcia@example.com</v>
      </c>
      <c r="K45" t="b">
        <f>_xlfn.LET(
     _xlpm.p,TRIM(SUBSTITUTE(Employee_dataset[[#This Row],[Phone]],"-","")),
     IF(
        LEN(_xlpm.p)=10,_xlfn.CONCAT("("&amp;LEFT(_xlpm.p,3)&amp;") "&amp;MID(_xlpm.p,4,3)&amp;"-"&amp;RIGHT(_xlpm.p,4),"")
       )
     )</f>
        <v>0</v>
      </c>
      <c r="L45" t="str">
        <f>TRIM(Employee_dataset[[#This Row],[Performance_Score]])</f>
        <v>Excellent</v>
      </c>
      <c r="M45" t="str">
        <f>TRIM(Employee_dataset[[#This Row],[Remote_Work]])</f>
        <v>FALSE</v>
      </c>
    </row>
    <row r="46" spans="1:13" x14ac:dyDescent="0.3">
      <c r="A46" t="str">
        <f>TRIM(Employee_dataset[[#This Row],[Employee_ID]])</f>
        <v>EMP1044</v>
      </c>
      <c r="B46" t="str">
        <f>PROPER(TRIM(Employee_dataset[[#This Row],[First_Name]]))</f>
        <v>Eva</v>
      </c>
      <c r="C46" t="str">
        <f>PROPER(TRIM(Employee_dataset[[#This Row],[Last_Name]]))</f>
        <v>Brown</v>
      </c>
      <c r="D46" s="6" t="str">
        <f>_xlfn.LET(
     _xlpm.a, TRIM(Employee_dataset[[#This Row],[Age]]),
     IF(
        _xlpm.a="","",
        IF(
           AND(ISNUMBER(--_xlpm.a),LEN(_xlpm.a)=2),_xlpm.a,""
          )
       )
    )</f>
        <v/>
      </c>
      <c r="E46" t="str">
        <f>TRIM(_xlfn.TEXTBEFORE(Employee_dataset[[#This Row],[Department_Region]],"-"))</f>
        <v>Finance</v>
      </c>
      <c r="F46" t="str">
        <f>TRIM(_xlfn.TEXTAFTER(Employee_dataset[[#This Row],[Department_Region]],"-"))</f>
        <v>California</v>
      </c>
      <c r="G46" t="str">
        <f>TRIM(Employee_dataset[[#This Row],[Status]])</f>
        <v>Active</v>
      </c>
      <c r="H46" s="1">
        <f>_xlfn.LET(
     _xlpm.d, Employee_dataset[[#This Row],[Join_Date]],
     IF(
        ISNUMBER(_xlpm.d),_xlpm.d,""
       )
    )</f>
        <v>44020</v>
      </c>
      <c r="I46" s="6">
        <f>_xlfn.LET(
     _xlpm.s, TRIM(Employee_dataset[[#This Row],[Salary]]),
     IF(
        UPPER(_xlpm.s)="N/A","",
        IF(
           ISNUMBER(--_xlpm.s),ROUND(_xlfn.NUMBERVALUE(_xlpm.s),2),""
          )
       )
    )</f>
        <v>94399.91</v>
      </c>
      <c r="J46" t="str">
        <f>TRIM(Employee_dataset[[#This Row],[Email]])</f>
        <v>eva.brown@example.com</v>
      </c>
      <c r="K46" t="str">
        <f>_xlfn.LET(
     _xlpm.p,TRIM(SUBSTITUTE(Employee_dataset[[#This Row],[Phone]],"-","")),
     IF(
        LEN(_xlpm.p)=10,_xlfn.CONCAT("("&amp;LEFT(_xlpm.p,3)&amp;") "&amp;MID(_xlpm.p,4,3)&amp;"-"&amp;RIGHT(_xlpm.p,4),"")
       )
     )</f>
        <v>(523) 219-4167</v>
      </c>
      <c r="L46" t="str">
        <f>TRIM(Employee_dataset[[#This Row],[Performance_Score]])</f>
        <v>Good</v>
      </c>
      <c r="M46" t="str">
        <f>TRIM(Employee_dataset[[#This Row],[Remote_Work]])</f>
        <v>TRUE</v>
      </c>
    </row>
    <row r="47" spans="1:13" x14ac:dyDescent="0.3">
      <c r="A47" t="str">
        <f>TRIM(Employee_dataset[[#This Row],[Employee_ID]])</f>
        <v>EMP1045</v>
      </c>
      <c r="B47" t="str">
        <f>PROPER(TRIM(Employee_dataset[[#This Row],[First_Name]]))</f>
        <v>Alice</v>
      </c>
      <c r="C47" t="str">
        <f>PROPER(TRIM(Employee_dataset[[#This Row],[Last_Name]]))</f>
        <v>Brown</v>
      </c>
      <c r="D47" s="6" t="str">
        <f>_xlfn.LET(
     _xlpm.a, TRIM(Employee_dataset[[#This Row],[Age]]),
     IF(
        _xlpm.a="","",
        IF(
           AND(ISNUMBER(--_xlpm.a),LEN(_xlpm.a)=2),_xlpm.a,""
          )
       )
    )</f>
        <v>25</v>
      </c>
      <c r="E47" t="str">
        <f>TRIM(_xlfn.TEXTBEFORE(Employee_dataset[[#This Row],[Department_Region]],"-"))</f>
        <v>HR</v>
      </c>
      <c r="F47" t="str">
        <f>TRIM(_xlfn.TEXTAFTER(Employee_dataset[[#This Row],[Department_Region]],"-"))</f>
        <v>New York</v>
      </c>
      <c r="G47" t="str">
        <f>TRIM(Employee_dataset[[#This Row],[Status]])</f>
        <v>Pending</v>
      </c>
      <c r="H47" s="1">
        <f>_xlfn.LET(
     _xlpm.d, Employee_dataset[[#This Row],[Join_Date]],
     IF(
        ISNUMBER(_xlpm.d),_xlpm.d,""
       )
    )</f>
        <v>44367</v>
      </c>
      <c r="I47" s="6">
        <f>_xlfn.LET(
     _xlpm.s, TRIM(Employee_dataset[[#This Row],[Salary]]),
     IF(
        UPPER(_xlpm.s)="N/A","",
        IF(
           ISNUMBER(--_xlpm.s),ROUND(_xlfn.NUMBERVALUE(_xlpm.s),2),""
          )
       )
    )</f>
        <v>61310.74</v>
      </c>
      <c r="J47" t="str">
        <f>TRIM(Employee_dataset[[#This Row],[Email]])</f>
        <v>alice.brown@example.com</v>
      </c>
      <c r="K47" t="b">
        <f>_xlfn.LET(
     _xlpm.p,TRIM(SUBSTITUTE(Employee_dataset[[#This Row],[Phone]],"-","")),
     IF(
        LEN(_xlpm.p)=10,_xlfn.CONCAT("("&amp;LEFT(_xlpm.p,3)&amp;") "&amp;MID(_xlpm.p,4,3)&amp;"-"&amp;RIGHT(_xlpm.p,4),"")
       )
     )</f>
        <v>0</v>
      </c>
      <c r="L47" t="str">
        <f>TRIM(Employee_dataset[[#This Row],[Performance_Score]])</f>
        <v>Average</v>
      </c>
      <c r="M47" t="str">
        <f>TRIM(Employee_dataset[[#This Row],[Remote_Work]])</f>
        <v>TRUE</v>
      </c>
    </row>
    <row r="48" spans="1:13" x14ac:dyDescent="0.3">
      <c r="A48" t="str">
        <f>TRIM(Employee_dataset[[#This Row],[Employee_ID]])</f>
        <v>EMP1046</v>
      </c>
      <c r="B48" t="str">
        <f>PROPER(TRIM(Employee_dataset[[#This Row],[First_Name]]))</f>
        <v>Grace</v>
      </c>
      <c r="C48" t="str">
        <f>PROPER(TRIM(Employee_dataset[[#This Row],[Last_Name]]))</f>
        <v>Garcia</v>
      </c>
      <c r="D48" s="6" t="str">
        <f>_xlfn.LET(
     _xlpm.a, TRIM(Employee_dataset[[#This Row],[Age]]),
     IF(
        _xlpm.a="","",
        IF(
           AND(ISNUMBER(--_xlpm.a),LEN(_xlpm.a)=2),_xlpm.a,""
          )
       )
    )</f>
        <v/>
      </c>
      <c r="E48" t="str">
        <f>TRIM(_xlfn.TEXTBEFORE(Employee_dataset[[#This Row],[Department_Region]],"-"))</f>
        <v>Cloud Tech</v>
      </c>
      <c r="F48" t="str">
        <f>TRIM(_xlfn.TEXTAFTER(Employee_dataset[[#This Row],[Department_Region]],"-"))</f>
        <v>Texas</v>
      </c>
      <c r="G48" t="str">
        <f>TRIM(Employee_dataset[[#This Row],[Status]])</f>
        <v>Active</v>
      </c>
      <c r="H48" s="1">
        <f>_xlfn.LET(
     _xlpm.d, Employee_dataset[[#This Row],[Join_Date]],
     IF(
        ISNUMBER(_xlpm.d),_xlpm.d,""
       )
    )</f>
        <v>45639</v>
      </c>
      <c r="I48" s="6">
        <f>_xlfn.LET(
     _xlpm.s, TRIM(Employee_dataset[[#This Row],[Salary]]),
     IF(
        UPPER(_xlpm.s)="N/A","",
        IF(
           ISNUMBER(--_xlpm.s),ROUND(_xlfn.NUMBERVALUE(_xlpm.s),2),""
          )
       )
    )</f>
        <v>98371.37</v>
      </c>
      <c r="J48" t="str">
        <f>TRIM(Employee_dataset[[#This Row],[Email]])</f>
        <v>grace.garcia@example.com</v>
      </c>
      <c r="K48" t="str">
        <f>_xlfn.LET(
     _xlpm.p,TRIM(SUBSTITUTE(Employee_dataset[[#This Row],[Phone]],"-","")),
     IF(
        LEN(_xlpm.p)=10,_xlfn.CONCAT("("&amp;LEFT(_xlpm.p,3)&amp;") "&amp;MID(_xlpm.p,4,3)&amp;"-"&amp;RIGHT(_xlpm.p,4),"")
       )
     )</f>
        <v>(749) 956-4121</v>
      </c>
      <c r="L48" t="str">
        <f>TRIM(Employee_dataset[[#This Row],[Performance_Score]])</f>
        <v>Excellent</v>
      </c>
      <c r="M48" t="str">
        <f>TRIM(Employee_dataset[[#This Row],[Remote_Work]])</f>
        <v>FALSE</v>
      </c>
    </row>
    <row r="49" spans="1:13" x14ac:dyDescent="0.3">
      <c r="A49" t="str">
        <f>TRIM(Employee_dataset[[#This Row],[Employee_ID]])</f>
        <v>EMP1047</v>
      </c>
      <c r="B49" t="str">
        <f>PROPER(TRIM(Employee_dataset[[#This Row],[First_Name]]))</f>
        <v>Alice</v>
      </c>
      <c r="C49" t="str">
        <f>PROPER(TRIM(Employee_dataset[[#This Row],[Last_Name]]))</f>
        <v>Davis</v>
      </c>
      <c r="D49" s="6" t="str">
        <f>_xlfn.LET(
     _xlpm.a, TRIM(Employee_dataset[[#This Row],[Age]]),
     IF(
        _xlpm.a="","",
        IF(
           AND(ISNUMBER(--_xlpm.a),LEN(_xlpm.a)=2),_xlpm.a,""
          )
       )
    )</f>
        <v>35</v>
      </c>
      <c r="E49" t="str">
        <f>TRIM(_xlfn.TEXTBEFORE(Employee_dataset[[#This Row],[Department_Region]],"-"))</f>
        <v>Sales</v>
      </c>
      <c r="F49" t="str">
        <f>TRIM(_xlfn.TEXTAFTER(Employee_dataset[[#This Row],[Department_Region]],"-"))</f>
        <v>Illinois</v>
      </c>
      <c r="G49" t="str">
        <f>TRIM(Employee_dataset[[#This Row],[Status]])</f>
        <v>Active</v>
      </c>
      <c r="H49" s="1">
        <f>_xlfn.LET(
     _xlpm.d, Employee_dataset[[#This Row],[Join_Date]],
     IF(
        ISNUMBER(_xlpm.d),_xlpm.d,""
       )
    )</f>
        <v>44711</v>
      </c>
      <c r="I49" s="6">
        <f>_xlfn.LET(
     _xlpm.s, TRIM(Employee_dataset[[#This Row],[Salary]]),
     IF(
        UPPER(_xlpm.s)="N/A","",
        IF(
           ISNUMBER(--_xlpm.s),ROUND(_xlfn.NUMBERVALUE(_xlpm.s),2),""
          )
       )
    )</f>
        <v>58921.19</v>
      </c>
      <c r="J49" t="str">
        <f>TRIM(Employee_dataset[[#This Row],[Email]])</f>
        <v>alice.davis@example.com</v>
      </c>
      <c r="K49" t="b">
        <f>_xlfn.LET(
     _xlpm.p,TRIM(SUBSTITUTE(Employee_dataset[[#This Row],[Phone]],"-","")),
     IF(
        LEN(_xlpm.p)=10,_xlfn.CONCAT("("&amp;LEFT(_xlpm.p,3)&amp;") "&amp;MID(_xlpm.p,4,3)&amp;"-"&amp;RIGHT(_xlpm.p,4),"")
       )
     )</f>
        <v>0</v>
      </c>
      <c r="L49" t="str">
        <f>TRIM(Employee_dataset[[#This Row],[Performance_Score]])</f>
        <v>Average</v>
      </c>
      <c r="M49" t="str">
        <f>TRIM(Employee_dataset[[#This Row],[Remote_Work]])</f>
        <v>TRUE</v>
      </c>
    </row>
    <row r="50" spans="1:13" x14ac:dyDescent="0.3">
      <c r="A50" t="str">
        <f>TRIM(Employee_dataset[[#This Row],[Employee_ID]])</f>
        <v>EMP1048</v>
      </c>
      <c r="B50" t="str">
        <f>PROPER(TRIM(Employee_dataset[[#This Row],[First_Name]]))</f>
        <v>Alice</v>
      </c>
      <c r="C50" t="str">
        <f>PROPER(TRIM(Employee_dataset[[#This Row],[Last_Name]]))</f>
        <v>Miller</v>
      </c>
      <c r="D50" s="6" t="str">
        <f>_xlfn.LET(
     _xlpm.a, TRIM(Employee_dataset[[#This Row],[Age]]),
     IF(
        _xlpm.a="","",
        IF(
           AND(ISNUMBER(--_xlpm.a),LEN(_xlpm.a)=2),_xlpm.a,""
          )
       )
    )</f>
        <v>35</v>
      </c>
      <c r="E50" t="str">
        <f>TRIM(_xlfn.TEXTBEFORE(Employee_dataset[[#This Row],[Department_Region]],"-"))</f>
        <v>Admin</v>
      </c>
      <c r="F50" t="str">
        <f>TRIM(_xlfn.TEXTAFTER(Employee_dataset[[#This Row],[Department_Region]],"-"))</f>
        <v>Nevada</v>
      </c>
      <c r="G50" t="str">
        <f>TRIM(Employee_dataset[[#This Row],[Status]])</f>
        <v>Active</v>
      </c>
      <c r="H50" s="1">
        <f>_xlfn.LET(
     _xlpm.d, Employee_dataset[[#This Row],[Join_Date]],
     IF(
        ISNUMBER(_xlpm.d),_xlpm.d,""
       )
    )</f>
        <v>45196</v>
      </c>
      <c r="I50" s="6">
        <f>_xlfn.LET(
     _xlpm.s, TRIM(Employee_dataset[[#This Row],[Salary]]),
     IF(
        UPPER(_xlpm.s)="N/A","",
        IF(
           ISNUMBER(--_xlpm.s),ROUND(_xlfn.NUMBERVALUE(_xlpm.s),2),""
          )
       )
    )</f>
        <v>57195.55</v>
      </c>
      <c r="J50" t="str">
        <f>TRIM(Employee_dataset[[#This Row],[Email]])</f>
        <v>alice.miller@example.com</v>
      </c>
      <c r="K50" t="str">
        <f>_xlfn.LET(
     _xlpm.p,TRIM(SUBSTITUTE(Employee_dataset[[#This Row],[Phone]],"-","")),
     IF(
        LEN(_xlpm.p)=10,_xlfn.CONCAT("("&amp;LEFT(_xlpm.p,3)&amp;") "&amp;MID(_xlpm.p,4,3)&amp;"-"&amp;RIGHT(_xlpm.p,4),"")
       )
     )</f>
        <v>(683) 147-2759</v>
      </c>
      <c r="L50" t="str">
        <f>TRIM(Employee_dataset[[#This Row],[Performance_Score]])</f>
        <v>Excellent</v>
      </c>
      <c r="M50" t="str">
        <f>TRIM(Employee_dataset[[#This Row],[Remote_Work]])</f>
        <v>FALSE</v>
      </c>
    </row>
    <row r="51" spans="1:13" x14ac:dyDescent="0.3">
      <c r="A51" t="str">
        <f>TRIM(Employee_dataset[[#This Row],[Employee_ID]])</f>
        <v>EMP1049</v>
      </c>
      <c r="B51" t="str">
        <f>PROPER(TRIM(Employee_dataset[[#This Row],[First_Name]]))</f>
        <v>Grace</v>
      </c>
      <c r="C51" t="str">
        <f>PROPER(TRIM(Employee_dataset[[#This Row],[Last_Name]]))</f>
        <v>Miller</v>
      </c>
      <c r="D51" s="6" t="str">
        <f>_xlfn.LET(
     _xlpm.a, TRIM(Employee_dataset[[#This Row],[Age]]),
     IF(
        _xlpm.a="","",
        IF(
           AND(ISNUMBER(--_xlpm.a),LEN(_xlpm.a)=2),_xlpm.a,""
          )
       )
    )</f>
        <v/>
      </c>
      <c r="E51" t="str">
        <f>TRIM(_xlfn.TEXTBEFORE(Employee_dataset[[#This Row],[Department_Region]],"-"))</f>
        <v>DevOps</v>
      </c>
      <c r="F51" t="str">
        <f>TRIM(_xlfn.TEXTAFTER(Employee_dataset[[#This Row],[Department_Region]],"-"))</f>
        <v>New York</v>
      </c>
      <c r="G51" t="str">
        <f>TRIM(Employee_dataset[[#This Row],[Status]])</f>
        <v>Active</v>
      </c>
      <c r="H51" s="1">
        <f>_xlfn.LET(
     _xlpm.d, Employee_dataset[[#This Row],[Join_Date]],
     IF(
        ISNUMBER(_xlpm.d),_xlpm.d,""
       )
    )</f>
        <v>45601</v>
      </c>
      <c r="I51" s="6">
        <f>_xlfn.LET(
     _xlpm.s, TRIM(Employee_dataset[[#This Row],[Salary]]),
     IF(
        UPPER(_xlpm.s)="N/A","",
        IF(
           ISNUMBER(--_xlpm.s),ROUND(_xlfn.NUMBERVALUE(_xlpm.s),2),""
          )
       )
    )</f>
        <v>61375.12</v>
      </c>
      <c r="J51" t="str">
        <f>TRIM(Employee_dataset[[#This Row],[Email]])</f>
        <v>grace.miller@example.com</v>
      </c>
      <c r="K51" t="str">
        <f>_xlfn.LET(
     _xlpm.p,TRIM(SUBSTITUTE(Employee_dataset[[#This Row],[Phone]],"-","")),
     IF(
        LEN(_xlpm.p)=10,_xlfn.CONCAT("("&amp;LEFT(_xlpm.p,3)&amp;") "&amp;MID(_xlpm.p,4,3)&amp;"-"&amp;RIGHT(_xlpm.p,4),"")
       )
     )</f>
        <v>(122) 777-0792</v>
      </c>
      <c r="L51" t="str">
        <f>TRIM(Employee_dataset[[#This Row],[Performance_Score]])</f>
        <v>Excellent</v>
      </c>
      <c r="M51" t="str">
        <f>TRIM(Employee_dataset[[#This Row],[Remote_Work]])</f>
        <v>TRUE</v>
      </c>
    </row>
    <row r="52" spans="1:13" x14ac:dyDescent="0.3">
      <c r="A52" t="str">
        <f>TRIM(Employee_dataset[[#This Row],[Employee_ID]])</f>
        <v>EMP1050</v>
      </c>
      <c r="B52" t="str">
        <f>PROPER(TRIM(Employee_dataset[[#This Row],[First_Name]]))</f>
        <v>Charlie</v>
      </c>
      <c r="C52" t="str">
        <f>PROPER(TRIM(Employee_dataset[[#This Row],[Last_Name]]))</f>
        <v>Davis</v>
      </c>
      <c r="D52" s="6" t="str">
        <f>_xlfn.LET(
     _xlpm.a, TRIM(Employee_dataset[[#This Row],[Age]]),
     IF(
        _xlpm.a="","",
        IF(
           AND(ISNUMBER(--_xlpm.a),LEN(_xlpm.a)=2),_xlpm.a,""
          )
       )
    )</f>
        <v>40</v>
      </c>
      <c r="E52" t="str">
        <f>TRIM(_xlfn.TEXTBEFORE(Employee_dataset[[#This Row],[Department_Region]],"-"))</f>
        <v>Cloud Tech</v>
      </c>
      <c r="F52" t="str">
        <f>TRIM(_xlfn.TEXTAFTER(Employee_dataset[[#This Row],[Department_Region]],"-"))</f>
        <v>New York</v>
      </c>
      <c r="G52" t="str">
        <f>TRIM(Employee_dataset[[#This Row],[Status]])</f>
        <v>Pending</v>
      </c>
      <c r="H52" s="1">
        <f>_xlfn.LET(
     _xlpm.d, Employee_dataset[[#This Row],[Join_Date]],
     IF(
        ISNUMBER(_xlpm.d),_xlpm.d,""
       )
    )</f>
        <v>44511</v>
      </c>
      <c r="I52" s="6">
        <f>_xlfn.LET(
     _xlpm.s, TRIM(Employee_dataset[[#This Row],[Salary]]),
     IF(
        UPPER(_xlpm.s)="N/A","",
        IF(
           ISNUMBER(--_xlpm.s),ROUND(_xlfn.NUMBERVALUE(_xlpm.s),2),""
          )
       )
    )</f>
        <v>104767.05</v>
      </c>
      <c r="J52" t="str">
        <f>TRIM(Employee_dataset[[#This Row],[Email]])</f>
        <v>charlie.davis@example.com</v>
      </c>
      <c r="K52" t="str">
        <f>_xlfn.LET(
     _xlpm.p,TRIM(SUBSTITUTE(Employee_dataset[[#This Row],[Phone]],"-","")),
     IF(
        LEN(_xlpm.p)=10,_xlfn.CONCAT("("&amp;LEFT(_xlpm.p,3)&amp;") "&amp;MID(_xlpm.p,4,3)&amp;"-"&amp;RIGHT(_xlpm.p,4),"")
       )
     )</f>
        <v>(349) 605-0165</v>
      </c>
      <c r="L52" t="str">
        <f>TRIM(Employee_dataset[[#This Row],[Performance_Score]])</f>
        <v>Excellent</v>
      </c>
      <c r="M52" t="str">
        <f>TRIM(Employee_dataset[[#This Row],[Remote_Work]])</f>
        <v>FALSE</v>
      </c>
    </row>
    <row r="53" spans="1:13" x14ac:dyDescent="0.3">
      <c r="A53" t="str">
        <f>TRIM(Employee_dataset[[#This Row],[Employee_ID]])</f>
        <v>EMP1051</v>
      </c>
      <c r="B53" t="str">
        <f>PROPER(TRIM(Employee_dataset[[#This Row],[First_Name]]))</f>
        <v>David</v>
      </c>
      <c r="C53" t="str">
        <f>PROPER(TRIM(Employee_dataset[[#This Row],[Last_Name]]))</f>
        <v>Miller</v>
      </c>
      <c r="D53" s="6" t="str">
        <f>_xlfn.LET(
     _xlpm.a, TRIM(Employee_dataset[[#This Row],[Age]]),
     IF(
        _xlpm.a="","",
        IF(
           AND(ISNUMBER(--_xlpm.a),LEN(_xlpm.a)=2),_xlpm.a,""
          )
       )
    )</f>
        <v>35</v>
      </c>
      <c r="E53" t="str">
        <f>TRIM(_xlfn.TEXTBEFORE(Employee_dataset[[#This Row],[Department_Region]],"-"))</f>
        <v>Admin</v>
      </c>
      <c r="F53" t="str">
        <f>TRIM(_xlfn.TEXTAFTER(Employee_dataset[[#This Row],[Department_Region]],"-"))</f>
        <v>Nevada</v>
      </c>
      <c r="G53" t="str">
        <f>TRIM(Employee_dataset[[#This Row],[Status]])</f>
        <v>Active</v>
      </c>
      <c r="H53" s="1">
        <f>_xlfn.LET(
     _xlpm.d, Employee_dataset[[#This Row],[Join_Date]],
     IF(
        ISNUMBER(_xlpm.d),_xlpm.d,""
       )
    )</f>
        <v>44614</v>
      </c>
      <c r="I53" s="6">
        <f>_xlfn.LET(
     _xlpm.s, TRIM(Employee_dataset[[#This Row],[Salary]]),
     IF(
        UPPER(_xlpm.s)="N/A","",
        IF(
           ISNUMBER(--_xlpm.s),ROUND(_xlfn.NUMBERVALUE(_xlpm.s),2),""
          )
       )
    )</f>
        <v>111051.67</v>
      </c>
      <c r="J53" t="str">
        <f>TRIM(Employee_dataset[[#This Row],[Email]])</f>
        <v>david.miller@example.com</v>
      </c>
      <c r="K53" t="str">
        <f>_xlfn.LET(
     _xlpm.p,TRIM(SUBSTITUTE(Employee_dataset[[#This Row],[Phone]],"-","")),
     IF(
        LEN(_xlpm.p)=10,_xlfn.CONCAT("("&amp;LEFT(_xlpm.p,3)&amp;") "&amp;MID(_xlpm.p,4,3)&amp;"-"&amp;RIGHT(_xlpm.p,4),"")
       )
     )</f>
        <v>(799) 840-7677</v>
      </c>
      <c r="L53" t="str">
        <f>TRIM(Employee_dataset[[#This Row],[Performance_Score]])</f>
        <v>Good</v>
      </c>
      <c r="M53" t="str">
        <f>TRIM(Employee_dataset[[#This Row],[Remote_Work]])</f>
        <v>FALSE</v>
      </c>
    </row>
    <row r="54" spans="1:13" x14ac:dyDescent="0.3">
      <c r="A54" t="str">
        <f>TRIM(Employee_dataset[[#This Row],[Employee_ID]])</f>
        <v>EMP1052</v>
      </c>
      <c r="B54" t="str">
        <f>PROPER(TRIM(Employee_dataset[[#This Row],[First_Name]]))</f>
        <v>David</v>
      </c>
      <c r="C54" t="str">
        <f>PROPER(TRIM(Employee_dataset[[#This Row],[Last_Name]]))</f>
        <v>Williams</v>
      </c>
      <c r="D54" s="6" t="str">
        <f>_xlfn.LET(
     _xlpm.a, TRIM(Employee_dataset[[#This Row],[Age]]),
     IF(
        _xlpm.a="","",
        IF(
           AND(ISNUMBER(--_xlpm.a),LEN(_xlpm.a)=2),_xlpm.a,""
          )
       )
    )</f>
        <v>30</v>
      </c>
      <c r="E54" t="str">
        <f>TRIM(_xlfn.TEXTBEFORE(Employee_dataset[[#This Row],[Department_Region]],"-"))</f>
        <v>Finance</v>
      </c>
      <c r="F54" t="str">
        <f>TRIM(_xlfn.TEXTAFTER(Employee_dataset[[#This Row],[Department_Region]],"-"))</f>
        <v>California</v>
      </c>
      <c r="G54" t="str">
        <f>TRIM(Employee_dataset[[#This Row],[Status]])</f>
        <v>Inactive</v>
      </c>
      <c r="H54" s="1">
        <f>_xlfn.LET(
     _xlpm.d, Employee_dataset[[#This Row],[Join_Date]],
     IF(
        ISNUMBER(_xlpm.d),_xlpm.d,""
       )
    )</f>
        <v>45511</v>
      </c>
      <c r="I54" s="6">
        <f>_xlfn.LET(
     _xlpm.s, TRIM(Employee_dataset[[#This Row],[Salary]]),
     IF(
        UPPER(_xlpm.s)="N/A","",
        IF(
           ISNUMBER(--_xlpm.s),ROUND(_xlfn.NUMBERVALUE(_xlpm.s),2),""
          )
       )
    )</f>
        <v>105674.18</v>
      </c>
      <c r="J54" t="str">
        <f>TRIM(Employee_dataset[[#This Row],[Email]])</f>
        <v>david.williams@example.com</v>
      </c>
      <c r="K54" t="str">
        <f>_xlfn.LET(
     _xlpm.p,TRIM(SUBSTITUTE(Employee_dataset[[#This Row],[Phone]],"-","")),
     IF(
        LEN(_xlpm.p)=10,_xlfn.CONCAT("("&amp;LEFT(_xlpm.p,3)&amp;") "&amp;MID(_xlpm.p,4,3)&amp;"-"&amp;RIGHT(_xlpm.p,4),"")
       )
     )</f>
        <v>(997) 308-0694</v>
      </c>
      <c r="L54" t="str">
        <f>TRIM(Employee_dataset[[#This Row],[Performance_Score]])</f>
        <v>Good</v>
      </c>
      <c r="M54" t="str">
        <f>TRIM(Employee_dataset[[#This Row],[Remote_Work]])</f>
        <v>FALSE</v>
      </c>
    </row>
    <row r="55" spans="1:13" x14ac:dyDescent="0.3">
      <c r="A55" t="str">
        <f>TRIM(Employee_dataset[[#This Row],[Employee_ID]])</f>
        <v>EMP1053</v>
      </c>
      <c r="B55" t="str">
        <f>PROPER(TRIM(Employee_dataset[[#This Row],[First_Name]]))</f>
        <v>Alice</v>
      </c>
      <c r="C55" t="str">
        <f>PROPER(TRIM(Employee_dataset[[#This Row],[Last_Name]]))</f>
        <v>Brown</v>
      </c>
      <c r="D55" s="6" t="str">
        <f>_xlfn.LET(
     _xlpm.a, TRIM(Employee_dataset[[#This Row],[Age]]),
     IF(
        _xlpm.a="","",
        IF(
           AND(ISNUMBER(--_xlpm.a),LEN(_xlpm.a)=2),_xlpm.a,""
          )
       )
    )</f>
        <v>30</v>
      </c>
      <c r="E55" t="str">
        <f>TRIM(_xlfn.TEXTBEFORE(Employee_dataset[[#This Row],[Department_Region]],"-"))</f>
        <v>Finance</v>
      </c>
      <c r="F55" t="str">
        <f>TRIM(_xlfn.TEXTAFTER(Employee_dataset[[#This Row],[Department_Region]],"-"))</f>
        <v>California</v>
      </c>
      <c r="G55" t="str">
        <f>TRIM(Employee_dataset[[#This Row],[Status]])</f>
        <v>Inactive</v>
      </c>
      <c r="H55" s="1">
        <f>_xlfn.LET(
     _xlpm.d, Employee_dataset[[#This Row],[Join_Date]],
     IF(
        ISNUMBER(_xlpm.d),_xlpm.d,""
       )
    )</f>
        <v>45601</v>
      </c>
      <c r="I55" s="6">
        <f>_xlfn.LET(
     _xlpm.s, TRIM(Employee_dataset[[#This Row],[Salary]]),
     IF(
        UPPER(_xlpm.s)="N/A","",
        IF(
           ISNUMBER(--_xlpm.s),ROUND(_xlfn.NUMBERVALUE(_xlpm.s),2),""
          )
       )
    )</f>
        <v>54859.45</v>
      </c>
      <c r="J55" t="str">
        <f>TRIM(Employee_dataset[[#This Row],[Email]])</f>
        <v>alice.brown@example.com</v>
      </c>
      <c r="K55" t="str">
        <f>_xlfn.LET(
     _xlpm.p,TRIM(SUBSTITUTE(Employee_dataset[[#This Row],[Phone]],"-","")),
     IF(
        LEN(_xlpm.p)=10,_xlfn.CONCAT("("&amp;LEFT(_xlpm.p,3)&amp;") "&amp;MID(_xlpm.p,4,3)&amp;"-"&amp;RIGHT(_xlpm.p,4),"")
       )
     )</f>
        <v>(814) 671-7956</v>
      </c>
      <c r="L55" t="str">
        <f>TRIM(Employee_dataset[[#This Row],[Performance_Score]])</f>
        <v>Average</v>
      </c>
      <c r="M55" t="str">
        <f>TRIM(Employee_dataset[[#This Row],[Remote_Work]])</f>
        <v>FALSE</v>
      </c>
    </row>
    <row r="56" spans="1:13" x14ac:dyDescent="0.3">
      <c r="A56" t="str">
        <f>TRIM(Employee_dataset[[#This Row],[Employee_ID]])</f>
        <v>EMP1054</v>
      </c>
      <c r="B56" t="str">
        <f>PROPER(TRIM(Employee_dataset[[#This Row],[First_Name]]))</f>
        <v>Frank</v>
      </c>
      <c r="C56" t="str">
        <f>PROPER(TRIM(Employee_dataset[[#This Row],[Last_Name]]))</f>
        <v>Davis</v>
      </c>
      <c r="D56" s="6" t="str">
        <f>_xlfn.LET(
     _xlpm.a, TRIM(Employee_dataset[[#This Row],[Age]]),
     IF(
        _xlpm.a="","",
        IF(
           AND(ISNUMBER(--_xlpm.a),LEN(_xlpm.a)=2),_xlpm.a,""
          )
       )
    )</f>
        <v/>
      </c>
      <c r="E56" t="str">
        <f>TRIM(_xlfn.TEXTBEFORE(Employee_dataset[[#This Row],[Department_Region]],"-"))</f>
        <v>Finance</v>
      </c>
      <c r="F56" t="str">
        <f>TRIM(_xlfn.TEXTAFTER(Employee_dataset[[#This Row],[Department_Region]],"-"))</f>
        <v>Nevada</v>
      </c>
      <c r="G56" t="str">
        <f>TRIM(Employee_dataset[[#This Row],[Status]])</f>
        <v>Pending</v>
      </c>
      <c r="H56" s="1">
        <f>_xlfn.LET(
     _xlpm.d, Employee_dataset[[#This Row],[Join_Date]],
     IF(
        ISNUMBER(_xlpm.d),_xlpm.d,""
       )
    )</f>
        <v>44509</v>
      </c>
      <c r="I56" s="6">
        <f>_xlfn.LET(
     _xlpm.s, TRIM(Employee_dataset[[#This Row],[Salary]]),
     IF(
        UPPER(_xlpm.s)="N/A","",
        IF(
           ISNUMBER(--_xlpm.s),ROUND(_xlfn.NUMBERVALUE(_xlpm.s),2),""
          )
       )
    )</f>
        <v>115746.6</v>
      </c>
      <c r="J56" t="str">
        <f>TRIM(Employee_dataset[[#This Row],[Email]])</f>
        <v>frank.davis@example.com</v>
      </c>
      <c r="K56" t="str">
        <f>_xlfn.LET(
     _xlpm.p,TRIM(SUBSTITUTE(Employee_dataset[[#This Row],[Phone]],"-","")),
     IF(
        LEN(_xlpm.p)=10,_xlfn.CONCAT("("&amp;LEFT(_xlpm.p,3)&amp;") "&amp;MID(_xlpm.p,4,3)&amp;"-"&amp;RIGHT(_xlpm.p,4),"")
       )
     )</f>
        <v>(602) 437-5737</v>
      </c>
      <c r="L56" t="str">
        <f>TRIM(Employee_dataset[[#This Row],[Performance_Score]])</f>
        <v>Excellent</v>
      </c>
      <c r="M56" t="str">
        <f>TRIM(Employee_dataset[[#This Row],[Remote_Work]])</f>
        <v>TRUE</v>
      </c>
    </row>
    <row r="57" spans="1:13" x14ac:dyDescent="0.3">
      <c r="A57" t="str">
        <f>TRIM(Employee_dataset[[#This Row],[Employee_ID]])</f>
        <v>EMP1055</v>
      </c>
      <c r="B57" t="str">
        <f>PROPER(TRIM(Employee_dataset[[#This Row],[First_Name]]))</f>
        <v>Eva</v>
      </c>
      <c r="C57" t="str">
        <f>PROPER(TRIM(Employee_dataset[[#This Row],[Last_Name]]))</f>
        <v>Brown</v>
      </c>
      <c r="D57" s="6" t="str">
        <f>_xlfn.LET(
     _xlpm.a, TRIM(Employee_dataset[[#This Row],[Age]]),
     IF(
        _xlpm.a="","",
        IF(
           AND(ISNUMBER(--_xlpm.a),LEN(_xlpm.a)=2),_xlpm.a,""
          )
       )
    )</f>
        <v>30</v>
      </c>
      <c r="E57" t="str">
        <f>TRIM(_xlfn.TEXTBEFORE(Employee_dataset[[#This Row],[Department_Region]],"-"))</f>
        <v>Sales</v>
      </c>
      <c r="F57" t="str">
        <f>TRIM(_xlfn.TEXTAFTER(Employee_dataset[[#This Row],[Department_Region]],"-"))</f>
        <v>California</v>
      </c>
      <c r="G57" t="str">
        <f>TRIM(Employee_dataset[[#This Row],[Status]])</f>
        <v>Active</v>
      </c>
      <c r="H57" s="1">
        <f>_xlfn.LET(
     _xlpm.d, Employee_dataset[[#This Row],[Join_Date]],
     IF(
        ISNUMBER(_xlpm.d),_xlpm.d,""
       )
    )</f>
        <v>44053</v>
      </c>
      <c r="I57" s="6">
        <f>_xlfn.LET(
     _xlpm.s, TRIM(Employee_dataset[[#This Row],[Salary]]),
     IF(
        UPPER(_xlpm.s)="N/A","",
        IF(
           ISNUMBER(--_xlpm.s),ROUND(_xlfn.NUMBERVALUE(_xlpm.s),2),""
          )
       )
    )</f>
        <v>91759.99</v>
      </c>
      <c r="J57" t="str">
        <f>TRIM(Employee_dataset[[#This Row],[Email]])</f>
        <v>eva.brown@example.com</v>
      </c>
      <c r="K57" t="str">
        <f>_xlfn.LET(
     _xlpm.p,TRIM(SUBSTITUTE(Employee_dataset[[#This Row],[Phone]],"-","")),
     IF(
        LEN(_xlpm.p)=10,_xlfn.CONCAT("("&amp;LEFT(_xlpm.p,3)&amp;") "&amp;MID(_xlpm.p,4,3)&amp;"-"&amp;RIGHT(_xlpm.p,4),"")
       )
     )</f>
        <v>(395) 972-4664</v>
      </c>
      <c r="L57" t="str">
        <f>TRIM(Employee_dataset[[#This Row],[Performance_Score]])</f>
        <v>Excellent</v>
      </c>
      <c r="M57" t="str">
        <f>TRIM(Employee_dataset[[#This Row],[Remote_Work]])</f>
        <v>TRUE</v>
      </c>
    </row>
    <row r="58" spans="1:13" x14ac:dyDescent="0.3">
      <c r="A58" t="str">
        <f>TRIM(Employee_dataset[[#This Row],[Employee_ID]])</f>
        <v>EMP1056</v>
      </c>
      <c r="B58" t="str">
        <f>PROPER(TRIM(Employee_dataset[[#This Row],[First_Name]]))</f>
        <v>Frank</v>
      </c>
      <c r="C58" t="str">
        <f>PROPER(TRIM(Employee_dataset[[#This Row],[Last_Name]]))</f>
        <v>Garcia</v>
      </c>
      <c r="D58" s="6" t="str">
        <f>_xlfn.LET(
     _xlpm.a, TRIM(Employee_dataset[[#This Row],[Age]]),
     IF(
        _xlpm.a="","",
        IF(
           AND(ISNUMBER(--_xlpm.a),LEN(_xlpm.a)=2),_xlpm.a,""
          )
       )
    )</f>
        <v>40</v>
      </c>
      <c r="E58" t="str">
        <f>TRIM(_xlfn.TEXTBEFORE(Employee_dataset[[#This Row],[Department_Region]],"-"))</f>
        <v>Sales</v>
      </c>
      <c r="F58" t="str">
        <f>TRIM(_xlfn.TEXTAFTER(Employee_dataset[[#This Row],[Department_Region]],"-"))</f>
        <v>Illinois</v>
      </c>
      <c r="G58" t="str">
        <f>TRIM(Employee_dataset[[#This Row],[Status]])</f>
        <v>Active</v>
      </c>
      <c r="H58" s="1">
        <f>_xlfn.LET(
     _xlpm.d, Employee_dataset[[#This Row],[Join_Date]],
     IF(
        ISNUMBER(_xlpm.d),_xlpm.d,""
       )
    )</f>
        <v>44619</v>
      </c>
      <c r="I58" s="6">
        <f>_xlfn.LET(
     _xlpm.s, TRIM(Employee_dataset[[#This Row],[Salary]]),
     IF(
        UPPER(_xlpm.s)="N/A","",
        IF(
           ISNUMBER(--_xlpm.s),ROUND(_xlfn.NUMBERVALUE(_xlpm.s),2),""
          )
       )
    )</f>
        <v>112965.33</v>
      </c>
      <c r="J58" t="str">
        <f>TRIM(Employee_dataset[[#This Row],[Email]])</f>
        <v>frank.garcia@example.com</v>
      </c>
      <c r="K58" t="str">
        <f>_xlfn.LET(
     _xlpm.p,TRIM(SUBSTITUTE(Employee_dataset[[#This Row],[Phone]],"-","")),
     IF(
        LEN(_xlpm.p)=10,_xlfn.CONCAT("("&amp;LEFT(_xlpm.p,3)&amp;") "&amp;MID(_xlpm.p,4,3)&amp;"-"&amp;RIGHT(_xlpm.p,4),"")
       )
     )</f>
        <v>(729) 341-7222</v>
      </c>
      <c r="L58" t="str">
        <f>TRIM(Employee_dataset[[#This Row],[Performance_Score]])</f>
        <v>Good</v>
      </c>
      <c r="M58" t="str">
        <f>TRIM(Employee_dataset[[#This Row],[Remote_Work]])</f>
        <v>FALSE</v>
      </c>
    </row>
    <row r="59" spans="1:13" x14ac:dyDescent="0.3">
      <c r="A59" t="str">
        <f>TRIM(Employee_dataset[[#This Row],[Employee_ID]])</f>
        <v>EMP1057</v>
      </c>
      <c r="B59" t="str">
        <f>PROPER(TRIM(Employee_dataset[[#This Row],[First_Name]]))</f>
        <v>Alice</v>
      </c>
      <c r="C59" t="str">
        <f>PROPER(TRIM(Employee_dataset[[#This Row],[Last_Name]]))</f>
        <v>Smith</v>
      </c>
      <c r="D59" s="6" t="str">
        <f>_xlfn.LET(
     _xlpm.a, TRIM(Employee_dataset[[#This Row],[Age]]),
     IF(
        _xlpm.a="","",
        IF(
           AND(ISNUMBER(--_xlpm.a),LEN(_xlpm.a)=2),_xlpm.a,""
          )
       )
    )</f>
        <v>40</v>
      </c>
      <c r="E59" t="str">
        <f>TRIM(_xlfn.TEXTBEFORE(Employee_dataset[[#This Row],[Department_Region]],"-"))</f>
        <v>Cloud Tech</v>
      </c>
      <c r="F59" t="str">
        <f>TRIM(_xlfn.TEXTAFTER(Employee_dataset[[#This Row],[Department_Region]],"-"))</f>
        <v>Illinois</v>
      </c>
      <c r="G59" t="str">
        <f>TRIM(Employee_dataset[[#This Row],[Status]])</f>
        <v>Pending</v>
      </c>
      <c r="H59" s="1">
        <f>_xlfn.LET(
     _xlpm.d, Employee_dataset[[#This Row],[Join_Date]],
     IF(
        ISNUMBER(_xlpm.d),_xlpm.d,""
       )
    )</f>
        <v>45237</v>
      </c>
      <c r="I59" s="6">
        <f>_xlfn.LET(
     _xlpm.s, TRIM(Employee_dataset[[#This Row],[Salary]]),
     IF(
        UPPER(_xlpm.s)="N/A","",
        IF(
           ISNUMBER(--_xlpm.s),ROUND(_xlfn.NUMBERVALUE(_xlpm.s),2),""
          )
       )
    )</f>
        <v>100360.1</v>
      </c>
      <c r="J59" t="str">
        <f>TRIM(Employee_dataset[[#This Row],[Email]])</f>
        <v>alice.smith@example.com</v>
      </c>
      <c r="K59" t="str">
        <f>_xlfn.LET(
     _xlpm.p,TRIM(SUBSTITUTE(Employee_dataset[[#This Row],[Phone]],"-","")),
     IF(
        LEN(_xlpm.p)=10,_xlfn.CONCAT("("&amp;LEFT(_xlpm.p,3)&amp;") "&amp;MID(_xlpm.p,4,3)&amp;"-"&amp;RIGHT(_xlpm.p,4),"")
       )
     )</f>
        <v>(297) 167-4337</v>
      </c>
      <c r="L59" t="str">
        <f>TRIM(Employee_dataset[[#This Row],[Performance_Score]])</f>
        <v>Excellent</v>
      </c>
      <c r="M59" t="str">
        <f>TRIM(Employee_dataset[[#This Row],[Remote_Work]])</f>
        <v>FALSE</v>
      </c>
    </row>
    <row r="60" spans="1:13" x14ac:dyDescent="0.3">
      <c r="A60" t="str">
        <f>TRIM(Employee_dataset[[#This Row],[Employee_ID]])</f>
        <v>EMP1058</v>
      </c>
      <c r="B60" t="str">
        <f>PROPER(TRIM(Employee_dataset[[#This Row],[First_Name]]))</f>
        <v>David</v>
      </c>
      <c r="C60" t="str">
        <f>PROPER(TRIM(Employee_dataset[[#This Row],[Last_Name]]))</f>
        <v>Williams</v>
      </c>
      <c r="D60" s="6" t="str">
        <f>_xlfn.LET(
     _xlpm.a, TRIM(Employee_dataset[[#This Row],[Age]]),
     IF(
        _xlpm.a="","",
        IF(
           AND(ISNUMBER(--_xlpm.a),LEN(_xlpm.a)=2),_xlpm.a,""
          )
       )
    )</f>
        <v>35</v>
      </c>
      <c r="E60" t="str">
        <f>TRIM(_xlfn.TEXTBEFORE(Employee_dataset[[#This Row],[Department_Region]],"-"))</f>
        <v>Finance</v>
      </c>
      <c r="F60" t="str">
        <f>TRIM(_xlfn.TEXTAFTER(Employee_dataset[[#This Row],[Department_Region]],"-"))</f>
        <v>Texas</v>
      </c>
      <c r="G60" t="str">
        <f>TRIM(Employee_dataset[[#This Row],[Status]])</f>
        <v>Pending</v>
      </c>
      <c r="H60" s="1">
        <f>_xlfn.LET(
     _xlpm.d, Employee_dataset[[#This Row],[Join_Date]],
     IF(
        ISNUMBER(_xlpm.d),_xlpm.d,""
       )
    )</f>
        <v>44507</v>
      </c>
      <c r="I60" s="6">
        <f>_xlfn.LET(
     _xlpm.s, TRIM(Employee_dataset[[#This Row],[Salary]]),
     IF(
        UPPER(_xlpm.s)="N/A","",
        IF(
           ISNUMBER(--_xlpm.s),ROUND(_xlfn.NUMBERVALUE(_xlpm.s),2),""
          )
       )
    )</f>
        <v>93620.88</v>
      </c>
      <c r="J60" t="str">
        <f>TRIM(Employee_dataset[[#This Row],[Email]])</f>
        <v>david.williams@example.com</v>
      </c>
      <c r="K60" t="b">
        <f>_xlfn.LET(
     _xlpm.p,TRIM(SUBSTITUTE(Employee_dataset[[#This Row],[Phone]],"-","")),
     IF(
        LEN(_xlpm.p)=10,_xlfn.CONCAT("("&amp;LEFT(_xlpm.p,3)&amp;") "&amp;MID(_xlpm.p,4,3)&amp;"-"&amp;RIGHT(_xlpm.p,4),"")
       )
     )</f>
        <v>0</v>
      </c>
      <c r="L60" t="str">
        <f>TRIM(Employee_dataset[[#This Row],[Performance_Score]])</f>
        <v>Good</v>
      </c>
      <c r="M60" t="str">
        <f>TRIM(Employee_dataset[[#This Row],[Remote_Work]])</f>
        <v>FALSE</v>
      </c>
    </row>
    <row r="61" spans="1:13" x14ac:dyDescent="0.3">
      <c r="A61" t="str">
        <f>TRIM(Employee_dataset[[#This Row],[Employee_ID]])</f>
        <v>EMP1059</v>
      </c>
      <c r="B61" t="str">
        <f>PROPER(TRIM(Employee_dataset[[#This Row],[First_Name]]))</f>
        <v>Bob</v>
      </c>
      <c r="C61" t="str">
        <f>PROPER(TRIM(Employee_dataset[[#This Row],[Last_Name]]))</f>
        <v>Jones</v>
      </c>
      <c r="D61" s="6" t="str">
        <f>_xlfn.LET(
     _xlpm.a, TRIM(Employee_dataset[[#This Row],[Age]]),
     IF(
        _xlpm.a="","",
        IF(
           AND(ISNUMBER(--_xlpm.a),LEN(_xlpm.a)=2),_xlpm.a,""
          )
       )
    )</f>
        <v>35</v>
      </c>
      <c r="E61" t="str">
        <f>TRIM(_xlfn.TEXTBEFORE(Employee_dataset[[#This Row],[Department_Region]],"-"))</f>
        <v>Sales</v>
      </c>
      <c r="F61" t="str">
        <f>TRIM(_xlfn.TEXTAFTER(Employee_dataset[[#This Row],[Department_Region]],"-"))</f>
        <v>California</v>
      </c>
      <c r="G61" t="str">
        <f>TRIM(Employee_dataset[[#This Row],[Status]])</f>
        <v>Pending</v>
      </c>
      <c r="H61" s="1">
        <f>_xlfn.LET(
     _xlpm.d, Employee_dataset[[#This Row],[Join_Date]],
     IF(
        ISNUMBER(_xlpm.d),_xlpm.d,""
       )
    )</f>
        <v>44667</v>
      </c>
      <c r="I61" s="6">
        <f>_xlfn.LET(
     _xlpm.s, TRIM(Employee_dataset[[#This Row],[Salary]]),
     IF(
        UPPER(_xlpm.s)="N/A","",
        IF(
           ISNUMBER(--_xlpm.s),ROUND(_xlfn.NUMBERVALUE(_xlpm.s),2),""
          )
       )
    )</f>
        <v>72832.800000000003</v>
      </c>
      <c r="J61" t="str">
        <f>TRIM(Employee_dataset[[#This Row],[Email]])</f>
        <v>bob.jones@example.com</v>
      </c>
      <c r="K61" t="str">
        <f>_xlfn.LET(
     _xlpm.p,TRIM(SUBSTITUTE(Employee_dataset[[#This Row],[Phone]],"-","")),
     IF(
        LEN(_xlpm.p)=10,_xlfn.CONCAT("("&amp;LEFT(_xlpm.p,3)&amp;") "&amp;MID(_xlpm.p,4,3)&amp;"-"&amp;RIGHT(_xlpm.p,4),"")
       )
     )</f>
        <v>(561) 931-8373</v>
      </c>
      <c r="L61" t="str">
        <f>TRIM(Employee_dataset[[#This Row],[Performance_Score]])</f>
        <v>Excellent</v>
      </c>
      <c r="M61" t="str">
        <f>TRIM(Employee_dataset[[#This Row],[Remote_Work]])</f>
        <v>TRUE</v>
      </c>
    </row>
    <row r="62" spans="1:13" x14ac:dyDescent="0.3">
      <c r="A62" t="str">
        <f>TRIM(Employee_dataset[[#This Row],[Employee_ID]])</f>
        <v>EMP1060</v>
      </c>
      <c r="B62" t="str">
        <f>PROPER(TRIM(Employee_dataset[[#This Row],[First_Name]]))</f>
        <v>Charlie</v>
      </c>
      <c r="C62" t="str">
        <f>PROPER(TRIM(Employee_dataset[[#This Row],[Last_Name]]))</f>
        <v>Williams</v>
      </c>
      <c r="D62" s="6" t="str">
        <f>_xlfn.LET(
     _xlpm.a, TRIM(Employee_dataset[[#This Row],[Age]]),
     IF(
        _xlpm.a="","",
        IF(
           AND(ISNUMBER(--_xlpm.a),LEN(_xlpm.a)=2),_xlpm.a,""
          )
       )
    )</f>
        <v>30</v>
      </c>
      <c r="E62" t="str">
        <f>TRIM(_xlfn.TEXTBEFORE(Employee_dataset[[#This Row],[Department_Region]],"-"))</f>
        <v>Finance</v>
      </c>
      <c r="F62" t="str">
        <f>TRIM(_xlfn.TEXTAFTER(Employee_dataset[[#This Row],[Department_Region]],"-"))</f>
        <v>Nevada</v>
      </c>
      <c r="G62" t="str">
        <f>TRIM(Employee_dataset[[#This Row],[Status]])</f>
        <v>Inactive</v>
      </c>
      <c r="H62" s="1">
        <f>_xlfn.LET(
     _xlpm.d, Employee_dataset[[#This Row],[Join_Date]],
     IF(
        ISNUMBER(_xlpm.d),_xlpm.d,""
       )
    )</f>
        <v>45218</v>
      </c>
      <c r="I62" s="6">
        <f>_xlfn.LET(
     _xlpm.s, TRIM(Employee_dataset[[#This Row],[Salary]]),
     IF(
        UPPER(_xlpm.s)="N/A","",
        IF(
           ISNUMBER(--_xlpm.s),ROUND(_xlfn.NUMBERVALUE(_xlpm.s),2),""
          )
       )
    )</f>
        <v>102369.42</v>
      </c>
      <c r="J62" t="str">
        <f>TRIM(Employee_dataset[[#This Row],[Email]])</f>
        <v>charlie.williams@example.com</v>
      </c>
      <c r="K62" t="str">
        <f>_xlfn.LET(
     _xlpm.p,TRIM(SUBSTITUTE(Employee_dataset[[#This Row],[Phone]],"-","")),
     IF(
        LEN(_xlpm.p)=10,_xlfn.CONCAT("("&amp;LEFT(_xlpm.p,3)&amp;") "&amp;MID(_xlpm.p,4,3)&amp;"-"&amp;RIGHT(_xlpm.p,4),"")
       )
     )</f>
        <v>(550) 842-8909</v>
      </c>
      <c r="L62" t="str">
        <f>TRIM(Employee_dataset[[#This Row],[Performance_Score]])</f>
        <v>Average</v>
      </c>
      <c r="M62" t="str">
        <f>TRIM(Employee_dataset[[#This Row],[Remote_Work]])</f>
        <v>TRUE</v>
      </c>
    </row>
    <row r="63" spans="1:13" x14ac:dyDescent="0.3">
      <c r="A63" t="str">
        <f>TRIM(Employee_dataset[[#This Row],[Employee_ID]])</f>
        <v>EMP1061</v>
      </c>
      <c r="B63" t="str">
        <f>PROPER(TRIM(Employee_dataset[[#This Row],[First_Name]]))</f>
        <v>Eva</v>
      </c>
      <c r="C63" t="str">
        <f>PROPER(TRIM(Employee_dataset[[#This Row],[Last_Name]]))</f>
        <v>Davis</v>
      </c>
      <c r="D63" s="6" t="str">
        <f>_xlfn.LET(
     _xlpm.a, TRIM(Employee_dataset[[#This Row],[Age]]),
     IF(
        _xlpm.a="","",
        IF(
           AND(ISNUMBER(--_xlpm.a),LEN(_xlpm.a)=2),_xlpm.a,""
          )
       )
    )</f>
        <v>40</v>
      </c>
      <c r="E63" t="str">
        <f>TRIM(_xlfn.TEXTBEFORE(Employee_dataset[[#This Row],[Department_Region]],"-"))</f>
        <v>Sales</v>
      </c>
      <c r="F63" t="str">
        <f>TRIM(_xlfn.TEXTAFTER(Employee_dataset[[#This Row],[Department_Region]],"-"))</f>
        <v>Texas</v>
      </c>
      <c r="G63" t="str">
        <f>TRIM(Employee_dataset[[#This Row],[Status]])</f>
        <v>Inactive</v>
      </c>
      <c r="H63" s="1">
        <f>_xlfn.LET(
     _xlpm.d, Employee_dataset[[#This Row],[Join_Date]],
     IF(
        ISNUMBER(_xlpm.d),_xlpm.d,""
       )
    )</f>
        <v>44418</v>
      </c>
      <c r="I63" s="6">
        <f>_xlfn.LET(
     _xlpm.s, TRIM(Employee_dataset[[#This Row],[Salary]]),
     IF(
        UPPER(_xlpm.s)="N/A","",
        IF(
           ISNUMBER(--_xlpm.s),ROUND(_xlfn.NUMBERVALUE(_xlpm.s),2),""
          )
       )
    )</f>
        <v>64712.79</v>
      </c>
      <c r="J63" t="str">
        <f>TRIM(Employee_dataset[[#This Row],[Email]])</f>
        <v>eva.davis@example.com</v>
      </c>
      <c r="K63" t="str">
        <f>_xlfn.LET(
     _xlpm.p,TRIM(SUBSTITUTE(Employee_dataset[[#This Row],[Phone]],"-","")),
     IF(
        LEN(_xlpm.p)=10,_xlfn.CONCAT("("&amp;LEFT(_xlpm.p,3)&amp;") "&amp;MID(_xlpm.p,4,3)&amp;"-"&amp;RIGHT(_xlpm.p,4),"")
       )
     )</f>
        <v>(771) 199-1807</v>
      </c>
      <c r="L63" t="str">
        <f>TRIM(Employee_dataset[[#This Row],[Performance_Score]])</f>
        <v>Excellent</v>
      </c>
      <c r="M63" t="str">
        <f>TRIM(Employee_dataset[[#This Row],[Remote_Work]])</f>
        <v>TRUE</v>
      </c>
    </row>
    <row r="64" spans="1:13" x14ac:dyDescent="0.3">
      <c r="A64" t="str">
        <f>TRIM(Employee_dataset[[#This Row],[Employee_ID]])</f>
        <v>EMP1062</v>
      </c>
      <c r="B64" t="str">
        <f>PROPER(TRIM(Employee_dataset[[#This Row],[First_Name]]))</f>
        <v>Frank</v>
      </c>
      <c r="C64" t="str">
        <f>PROPER(TRIM(Employee_dataset[[#This Row],[Last_Name]]))</f>
        <v>Jones</v>
      </c>
      <c r="D64" s="6" t="str">
        <f>_xlfn.LET(
     _xlpm.a, TRIM(Employee_dataset[[#This Row],[Age]]),
     IF(
        _xlpm.a="","",
        IF(
           AND(ISNUMBER(--_xlpm.a),LEN(_xlpm.a)=2),_xlpm.a,""
          )
       )
    )</f>
        <v>40</v>
      </c>
      <c r="E64" t="str">
        <f>TRIM(_xlfn.TEXTBEFORE(Employee_dataset[[#This Row],[Department_Region]],"-"))</f>
        <v>Finance</v>
      </c>
      <c r="F64" t="str">
        <f>TRIM(_xlfn.TEXTAFTER(Employee_dataset[[#This Row],[Department_Region]],"-"))</f>
        <v>Florida</v>
      </c>
      <c r="G64" t="str">
        <f>TRIM(Employee_dataset[[#This Row],[Status]])</f>
        <v>Pending</v>
      </c>
      <c r="H64" s="1">
        <f>_xlfn.LET(
     _xlpm.d, Employee_dataset[[#This Row],[Join_Date]],
     IF(
        ISNUMBER(_xlpm.d),_xlpm.d,""
       )
    )</f>
        <v>44268</v>
      </c>
      <c r="I64" s="6">
        <f>_xlfn.LET(
     _xlpm.s, TRIM(Employee_dataset[[#This Row],[Salary]]),
     IF(
        UPPER(_xlpm.s)="N/A","",
        IF(
           ISNUMBER(--_xlpm.s),ROUND(_xlfn.NUMBERVALUE(_xlpm.s),2),""
          )
       )
    )</f>
        <v>85782.18</v>
      </c>
      <c r="J64" t="str">
        <f>TRIM(Employee_dataset[[#This Row],[Email]])</f>
        <v>frank.jones@example.com</v>
      </c>
      <c r="K64" t="str">
        <f>_xlfn.LET(
     _xlpm.p,TRIM(SUBSTITUTE(Employee_dataset[[#This Row],[Phone]],"-","")),
     IF(
        LEN(_xlpm.p)=10,_xlfn.CONCAT("("&amp;LEFT(_xlpm.p,3)&amp;") "&amp;MID(_xlpm.p,4,3)&amp;"-"&amp;RIGHT(_xlpm.p,4),"")
       )
     )</f>
        <v>(121) 352-4786</v>
      </c>
      <c r="L64" t="str">
        <f>TRIM(Employee_dataset[[#This Row],[Performance_Score]])</f>
        <v>Excellent</v>
      </c>
      <c r="M64" t="str">
        <f>TRIM(Employee_dataset[[#This Row],[Remote_Work]])</f>
        <v>TRUE</v>
      </c>
    </row>
    <row r="65" spans="1:13" x14ac:dyDescent="0.3">
      <c r="A65" t="str">
        <f>TRIM(Employee_dataset[[#This Row],[Employee_ID]])</f>
        <v>EMP1063</v>
      </c>
      <c r="B65" t="str">
        <f>PROPER(TRIM(Employee_dataset[[#This Row],[First_Name]]))</f>
        <v>Charlie</v>
      </c>
      <c r="C65" t="str">
        <f>PROPER(TRIM(Employee_dataset[[#This Row],[Last_Name]]))</f>
        <v>Smith</v>
      </c>
      <c r="D65" s="6" t="str">
        <f>_xlfn.LET(
     _xlpm.a, TRIM(Employee_dataset[[#This Row],[Age]]),
     IF(
        _xlpm.a="","",
        IF(
           AND(ISNUMBER(--_xlpm.a),LEN(_xlpm.a)=2),_xlpm.a,""
          )
       )
    )</f>
        <v>25</v>
      </c>
      <c r="E65" t="str">
        <f>TRIM(_xlfn.TEXTBEFORE(Employee_dataset[[#This Row],[Department_Region]],"-"))</f>
        <v>HR</v>
      </c>
      <c r="F65" t="str">
        <f>TRIM(_xlfn.TEXTAFTER(Employee_dataset[[#This Row],[Department_Region]],"-"))</f>
        <v>Illinois</v>
      </c>
      <c r="G65" t="str">
        <f>TRIM(Employee_dataset[[#This Row],[Status]])</f>
        <v>Pending</v>
      </c>
      <c r="H65" s="1">
        <f>_xlfn.LET(
     _xlpm.d, Employee_dataset[[#This Row],[Join_Date]],
     IF(
        ISNUMBER(_xlpm.d),_xlpm.d,""
       )
    )</f>
        <v>45127</v>
      </c>
      <c r="I65" s="6">
        <f>_xlfn.LET(
     _xlpm.s, TRIM(Employee_dataset[[#This Row],[Salary]]),
     IF(
        UPPER(_xlpm.s)="N/A","",
        IF(
           ISNUMBER(--_xlpm.s),ROUND(_xlfn.NUMBERVALUE(_xlpm.s),2),""
          )
       )
    )</f>
        <v>93348.26</v>
      </c>
      <c r="J65" t="str">
        <f>TRIM(Employee_dataset[[#This Row],[Email]])</f>
        <v>charlie.smith@example.com</v>
      </c>
      <c r="K65" t="str">
        <f>_xlfn.LET(
     _xlpm.p,TRIM(SUBSTITUTE(Employee_dataset[[#This Row],[Phone]],"-","")),
     IF(
        LEN(_xlpm.p)=10,_xlfn.CONCAT("("&amp;LEFT(_xlpm.p,3)&amp;") "&amp;MID(_xlpm.p,4,3)&amp;"-"&amp;RIGHT(_xlpm.p,4),"")
       )
     )</f>
        <v>(125) 521-3759</v>
      </c>
      <c r="L65" t="str">
        <f>TRIM(Employee_dataset[[#This Row],[Performance_Score]])</f>
        <v>Poor</v>
      </c>
      <c r="M65" t="str">
        <f>TRIM(Employee_dataset[[#This Row],[Remote_Work]])</f>
        <v>FALSE</v>
      </c>
    </row>
    <row r="66" spans="1:13" x14ac:dyDescent="0.3">
      <c r="A66" t="str">
        <f>TRIM(Employee_dataset[[#This Row],[Employee_ID]])</f>
        <v>EMP1064</v>
      </c>
      <c r="B66" t="str">
        <f>PROPER(TRIM(Employee_dataset[[#This Row],[First_Name]]))</f>
        <v>David</v>
      </c>
      <c r="C66" t="str">
        <f>PROPER(TRIM(Employee_dataset[[#This Row],[Last_Name]]))</f>
        <v>Davis</v>
      </c>
      <c r="D66" s="6" t="str">
        <f>_xlfn.LET(
     _xlpm.a, TRIM(Employee_dataset[[#This Row],[Age]]),
     IF(
        _xlpm.a="","",
        IF(
           AND(ISNUMBER(--_xlpm.a),LEN(_xlpm.a)=2),_xlpm.a,""
          )
       )
    )</f>
        <v>35</v>
      </c>
      <c r="E66" t="str">
        <f>TRIM(_xlfn.TEXTBEFORE(Employee_dataset[[#This Row],[Department_Region]],"-"))</f>
        <v>Admin</v>
      </c>
      <c r="F66" t="str">
        <f>TRIM(_xlfn.TEXTAFTER(Employee_dataset[[#This Row],[Department_Region]],"-"))</f>
        <v>New York</v>
      </c>
      <c r="G66" t="str">
        <f>TRIM(Employee_dataset[[#This Row],[Status]])</f>
        <v>Active</v>
      </c>
      <c r="H66" s="1">
        <f>_xlfn.LET(
     _xlpm.d, Employee_dataset[[#This Row],[Join_Date]],
     IF(
        ISNUMBER(_xlpm.d),_xlpm.d,""
       )
    )</f>
        <v>43881</v>
      </c>
      <c r="I66" s="6">
        <f>_xlfn.LET(
     _xlpm.s, TRIM(Employee_dataset[[#This Row],[Salary]]),
     IF(
        UPPER(_xlpm.s)="N/A","",
        IF(
           ISNUMBER(--_xlpm.s),ROUND(_xlfn.NUMBERVALUE(_xlpm.s),2),""
          )
       )
    )</f>
        <v>53234.96</v>
      </c>
      <c r="J66" t="str">
        <f>TRIM(Employee_dataset[[#This Row],[Email]])</f>
        <v>david.davis@example.com</v>
      </c>
      <c r="K66" t="str">
        <f>_xlfn.LET(
     _xlpm.p,TRIM(SUBSTITUTE(Employee_dataset[[#This Row],[Phone]],"-","")),
     IF(
        LEN(_xlpm.p)=10,_xlfn.CONCAT("("&amp;LEFT(_xlpm.p,3)&amp;") "&amp;MID(_xlpm.p,4,3)&amp;"-"&amp;RIGHT(_xlpm.p,4),"")
       )
     )</f>
        <v>(375) 482-1455</v>
      </c>
      <c r="L66" t="str">
        <f>TRIM(Employee_dataset[[#This Row],[Performance_Score]])</f>
        <v>Good</v>
      </c>
      <c r="M66" t="str">
        <f>TRIM(Employee_dataset[[#This Row],[Remote_Work]])</f>
        <v>FALSE</v>
      </c>
    </row>
    <row r="67" spans="1:13" x14ac:dyDescent="0.3">
      <c r="A67" t="str">
        <f>TRIM(Employee_dataset[[#This Row],[Employee_ID]])</f>
        <v>EMP1065</v>
      </c>
      <c r="B67" t="str">
        <f>PROPER(TRIM(Employee_dataset[[#This Row],[First_Name]]))</f>
        <v>Bob</v>
      </c>
      <c r="C67" t="str">
        <f>PROPER(TRIM(Employee_dataset[[#This Row],[Last_Name]]))</f>
        <v>Johnson</v>
      </c>
      <c r="D67" s="6" t="str">
        <f>_xlfn.LET(
     _xlpm.a, TRIM(Employee_dataset[[#This Row],[Age]]),
     IF(
        _xlpm.a="","",
        IF(
           AND(ISNUMBER(--_xlpm.a),LEN(_xlpm.a)=2),_xlpm.a,""
          )
       )
    )</f>
        <v>40</v>
      </c>
      <c r="E67" t="str">
        <f>TRIM(_xlfn.TEXTBEFORE(Employee_dataset[[#This Row],[Department_Region]],"-"))</f>
        <v>Finance</v>
      </c>
      <c r="F67" t="str">
        <f>TRIM(_xlfn.TEXTAFTER(Employee_dataset[[#This Row],[Department_Region]],"-"))</f>
        <v>Nevada</v>
      </c>
      <c r="G67" t="str">
        <f>TRIM(Employee_dataset[[#This Row],[Status]])</f>
        <v>Pending</v>
      </c>
      <c r="H67" s="1">
        <f>_xlfn.LET(
     _xlpm.d, Employee_dataset[[#This Row],[Join_Date]],
     IF(
        ISNUMBER(_xlpm.d),_xlpm.d,""
       )
    )</f>
        <v>44229</v>
      </c>
      <c r="I67" s="6">
        <f>_xlfn.LET(
     _xlpm.s, TRIM(Employee_dataset[[#This Row],[Salary]]),
     IF(
        UPPER(_xlpm.s)="N/A","",
        IF(
           ISNUMBER(--_xlpm.s),ROUND(_xlfn.NUMBERVALUE(_xlpm.s),2),""
          )
       )
    )</f>
        <v>100284.21</v>
      </c>
      <c r="J67" t="str">
        <f>TRIM(Employee_dataset[[#This Row],[Email]])</f>
        <v>bob.johnson@example.com</v>
      </c>
      <c r="K67" t="str">
        <f>_xlfn.LET(
     _xlpm.p,TRIM(SUBSTITUTE(Employee_dataset[[#This Row],[Phone]],"-","")),
     IF(
        LEN(_xlpm.p)=10,_xlfn.CONCAT("("&amp;LEFT(_xlpm.p,3)&amp;") "&amp;MID(_xlpm.p,4,3)&amp;"-"&amp;RIGHT(_xlpm.p,4),"")
       )
     )</f>
        <v>(532) 863-2665</v>
      </c>
      <c r="L67" t="str">
        <f>TRIM(Employee_dataset[[#This Row],[Performance_Score]])</f>
        <v>Excellent</v>
      </c>
      <c r="M67" t="str">
        <f>TRIM(Employee_dataset[[#This Row],[Remote_Work]])</f>
        <v>FALSE</v>
      </c>
    </row>
    <row r="68" spans="1:13" x14ac:dyDescent="0.3">
      <c r="A68" t="str">
        <f>TRIM(Employee_dataset[[#This Row],[Employee_ID]])</f>
        <v>EMP1066</v>
      </c>
      <c r="B68" t="str">
        <f>PROPER(TRIM(Employee_dataset[[#This Row],[First_Name]]))</f>
        <v>Grace</v>
      </c>
      <c r="C68" t="str">
        <f>PROPER(TRIM(Employee_dataset[[#This Row],[Last_Name]]))</f>
        <v>Brown</v>
      </c>
      <c r="D68" s="6" t="str">
        <f>_xlfn.LET(
     _xlpm.a, TRIM(Employee_dataset[[#This Row],[Age]]),
     IF(
        _xlpm.a="","",
        IF(
           AND(ISNUMBER(--_xlpm.a),LEN(_xlpm.a)=2),_xlpm.a,""
          )
       )
    )</f>
        <v>30</v>
      </c>
      <c r="E68" t="str">
        <f>TRIM(_xlfn.TEXTBEFORE(Employee_dataset[[#This Row],[Department_Region]],"-"))</f>
        <v>Admin</v>
      </c>
      <c r="F68" t="str">
        <f>TRIM(_xlfn.TEXTAFTER(Employee_dataset[[#This Row],[Department_Region]],"-"))</f>
        <v>Nevada</v>
      </c>
      <c r="G68" t="str">
        <f>TRIM(Employee_dataset[[#This Row],[Status]])</f>
        <v>Pending</v>
      </c>
      <c r="H68" s="1">
        <f>_xlfn.LET(
     _xlpm.d, Employee_dataset[[#This Row],[Join_Date]],
     IF(
        ISNUMBER(_xlpm.d),_xlpm.d,""
       )
    )</f>
        <v>43842</v>
      </c>
      <c r="I68" s="6">
        <f>_xlfn.LET(
     _xlpm.s, TRIM(Employee_dataset[[#This Row],[Salary]]),
     IF(
        UPPER(_xlpm.s)="N/A","",
        IF(
           ISNUMBER(--_xlpm.s),ROUND(_xlfn.NUMBERVALUE(_xlpm.s),2),""
          )
       )
    )</f>
        <v>112486.19</v>
      </c>
      <c r="J68" t="str">
        <f>TRIM(Employee_dataset[[#This Row],[Email]])</f>
        <v>grace.brown@example.com</v>
      </c>
      <c r="K68" t="str">
        <f>_xlfn.LET(
     _xlpm.p,TRIM(SUBSTITUTE(Employee_dataset[[#This Row],[Phone]],"-","")),
     IF(
        LEN(_xlpm.p)=10,_xlfn.CONCAT("("&amp;LEFT(_xlpm.p,3)&amp;") "&amp;MID(_xlpm.p,4,3)&amp;"-"&amp;RIGHT(_xlpm.p,4),"")
       )
     )</f>
        <v>(785) 072-0810</v>
      </c>
      <c r="L68" t="str">
        <f>TRIM(Employee_dataset[[#This Row],[Performance_Score]])</f>
        <v>Excellent</v>
      </c>
      <c r="M68" t="str">
        <f>TRIM(Employee_dataset[[#This Row],[Remote_Work]])</f>
        <v>TRUE</v>
      </c>
    </row>
    <row r="69" spans="1:13" x14ac:dyDescent="0.3">
      <c r="A69" t="str">
        <f>TRIM(Employee_dataset[[#This Row],[Employee_ID]])</f>
        <v>EMP1067</v>
      </c>
      <c r="B69" t="str">
        <f>PROPER(TRIM(Employee_dataset[[#This Row],[First_Name]]))</f>
        <v>Bob</v>
      </c>
      <c r="C69" t="str">
        <f>PROPER(TRIM(Employee_dataset[[#This Row],[Last_Name]]))</f>
        <v>Smith</v>
      </c>
      <c r="D69" s="6" t="str">
        <f>_xlfn.LET(
     _xlpm.a, TRIM(Employee_dataset[[#This Row],[Age]]),
     IF(
        _xlpm.a="","",
        IF(
           AND(ISNUMBER(--_xlpm.a),LEN(_xlpm.a)=2),_xlpm.a,""
          )
       )
    )</f>
        <v>40</v>
      </c>
      <c r="E69" t="str">
        <f>TRIM(_xlfn.TEXTBEFORE(Employee_dataset[[#This Row],[Department_Region]],"-"))</f>
        <v>Admin</v>
      </c>
      <c r="F69" t="str">
        <f>TRIM(_xlfn.TEXTAFTER(Employee_dataset[[#This Row],[Department_Region]],"-"))</f>
        <v>New York</v>
      </c>
      <c r="G69" t="str">
        <f>TRIM(Employee_dataset[[#This Row],[Status]])</f>
        <v>Pending</v>
      </c>
      <c r="H69" s="1">
        <f>_xlfn.LET(
     _xlpm.d, Employee_dataset[[#This Row],[Join_Date]],
     IF(
        ISNUMBER(_xlpm.d),_xlpm.d,""
       )
    )</f>
        <v>44891</v>
      </c>
      <c r="I69" s="6">
        <f>_xlfn.LET(
     _xlpm.s, TRIM(Employee_dataset[[#This Row],[Salary]]),
     IF(
        UPPER(_xlpm.s)="N/A","",
        IF(
           ISNUMBER(--_xlpm.s),ROUND(_xlfn.NUMBERVALUE(_xlpm.s),2),""
          )
       )
    )</f>
        <v>82518.490000000005</v>
      </c>
      <c r="J69" t="str">
        <f>TRIM(Employee_dataset[[#This Row],[Email]])</f>
        <v>bob.smith@example.com</v>
      </c>
      <c r="K69" t="str">
        <f>_xlfn.LET(
     _xlpm.p,TRIM(SUBSTITUTE(Employee_dataset[[#This Row],[Phone]],"-","")),
     IF(
        LEN(_xlpm.p)=10,_xlfn.CONCAT("("&amp;LEFT(_xlpm.p,3)&amp;") "&amp;MID(_xlpm.p,4,3)&amp;"-"&amp;RIGHT(_xlpm.p,4),"")
       )
     )</f>
        <v>(556) 260-6028</v>
      </c>
      <c r="L69" t="str">
        <f>TRIM(Employee_dataset[[#This Row],[Performance_Score]])</f>
        <v>Poor</v>
      </c>
      <c r="M69" t="str">
        <f>TRIM(Employee_dataset[[#This Row],[Remote_Work]])</f>
        <v>TRUE</v>
      </c>
    </row>
    <row r="70" spans="1:13" x14ac:dyDescent="0.3">
      <c r="A70" t="str">
        <f>TRIM(Employee_dataset[[#This Row],[Employee_ID]])</f>
        <v>EMP1068</v>
      </c>
      <c r="B70" t="str">
        <f>PROPER(TRIM(Employee_dataset[[#This Row],[First_Name]]))</f>
        <v>Bob</v>
      </c>
      <c r="C70" t="str">
        <f>PROPER(TRIM(Employee_dataset[[#This Row],[Last_Name]]))</f>
        <v>Brown</v>
      </c>
      <c r="D70" s="6" t="str">
        <f>_xlfn.LET(
     _xlpm.a, TRIM(Employee_dataset[[#This Row],[Age]]),
     IF(
        _xlpm.a="","",
        IF(
           AND(ISNUMBER(--_xlpm.a),LEN(_xlpm.a)=2),_xlpm.a,""
          )
       )
    )</f>
        <v>40</v>
      </c>
      <c r="E70" t="str">
        <f>TRIM(_xlfn.TEXTBEFORE(Employee_dataset[[#This Row],[Department_Region]],"-"))</f>
        <v>Admin</v>
      </c>
      <c r="F70" t="str">
        <f>TRIM(_xlfn.TEXTAFTER(Employee_dataset[[#This Row],[Department_Region]],"-"))</f>
        <v>Florida</v>
      </c>
      <c r="G70" t="str">
        <f>TRIM(Employee_dataset[[#This Row],[Status]])</f>
        <v>Pending</v>
      </c>
      <c r="H70" s="1">
        <f>_xlfn.LET(
     _xlpm.d, Employee_dataset[[#This Row],[Join_Date]],
     IF(
        ISNUMBER(_xlpm.d),_xlpm.d,""
       )
    )</f>
        <v>44918</v>
      </c>
      <c r="I70" s="6">
        <f>_xlfn.LET(
     _xlpm.s, TRIM(Employee_dataset[[#This Row],[Salary]]),
     IF(
        UPPER(_xlpm.s)="N/A","",
        IF(
           ISNUMBER(--_xlpm.s),ROUND(_xlfn.NUMBERVALUE(_xlpm.s),2),""
          )
       )
    )</f>
        <v>119152.47</v>
      </c>
      <c r="J70" t="str">
        <f>TRIM(Employee_dataset[[#This Row],[Email]])</f>
        <v>bob.brown@example.com</v>
      </c>
      <c r="K70" t="b">
        <f>_xlfn.LET(
     _xlpm.p,TRIM(SUBSTITUTE(Employee_dataset[[#This Row],[Phone]],"-","")),
     IF(
        LEN(_xlpm.p)=10,_xlfn.CONCAT("("&amp;LEFT(_xlpm.p,3)&amp;") "&amp;MID(_xlpm.p,4,3)&amp;"-"&amp;RIGHT(_xlpm.p,4),"")
       )
     )</f>
        <v>0</v>
      </c>
      <c r="L70" t="str">
        <f>TRIM(Employee_dataset[[#This Row],[Performance_Score]])</f>
        <v>Poor</v>
      </c>
      <c r="M70" t="str">
        <f>TRIM(Employee_dataset[[#This Row],[Remote_Work]])</f>
        <v>TRUE</v>
      </c>
    </row>
    <row r="71" spans="1:13" x14ac:dyDescent="0.3">
      <c r="A71" t="str">
        <f>TRIM(Employee_dataset[[#This Row],[Employee_ID]])</f>
        <v>EMP1069</v>
      </c>
      <c r="B71" t="str">
        <f>PROPER(TRIM(Employee_dataset[[#This Row],[First_Name]]))</f>
        <v>Heidi</v>
      </c>
      <c r="C71" t="str">
        <f>PROPER(TRIM(Employee_dataset[[#This Row],[Last_Name]]))</f>
        <v>Miller</v>
      </c>
      <c r="D71" s="6" t="str">
        <f>_xlfn.LET(
     _xlpm.a, TRIM(Employee_dataset[[#This Row],[Age]]),
     IF(
        _xlpm.a="","",
        IF(
           AND(ISNUMBER(--_xlpm.a),LEN(_xlpm.a)=2),_xlpm.a,""
          )
       )
    )</f>
        <v/>
      </c>
      <c r="E71" t="str">
        <f>TRIM(_xlfn.TEXTBEFORE(Employee_dataset[[#This Row],[Department_Region]],"-"))</f>
        <v>DevOps</v>
      </c>
      <c r="F71" t="str">
        <f>TRIM(_xlfn.TEXTAFTER(Employee_dataset[[#This Row],[Department_Region]],"-"))</f>
        <v>Illinois</v>
      </c>
      <c r="G71" t="str">
        <f>TRIM(Employee_dataset[[#This Row],[Status]])</f>
        <v>Inactive</v>
      </c>
      <c r="H71" s="1">
        <f>_xlfn.LET(
     _xlpm.d, Employee_dataset[[#This Row],[Join_Date]],
     IF(
        ISNUMBER(_xlpm.d),_xlpm.d,""
       )
    )</f>
        <v>45532</v>
      </c>
      <c r="I71" s="6">
        <f>_xlfn.LET(
     _xlpm.s, TRIM(Employee_dataset[[#This Row],[Salary]]),
     IF(
        UPPER(_xlpm.s)="N/A","",
        IF(
           ISNUMBER(--_xlpm.s),ROUND(_xlfn.NUMBERVALUE(_xlpm.s),2),""
          )
       )
    )</f>
        <v>113479.83</v>
      </c>
      <c r="J71" t="str">
        <f>TRIM(Employee_dataset[[#This Row],[Email]])</f>
        <v>heidi.miller@example.com</v>
      </c>
      <c r="K71" t="str">
        <f>_xlfn.LET(
     _xlpm.p,TRIM(SUBSTITUTE(Employee_dataset[[#This Row],[Phone]],"-","")),
     IF(
        LEN(_xlpm.p)=10,_xlfn.CONCAT("("&amp;LEFT(_xlpm.p,3)&amp;") "&amp;MID(_xlpm.p,4,3)&amp;"-"&amp;RIGHT(_xlpm.p,4),"")
       )
     )</f>
        <v>(489) 267-3898</v>
      </c>
      <c r="L71" t="str">
        <f>TRIM(Employee_dataset[[#This Row],[Performance_Score]])</f>
        <v>Good</v>
      </c>
      <c r="M71" t="str">
        <f>TRIM(Employee_dataset[[#This Row],[Remote_Work]])</f>
        <v>FALSE</v>
      </c>
    </row>
    <row r="72" spans="1:13" x14ac:dyDescent="0.3">
      <c r="A72" t="str">
        <f>TRIM(Employee_dataset[[#This Row],[Employee_ID]])</f>
        <v>EMP1070</v>
      </c>
      <c r="B72" t="str">
        <f>PROPER(TRIM(Employee_dataset[[#This Row],[First_Name]]))</f>
        <v>Charlie</v>
      </c>
      <c r="C72" t="str">
        <f>PROPER(TRIM(Employee_dataset[[#This Row],[Last_Name]]))</f>
        <v>Johnson</v>
      </c>
      <c r="D72" s="6" t="str">
        <f>_xlfn.LET(
     _xlpm.a, TRIM(Employee_dataset[[#This Row],[Age]]),
     IF(
        _xlpm.a="","",
        IF(
           AND(ISNUMBER(--_xlpm.a),LEN(_xlpm.a)=2),_xlpm.a,""
          )
       )
    )</f>
        <v>40</v>
      </c>
      <c r="E72" t="str">
        <f>TRIM(_xlfn.TEXTBEFORE(Employee_dataset[[#This Row],[Department_Region]],"-"))</f>
        <v>Finance</v>
      </c>
      <c r="F72" t="str">
        <f>TRIM(_xlfn.TEXTAFTER(Employee_dataset[[#This Row],[Department_Region]],"-"))</f>
        <v>California</v>
      </c>
      <c r="G72" t="str">
        <f>TRIM(Employee_dataset[[#This Row],[Status]])</f>
        <v>Active</v>
      </c>
      <c r="H72" s="1">
        <f>_xlfn.LET(
     _xlpm.d, Employee_dataset[[#This Row],[Join_Date]],
     IF(
        ISNUMBER(_xlpm.d),_xlpm.d,""
       )
    )</f>
        <v>45551</v>
      </c>
      <c r="I72" s="6">
        <f>_xlfn.LET(
     _xlpm.s, TRIM(Employee_dataset[[#This Row],[Salary]]),
     IF(
        UPPER(_xlpm.s)="N/A","",
        IF(
           ISNUMBER(--_xlpm.s),ROUND(_xlfn.NUMBERVALUE(_xlpm.s),2),""
          )
       )
    )</f>
        <v>94636.3</v>
      </c>
      <c r="J72" t="str">
        <f>TRIM(Employee_dataset[[#This Row],[Email]])</f>
        <v>charlie.johnson@example.com</v>
      </c>
      <c r="K72" t="str">
        <f>_xlfn.LET(
     _xlpm.p,TRIM(SUBSTITUTE(Employee_dataset[[#This Row],[Phone]],"-","")),
     IF(
        LEN(_xlpm.p)=10,_xlfn.CONCAT("("&amp;LEFT(_xlpm.p,3)&amp;") "&amp;MID(_xlpm.p,4,3)&amp;"-"&amp;RIGHT(_xlpm.p,4),"")
       )
     )</f>
        <v>(756) 341-0855</v>
      </c>
      <c r="L72" t="str">
        <f>TRIM(Employee_dataset[[#This Row],[Performance_Score]])</f>
        <v>Poor</v>
      </c>
      <c r="M72" t="str">
        <f>TRIM(Employee_dataset[[#This Row],[Remote_Work]])</f>
        <v>FALSE</v>
      </c>
    </row>
    <row r="73" spans="1:13" x14ac:dyDescent="0.3">
      <c r="A73" t="str">
        <f>TRIM(Employee_dataset[[#This Row],[Employee_ID]])</f>
        <v>EMP1071</v>
      </c>
      <c r="B73" t="str">
        <f>PROPER(TRIM(Employee_dataset[[#This Row],[First_Name]]))</f>
        <v>Heidi</v>
      </c>
      <c r="C73" t="str">
        <f>PROPER(TRIM(Employee_dataset[[#This Row],[Last_Name]]))</f>
        <v>Johnson</v>
      </c>
      <c r="D73" s="6" t="str">
        <f>_xlfn.LET(
     _xlpm.a, TRIM(Employee_dataset[[#This Row],[Age]]),
     IF(
        _xlpm.a="","",
        IF(
           AND(ISNUMBER(--_xlpm.a),LEN(_xlpm.a)=2),_xlpm.a,""
          )
       )
    )</f>
        <v>30</v>
      </c>
      <c r="E73" t="str">
        <f>TRIM(_xlfn.TEXTBEFORE(Employee_dataset[[#This Row],[Department_Region]],"-"))</f>
        <v>HR</v>
      </c>
      <c r="F73" t="str">
        <f>TRIM(_xlfn.TEXTAFTER(Employee_dataset[[#This Row],[Department_Region]],"-"))</f>
        <v>Florida</v>
      </c>
      <c r="G73" t="str">
        <f>TRIM(Employee_dataset[[#This Row],[Status]])</f>
        <v>Active</v>
      </c>
      <c r="H73" s="1">
        <f>_xlfn.LET(
     _xlpm.d, Employee_dataset[[#This Row],[Join_Date]],
     IF(
        ISNUMBER(_xlpm.d),_xlpm.d,""
       )
    )</f>
        <v>45292</v>
      </c>
      <c r="I73" s="6">
        <f>_xlfn.LET(
     _xlpm.s, TRIM(Employee_dataset[[#This Row],[Salary]]),
     IF(
        UPPER(_xlpm.s)="N/A","",
        IF(
           ISNUMBER(--_xlpm.s),ROUND(_xlfn.NUMBERVALUE(_xlpm.s),2),""
          )
       )
    )</f>
        <v>70000.97</v>
      </c>
      <c r="J73" t="str">
        <f>TRIM(Employee_dataset[[#This Row],[Email]])</f>
        <v>heidi.johnson@example.com</v>
      </c>
      <c r="K73" t="str">
        <f>_xlfn.LET(
     _xlpm.p,TRIM(SUBSTITUTE(Employee_dataset[[#This Row],[Phone]],"-","")),
     IF(
        LEN(_xlpm.p)=10,_xlfn.CONCAT("("&amp;LEFT(_xlpm.p,3)&amp;") "&amp;MID(_xlpm.p,4,3)&amp;"-"&amp;RIGHT(_xlpm.p,4),"")
       )
     )</f>
        <v>(288) 431-8847</v>
      </c>
      <c r="L73" t="str">
        <f>TRIM(Employee_dataset[[#This Row],[Performance_Score]])</f>
        <v>Average</v>
      </c>
      <c r="M73" t="str">
        <f>TRIM(Employee_dataset[[#This Row],[Remote_Work]])</f>
        <v>TRUE</v>
      </c>
    </row>
    <row r="74" spans="1:13" x14ac:dyDescent="0.3">
      <c r="A74" t="str">
        <f>TRIM(Employee_dataset[[#This Row],[Employee_ID]])</f>
        <v>EMP1072</v>
      </c>
      <c r="B74" t="str">
        <f>PROPER(TRIM(Employee_dataset[[#This Row],[First_Name]]))</f>
        <v>Frank</v>
      </c>
      <c r="C74" t="str">
        <f>PROPER(TRIM(Employee_dataset[[#This Row],[Last_Name]]))</f>
        <v>Smith</v>
      </c>
      <c r="D74" s="6" t="str">
        <f>_xlfn.LET(
     _xlpm.a, TRIM(Employee_dataset[[#This Row],[Age]]),
     IF(
        _xlpm.a="","",
        IF(
           AND(ISNUMBER(--_xlpm.a),LEN(_xlpm.a)=2),_xlpm.a,""
          )
       )
    )</f>
        <v/>
      </c>
      <c r="E74" t="str">
        <f>TRIM(_xlfn.TEXTBEFORE(Employee_dataset[[#This Row],[Department_Region]],"-"))</f>
        <v>Cloud Tech</v>
      </c>
      <c r="F74" t="str">
        <f>TRIM(_xlfn.TEXTAFTER(Employee_dataset[[#This Row],[Department_Region]],"-"))</f>
        <v>New York</v>
      </c>
      <c r="G74" t="str">
        <f>TRIM(Employee_dataset[[#This Row],[Status]])</f>
        <v>Active</v>
      </c>
      <c r="H74" s="1">
        <f>_xlfn.LET(
     _xlpm.d, Employee_dataset[[#This Row],[Join_Date]],
     IF(
        ISNUMBER(_xlpm.d),_xlpm.d,""
       )
    )</f>
        <v>44304</v>
      </c>
      <c r="I74" s="6">
        <f>_xlfn.LET(
     _xlpm.s, TRIM(Employee_dataset[[#This Row],[Salary]]),
     IF(
        UPPER(_xlpm.s)="N/A","",
        IF(
           ISNUMBER(--_xlpm.s),ROUND(_xlfn.NUMBERVALUE(_xlpm.s),2),""
          )
       )
    )</f>
        <v>76812.47</v>
      </c>
      <c r="J74" t="str">
        <f>TRIM(Employee_dataset[[#This Row],[Email]])</f>
        <v>frank.smith@example.com</v>
      </c>
      <c r="K74" t="str">
        <f>_xlfn.LET(
     _xlpm.p,TRIM(SUBSTITUTE(Employee_dataset[[#This Row],[Phone]],"-","")),
     IF(
        LEN(_xlpm.p)=10,_xlfn.CONCAT("("&amp;LEFT(_xlpm.p,3)&amp;") "&amp;MID(_xlpm.p,4,3)&amp;"-"&amp;RIGHT(_xlpm.p,4),"")
       )
     )</f>
        <v>(520) 089-4345</v>
      </c>
      <c r="L74" t="str">
        <f>TRIM(Employee_dataset[[#This Row],[Performance_Score]])</f>
        <v>Poor</v>
      </c>
      <c r="M74" t="str">
        <f>TRIM(Employee_dataset[[#This Row],[Remote_Work]])</f>
        <v>FALSE</v>
      </c>
    </row>
    <row r="75" spans="1:13" x14ac:dyDescent="0.3">
      <c r="A75" t="str">
        <f>TRIM(Employee_dataset[[#This Row],[Employee_ID]])</f>
        <v>EMP1073</v>
      </c>
      <c r="B75" t="str">
        <f>PROPER(TRIM(Employee_dataset[[#This Row],[First_Name]]))</f>
        <v>David</v>
      </c>
      <c r="C75" t="str">
        <f>PROPER(TRIM(Employee_dataset[[#This Row],[Last_Name]]))</f>
        <v>Johnson</v>
      </c>
      <c r="D75" s="6" t="str">
        <f>_xlfn.LET(
     _xlpm.a, TRIM(Employee_dataset[[#This Row],[Age]]),
     IF(
        _xlpm.a="","",
        IF(
           AND(ISNUMBER(--_xlpm.a),LEN(_xlpm.a)=2),_xlpm.a,""
          )
       )
    )</f>
        <v>25</v>
      </c>
      <c r="E75" t="str">
        <f>TRIM(_xlfn.TEXTBEFORE(Employee_dataset[[#This Row],[Department_Region]],"-"))</f>
        <v>Finance</v>
      </c>
      <c r="F75" t="str">
        <f>TRIM(_xlfn.TEXTAFTER(Employee_dataset[[#This Row],[Department_Region]],"-"))</f>
        <v>Florida</v>
      </c>
      <c r="G75" t="str">
        <f>TRIM(Employee_dataset[[#This Row],[Status]])</f>
        <v>Inactive</v>
      </c>
      <c r="H75" s="1">
        <f>_xlfn.LET(
     _xlpm.d, Employee_dataset[[#This Row],[Join_Date]],
     IF(
        ISNUMBER(_xlpm.d),_xlpm.d,""
       )
    )</f>
        <v>44942</v>
      </c>
      <c r="I75" s="6">
        <f>_xlfn.LET(
     _xlpm.s, TRIM(Employee_dataset[[#This Row],[Salary]]),
     IF(
        UPPER(_xlpm.s)="N/A","",
        IF(
           ISNUMBER(--_xlpm.s),ROUND(_xlfn.NUMBERVALUE(_xlpm.s),2),""
          )
       )
    )</f>
        <v>82614.7</v>
      </c>
      <c r="J75" t="str">
        <f>TRIM(Employee_dataset[[#This Row],[Email]])</f>
        <v>david.johnson@example.com</v>
      </c>
      <c r="K75" t="str">
        <f>_xlfn.LET(
     _xlpm.p,TRIM(SUBSTITUTE(Employee_dataset[[#This Row],[Phone]],"-","")),
     IF(
        LEN(_xlpm.p)=10,_xlfn.CONCAT("("&amp;LEFT(_xlpm.p,3)&amp;") "&amp;MID(_xlpm.p,4,3)&amp;"-"&amp;RIGHT(_xlpm.p,4),"")
       )
     )</f>
        <v>(810) 548-5100</v>
      </c>
      <c r="L75" t="str">
        <f>TRIM(Employee_dataset[[#This Row],[Performance_Score]])</f>
        <v>Average</v>
      </c>
      <c r="M75" t="str">
        <f>TRIM(Employee_dataset[[#This Row],[Remote_Work]])</f>
        <v>TRUE</v>
      </c>
    </row>
    <row r="76" spans="1:13" x14ac:dyDescent="0.3">
      <c r="A76" t="str">
        <f>TRIM(Employee_dataset[[#This Row],[Employee_ID]])</f>
        <v>EMP1074</v>
      </c>
      <c r="B76" t="str">
        <f>PROPER(TRIM(Employee_dataset[[#This Row],[First_Name]]))</f>
        <v>Grace</v>
      </c>
      <c r="C76" t="str">
        <f>PROPER(TRIM(Employee_dataset[[#This Row],[Last_Name]]))</f>
        <v>Jones</v>
      </c>
      <c r="D76" s="6" t="str">
        <f>_xlfn.LET(
     _xlpm.a, TRIM(Employee_dataset[[#This Row],[Age]]),
     IF(
        _xlpm.a="","",
        IF(
           AND(ISNUMBER(--_xlpm.a),LEN(_xlpm.a)=2),_xlpm.a,""
          )
       )
    )</f>
        <v>40</v>
      </c>
      <c r="E76" t="str">
        <f>TRIM(_xlfn.TEXTBEFORE(Employee_dataset[[#This Row],[Department_Region]],"-"))</f>
        <v>Sales</v>
      </c>
      <c r="F76" t="str">
        <f>TRIM(_xlfn.TEXTAFTER(Employee_dataset[[#This Row],[Department_Region]],"-"))</f>
        <v>Nevada</v>
      </c>
      <c r="G76" t="str">
        <f>TRIM(Employee_dataset[[#This Row],[Status]])</f>
        <v>Active</v>
      </c>
      <c r="H76" s="1">
        <f>_xlfn.LET(
     _xlpm.d, Employee_dataset[[#This Row],[Join_Date]],
     IF(
        ISNUMBER(_xlpm.d),_xlpm.d,""
       )
    )</f>
        <v>45585</v>
      </c>
      <c r="I76" s="6">
        <f>_xlfn.LET(
     _xlpm.s, TRIM(Employee_dataset[[#This Row],[Salary]]),
     IF(
        UPPER(_xlpm.s)="N/A","",
        IF(
           ISNUMBER(--_xlpm.s),ROUND(_xlfn.NUMBERVALUE(_xlpm.s),2),""
          )
       )
    )</f>
        <v>111645.97</v>
      </c>
      <c r="J76" t="str">
        <f>TRIM(Employee_dataset[[#This Row],[Email]])</f>
        <v>grace.jones@example.com</v>
      </c>
      <c r="K76" t="str">
        <f>_xlfn.LET(
     _xlpm.p,TRIM(SUBSTITUTE(Employee_dataset[[#This Row],[Phone]],"-","")),
     IF(
        LEN(_xlpm.p)=10,_xlfn.CONCAT("("&amp;LEFT(_xlpm.p,3)&amp;") "&amp;MID(_xlpm.p,4,3)&amp;"-"&amp;RIGHT(_xlpm.p,4),"")
       )
     )</f>
        <v>(749) 075-3997</v>
      </c>
      <c r="L76" t="str">
        <f>TRIM(Employee_dataset[[#This Row],[Performance_Score]])</f>
        <v>Good</v>
      </c>
      <c r="M76" t="str">
        <f>TRIM(Employee_dataset[[#This Row],[Remote_Work]])</f>
        <v>TRUE</v>
      </c>
    </row>
    <row r="77" spans="1:13" x14ac:dyDescent="0.3">
      <c r="A77" t="str">
        <f>TRIM(Employee_dataset[[#This Row],[Employee_ID]])</f>
        <v>EMP1075</v>
      </c>
      <c r="B77" t="str">
        <f>PROPER(TRIM(Employee_dataset[[#This Row],[First_Name]]))</f>
        <v>Heidi</v>
      </c>
      <c r="C77" t="str">
        <f>PROPER(TRIM(Employee_dataset[[#This Row],[Last_Name]]))</f>
        <v>Johnson</v>
      </c>
      <c r="D77" s="6" t="str">
        <f>_xlfn.LET(
     _xlpm.a, TRIM(Employee_dataset[[#This Row],[Age]]),
     IF(
        _xlpm.a="","",
        IF(
           AND(ISNUMBER(--_xlpm.a),LEN(_xlpm.a)=2),_xlpm.a,""
          )
       )
    )</f>
        <v>25</v>
      </c>
      <c r="E77" t="str">
        <f>TRIM(_xlfn.TEXTBEFORE(Employee_dataset[[#This Row],[Department_Region]],"-"))</f>
        <v>HR</v>
      </c>
      <c r="F77" t="str">
        <f>TRIM(_xlfn.TEXTAFTER(Employee_dataset[[#This Row],[Department_Region]],"-"))</f>
        <v>California</v>
      </c>
      <c r="G77" t="str">
        <f>TRIM(Employee_dataset[[#This Row],[Status]])</f>
        <v>Inactive</v>
      </c>
      <c r="H77" s="1">
        <f>_xlfn.LET(
     _xlpm.d, Employee_dataset[[#This Row],[Join_Date]],
     IF(
        ISNUMBER(_xlpm.d),_xlpm.d,""
       )
    )</f>
        <v>45578</v>
      </c>
      <c r="I77" s="6">
        <f>_xlfn.LET(
     _xlpm.s, TRIM(Employee_dataset[[#This Row],[Salary]]),
     IF(
        UPPER(_xlpm.s)="N/A","",
        IF(
           ISNUMBER(--_xlpm.s),ROUND(_xlfn.NUMBERVALUE(_xlpm.s),2),""
          )
       )
    )</f>
        <v>112414.91</v>
      </c>
      <c r="J77" t="str">
        <f>TRIM(Employee_dataset[[#This Row],[Email]])</f>
        <v>heidi.johnson@example.com</v>
      </c>
      <c r="K77" t="str">
        <f>_xlfn.LET(
     _xlpm.p,TRIM(SUBSTITUTE(Employee_dataset[[#This Row],[Phone]],"-","")),
     IF(
        LEN(_xlpm.p)=10,_xlfn.CONCAT("("&amp;LEFT(_xlpm.p,3)&amp;") "&amp;MID(_xlpm.p,4,3)&amp;"-"&amp;RIGHT(_xlpm.p,4),"")
       )
     )</f>
        <v>(935) 449-2682</v>
      </c>
      <c r="L77" t="str">
        <f>TRIM(Employee_dataset[[#This Row],[Performance_Score]])</f>
        <v>Good</v>
      </c>
      <c r="M77" t="str">
        <f>TRIM(Employee_dataset[[#This Row],[Remote_Work]])</f>
        <v>FALSE</v>
      </c>
    </row>
    <row r="78" spans="1:13" x14ac:dyDescent="0.3">
      <c r="A78" t="str">
        <f>TRIM(Employee_dataset[[#This Row],[Employee_ID]])</f>
        <v>EMP1076</v>
      </c>
      <c r="B78" t="str">
        <f>PROPER(TRIM(Employee_dataset[[#This Row],[First_Name]]))</f>
        <v>David</v>
      </c>
      <c r="C78" t="str">
        <f>PROPER(TRIM(Employee_dataset[[#This Row],[Last_Name]]))</f>
        <v>Brown</v>
      </c>
      <c r="D78" s="6" t="str">
        <f>_xlfn.LET(
     _xlpm.a, TRIM(Employee_dataset[[#This Row],[Age]]),
     IF(
        _xlpm.a="","",
        IF(
           AND(ISNUMBER(--_xlpm.a),LEN(_xlpm.a)=2),_xlpm.a,""
          )
       )
    )</f>
        <v>40</v>
      </c>
      <c r="E78" t="str">
        <f>TRIM(_xlfn.TEXTBEFORE(Employee_dataset[[#This Row],[Department_Region]],"-"))</f>
        <v>Admin</v>
      </c>
      <c r="F78" t="str">
        <f>TRIM(_xlfn.TEXTAFTER(Employee_dataset[[#This Row],[Department_Region]],"-"))</f>
        <v>California</v>
      </c>
      <c r="G78" t="str">
        <f>TRIM(Employee_dataset[[#This Row],[Status]])</f>
        <v>Inactive</v>
      </c>
      <c r="H78" s="1">
        <f>_xlfn.LET(
     _xlpm.d, Employee_dataset[[#This Row],[Join_Date]],
     IF(
        ISNUMBER(_xlpm.d),_xlpm.d,""
       )
    )</f>
        <v>44825</v>
      </c>
      <c r="I78" s="6">
        <f>_xlfn.LET(
     _xlpm.s, TRIM(Employee_dataset[[#This Row],[Salary]]),
     IF(
        UPPER(_xlpm.s)="N/A","",
        IF(
           ISNUMBER(--_xlpm.s),ROUND(_xlfn.NUMBERVALUE(_xlpm.s),2),""
          )
       )
    )</f>
        <v>52031.74</v>
      </c>
      <c r="J78" t="str">
        <f>TRIM(Employee_dataset[[#This Row],[Email]])</f>
        <v>david.brown@example.com</v>
      </c>
      <c r="K78" t="str">
        <f>_xlfn.LET(
     _xlpm.p,TRIM(SUBSTITUTE(Employee_dataset[[#This Row],[Phone]],"-","")),
     IF(
        LEN(_xlpm.p)=10,_xlfn.CONCAT("("&amp;LEFT(_xlpm.p,3)&amp;") "&amp;MID(_xlpm.p,4,3)&amp;"-"&amp;RIGHT(_xlpm.p,4),"")
       )
     )</f>
        <v>(158) 935-7125</v>
      </c>
      <c r="L78" t="str">
        <f>TRIM(Employee_dataset[[#This Row],[Performance_Score]])</f>
        <v>Good</v>
      </c>
      <c r="M78" t="str">
        <f>TRIM(Employee_dataset[[#This Row],[Remote_Work]])</f>
        <v>TRUE</v>
      </c>
    </row>
    <row r="79" spans="1:13" x14ac:dyDescent="0.3">
      <c r="A79" t="str">
        <f>TRIM(Employee_dataset[[#This Row],[Employee_ID]])</f>
        <v>EMP1077</v>
      </c>
      <c r="B79" t="str">
        <f>PROPER(TRIM(Employee_dataset[[#This Row],[First_Name]]))</f>
        <v>Grace</v>
      </c>
      <c r="C79" t="str">
        <f>PROPER(TRIM(Employee_dataset[[#This Row],[Last_Name]]))</f>
        <v>Brown</v>
      </c>
      <c r="D79" s="6" t="str">
        <f>_xlfn.LET(
     _xlpm.a, TRIM(Employee_dataset[[#This Row],[Age]]),
     IF(
        _xlpm.a="","",
        IF(
           AND(ISNUMBER(--_xlpm.a),LEN(_xlpm.a)=2),_xlpm.a,""
          )
       )
    )</f>
        <v>30</v>
      </c>
      <c r="E79" t="str">
        <f>TRIM(_xlfn.TEXTBEFORE(Employee_dataset[[#This Row],[Department_Region]],"-"))</f>
        <v>Finance</v>
      </c>
      <c r="F79" t="str">
        <f>TRIM(_xlfn.TEXTAFTER(Employee_dataset[[#This Row],[Department_Region]],"-"))</f>
        <v>New York</v>
      </c>
      <c r="G79" t="str">
        <f>TRIM(Employee_dataset[[#This Row],[Status]])</f>
        <v>Pending</v>
      </c>
      <c r="H79" s="1">
        <f>_xlfn.LET(
     _xlpm.d, Employee_dataset[[#This Row],[Join_Date]],
     IF(
        ISNUMBER(_xlpm.d),_xlpm.d,""
       )
    )</f>
        <v>44924</v>
      </c>
      <c r="I79" s="6">
        <f>_xlfn.LET(
     _xlpm.s, TRIM(Employee_dataset[[#This Row],[Salary]]),
     IF(
        UPPER(_xlpm.s)="N/A","",
        IF(
           ISNUMBER(--_xlpm.s),ROUND(_xlfn.NUMBERVALUE(_xlpm.s),2),""
          )
       )
    )</f>
        <v>51887.65</v>
      </c>
      <c r="J79" t="str">
        <f>TRIM(Employee_dataset[[#This Row],[Email]])</f>
        <v>grace.brown@example.com</v>
      </c>
      <c r="K79" t="str">
        <f>_xlfn.LET(
     _xlpm.p,TRIM(SUBSTITUTE(Employee_dataset[[#This Row],[Phone]],"-","")),
     IF(
        LEN(_xlpm.p)=10,_xlfn.CONCAT("("&amp;LEFT(_xlpm.p,3)&amp;") "&amp;MID(_xlpm.p,4,3)&amp;"-"&amp;RIGHT(_xlpm.p,4),"")
       )
     )</f>
        <v>(611) 062-7370</v>
      </c>
      <c r="L79" t="str">
        <f>TRIM(Employee_dataset[[#This Row],[Performance_Score]])</f>
        <v>Good</v>
      </c>
      <c r="M79" t="str">
        <f>TRIM(Employee_dataset[[#This Row],[Remote_Work]])</f>
        <v>FALSE</v>
      </c>
    </row>
    <row r="80" spans="1:13" x14ac:dyDescent="0.3">
      <c r="A80" t="str">
        <f>TRIM(Employee_dataset[[#This Row],[Employee_ID]])</f>
        <v>EMP1078</v>
      </c>
      <c r="B80" t="str">
        <f>PROPER(TRIM(Employee_dataset[[#This Row],[First_Name]]))</f>
        <v>Alice</v>
      </c>
      <c r="C80" t="str">
        <f>PROPER(TRIM(Employee_dataset[[#This Row],[Last_Name]]))</f>
        <v>Davis</v>
      </c>
      <c r="D80" s="6" t="str">
        <f>_xlfn.LET(
     _xlpm.a, TRIM(Employee_dataset[[#This Row],[Age]]),
     IF(
        _xlpm.a="","",
        IF(
           AND(ISNUMBER(--_xlpm.a),LEN(_xlpm.a)=2),_xlpm.a,""
          )
       )
    )</f>
        <v>25</v>
      </c>
      <c r="E80" t="str">
        <f>TRIM(_xlfn.TEXTBEFORE(Employee_dataset[[#This Row],[Department_Region]],"-"))</f>
        <v>DevOps</v>
      </c>
      <c r="F80" t="str">
        <f>TRIM(_xlfn.TEXTAFTER(Employee_dataset[[#This Row],[Department_Region]],"-"))</f>
        <v>Florida</v>
      </c>
      <c r="G80" t="str">
        <f>TRIM(Employee_dataset[[#This Row],[Status]])</f>
        <v>Active</v>
      </c>
      <c r="H80" s="1">
        <f>_xlfn.LET(
     _xlpm.d, Employee_dataset[[#This Row],[Join_Date]],
     IF(
        ISNUMBER(_xlpm.d),_xlpm.d,""
       )
    )</f>
        <v>45606</v>
      </c>
      <c r="I80" s="6">
        <f>_xlfn.LET(
     _xlpm.s, TRIM(Employee_dataset[[#This Row],[Salary]]),
     IF(
        UPPER(_xlpm.s)="N/A","",
        IF(
           ISNUMBER(--_xlpm.s),ROUND(_xlfn.NUMBERVALUE(_xlpm.s),2),""
          )
       )
    )</f>
        <v>82318.89</v>
      </c>
      <c r="J80" t="str">
        <f>TRIM(Employee_dataset[[#This Row],[Email]])</f>
        <v>alice.davis@example.com</v>
      </c>
      <c r="K80" t="str">
        <f>_xlfn.LET(
     _xlpm.p,TRIM(SUBSTITUTE(Employee_dataset[[#This Row],[Phone]],"-","")),
     IF(
        LEN(_xlpm.p)=10,_xlfn.CONCAT("("&amp;LEFT(_xlpm.p,3)&amp;") "&amp;MID(_xlpm.p,4,3)&amp;"-"&amp;RIGHT(_xlpm.p,4),"")
       )
     )</f>
        <v>(586) 988-6496</v>
      </c>
      <c r="L80" t="str">
        <f>TRIM(Employee_dataset[[#This Row],[Performance_Score]])</f>
        <v>Good</v>
      </c>
      <c r="M80" t="str">
        <f>TRIM(Employee_dataset[[#This Row],[Remote_Work]])</f>
        <v>TRUE</v>
      </c>
    </row>
    <row r="81" spans="1:13" x14ac:dyDescent="0.3">
      <c r="A81" t="str">
        <f>TRIM(Employee_dataset[[#This Row],[Employee_ID]])</f>
        <v>EMP1079</v>
      </c>
      <c r="B81" t="str">
        <f>PROPER(TRIM(Employee_dataset[[#This Row],[First_Name]]))</f>
        <v>Grace</v>
      </c>
      <c r="C81" t="str">
        <f>PROPER(TRIM(Employee_dataset[[#This Row],[Last_Name]]))</f>
        <v>Brown</v>
      </c>
      <c r="D81" s="6" t="str">
        <f>_xlfn.LET(
     _xlpm.a, TRIM(Employee_dataset[[#This Row],[Age]]),
     IF(
        _xlpm.a="","",
        IF(
           AND(ISNUMBER(--_xlpm.a),LEN(_xlpm.a)=2),_xlpm.a,""
          )
       )
    )</f>
        <v>35</v>
      </c>
      <c r="E81" t="str">
        <f>TRIM(_xlfn.TEXTBEFORE(Employee_dataset[[#This Row],[Department_Region]],"-"))</f>
        <v>Admin</v>
      </c>
      <c r="F81" t="str">
        <f>TRIM(_xlfn.TEXTAFTER(Employee_dataset[[#This Row],[Department_Region]],"-"))</f>
        <v>Florida</v>
      </c>
      <c r="G81" t="str">
        <f>TRIM(Employee_dataset[[#This Row],[Status]])</f>
        <v>Inactive</v>
      </c>
      <c r="H81" s="1">
        <f>_xlfn.LET(
     _xlpm.d, Employee_dataset[[#This Row],[Join_Date]],
     IF(
        ISNUMBER(_xlpm.d),_xlpm.d,""
       )
    )</f>
        <v>44522</v>
      </c>
      <c r="I81" s="6">
        <f>_xlfn.LET(
     _xlpm.s, TRIM(Employee_dataset[[#This Row],[Salary]]),
     IF(
        UPPER(_xlpm.s)="N/A","",
        IF(
           ISNUMBER(--_xlpm.s),ROUND(_xlfn.NUMBERVALUE(_xlpm.s),2),""
          )
       )
    )</f>
        <v>103286.08</v>
      </c>
      <c r="J81" t="str">
        <f>TRIM(Employee_dataset[[#This Row],[Email]])</f>
        <v>grace.brown@example.com</v>
      </c>
      <c r="K81" t="str">
        <f>_xlfn.LET(
     _xlpm.p,TRIM(SUBSTITUTE(Employee_dataset[[#This Row],[Phone]],"-","")),
     IF(
        LEN(_xlpm.p)=10,_xlfn.CONCAT("("&amp;LEFT(_xlpm.p,3)&amp;") "&amp;MID(_xlpm.p,4,3)&amp;"-"&amp;RIGHT(_xlpm.p,4),"")
       )
     )</f>
        <v>(677) 622-8276</v>
      </c>
      <c r="L81" t="str">
        <f>TRIM(Employee_dataset[[#This Row],[Performance_Score]])</f>
        <v>Average</v>
      </c>
      <c r="M81" t="str">
        <f>TRIM(Employee_dataset[[#This Row],[Remote_Work]])</f>
        <v>FALSE</v>
      </c>
    </row>
    <row r="82" spans="1:13" x14ac:dyDescent="0.3">
      <c r="A82" t="str">
        <f>TRIM(Employee_dataset[[#This Row],[Employee_ID]])</f>
        <v>EMP1080</v>
      </c>
      <c r="B82" t="str">
        <f>PROPER(TRIM(Employee_dataset[[#This Row],[First_Name]]))</f>
        <v>Grace</v>
      </c>
      <c r="C82" t="str">
        <f>PROPER(TRIM(Employee_dataset[[#This Row],[Last_Name]]))</f>
        <v>Davis</v>
      </c>
      <c r="D82" s="6" t="str">
        <f>_xlfn.LET(
     _xlpm.a, TRIM(Employee_dataset[[#This Row],[Age]]),
     IF(
        _xlpm.a="","",
        IF(
           AND(ISNUMBER(--_xlpm.a),LEN(_xlpm.a)=2),_xlpm.a,""
          )
       )
    )</f>
        <v>35</v>
      </c>
      <c r="E82" t="str">
        <f>TRIM(_xlfn.TEXTBEFORE(Employee_dataset[[#This Row],[Department_Region]],"-"))</f>
        <v>Cloud Tech</v>
      </c>
      <c r="F82" t="str">
        <f>TRIM(_xlfn.TEXTAFTER(Employee_dataset[[#This Row],[Department_Region]],"-"))</f>
        <v>Florida</v>
      </c>
      <c r="G82" t="str">
        <f>TRIM(Employee_dataset[[#This Row],[Status]])</f>
        <v>Active</v>
      </c>
      <c r="H82" s="1">
        <f>_xlfn.LET(
     _xlpm.d, Employee_dataset[[#This Row],[Join_Date]],
     IF(
        ISNUMBER(_xlpm.d),_xlpm.d,""
       )
    )</f>
        <v>45365</v>
      </c>
      <c r="I82" s="6">
        <f>_xlfn.LET(
     _xlpm.s, TRIM(Employee_dataset[[#This Row],[Salary]]),
     IF(
        UPPER(_xlpm.s)="N/A","",
        IF(
           ISNUMBER(--_xlpm.s),ROUND(_xlfn.NUMBERVALUE(_xlpm.s),2),""
          )
       )
    )</f>
        <v>87759.33</v>
      </c>
      <c r="J82" t="str">
        <f>TRIM(Employee_dataset[[#This Row],[Email]])</f>
        <v>grace.davis@example.com</v>
      </c>
      <c r="K82" t="str">
        <f>_xlfn.LET(
     _xlpm.p,TRIM(SUBSTITUTE(Employee_dataset[[#This Row],[Phone]],"-","")),
     IF(
        LEN(_xlpm.p)=10,_xlfn.CONCAT("("&amp;LEFT(_xlpm.p,3)&amp;") "&amp;MID(_xlpm.p,4,3)&amp;"-"&amp;RIGHT(_xlpm.p,4),"")
       )
     )</f>
        <v>(288) 137-7027</v>
      </c>
      <c r="L82" t="str">
        <f>TRIM(Employee_dataset[[#This Row],[Performance_Score]])</f>
        <v>Average</v>
      </c>
      <c r="M82" t="str">
        <f>TRIM(Employee_dataset[[#This Row],[Remote_Work]])</f>
        <v>FALSE</v>
      </c>
    </row>
    <row r="83" spans="1:13" x14ac:dyDescent="0.3">
      <c r="A83" t="str">
        <f>TRIM(Employee_dataset[[#This Row],[Employee_ID]])</f>
        <v>EMP1081</v>
      </c>
      <c r="B83" t="str">
        <f>PROPER(TRIM(Employee_dataset[[#This Row],[First_Name]]))</f>
        <v>Frank</v>
      </c>
      <c r="C83" t="str">
        <f>PROPER(TRIM(Employee_dataset[[#This Row],[Last_Name]]))</f>
        <v>Brown</v>
      </c>
      <c r="D83" s="6" t="str">
        <f>_xlfn.LET(
     _xlpm.a, TRIM(Employee_dataset[[#This Row],[Age]]),
     IF(
        _xlpm.a="","",
        IF(
           AND(ISNUMBER(--_xlpm.a),LEN(_xlpm.a)=2),_xlpm.a,""
          )
       )
    )</f>
        <v>30</v>
      </c>
      <c r="E83" t="str">
        <f>TRIM(_xlfn.TEXTBEFORE(Employee_dataset[[#This Row],[Department_Region]],"-"))</f>
        <v>DevOps</v>
      </c>
      <c r="F83" t="str">
        <f>TRIM(_xlfn.TEXTAFTER(Employee_dataset[[#This Row],[Department_Region]],"-"))</f>
        <v>Texas</v>
      </c>
      <c r="G83" t="str">
        <f>TRIM(Employee_dataset[[#This Row],[Status]])</f>
        <v>Pending</v>
      </c>
      <c r="H83" s="1">
        <f>_xlfn.LET(
     _xlpm.d, Employee_dataset[[#This Row],[Join_Date]],
     IF(
        ISNUMBER(_xlpm.d),_xlpm.d,""
       )
    )</f>
        <v>43913</v>
      </c>
      <c r="I83" s="6">
        <f>_xlfn.LET(
     _xlpm.s, TRIM(Employee_dataset[[#This Row],[Salary]]),
     IF(
        UPPER(_xlpm.s)="N/A","",
        IF(
           ISNUMBER(--_xlpm.s),ROUND(_xlfn.NUMBERVALUE(_xlpm.s),2),""
          )
       )
    )</f>
        <v>102796.32</v>
      </c>
      <c r="J83" t="str">
        <f>TRIM(Employee_dataset[[#This Row],[Email]])</f>
        <v>frank.brown@example.com</v>
      </c>
      <c r="K83" t="str">
        <f>_xlfn.LET(
     _xlpm.p,TRIM(SUBSTITUTE(Employee_dataset[[#This Row],[Phone]],"-","")),
     IF(
        LEN(_xlpm.p)=10,_xlfn.CONCAT("("&amp;LEFT(_xlpm.p,3)&amp;") "&amp;MID(_xlpm.p,4,3)&amp;"-"&amp;RIGHT(_xlpm.p,4),"")
       )
     )</f>
        <v>(519) 611-5939</v>
      </c>
      <c r="L83" t="str">
        <f>TRIM(Employee_dataset[[#This Row],[Performance_Score]])</f>
        <v>Good</v>
      </c>
      <c r="M83" t="str">
        <f>TRIM(Employee_dataset[[#This Row],[Remote_Work]])</f>
        <v>FALSE</v>
      </c>
    </row>
    <row r="84" spans="1:13" x14ac:dyDescent="0.3">
      <c r="A84" t="str">
        <f>TRIM(Employee_dataset[[#This Row],[Employee_ID]])</f>
        <v>EMP1082</v>
      </c>
      <c r="B84" t="str">
        <f>PROPER(TRIM(Employee_dataset[[#This Row],[First_Name]]))</f>
        <v>David</v>
      </c>
      <c r="C84" t="str">
        <f>PROPER(TRIM(Employee_dataset[[#This Row],[Last_Name]]))</f>
        <v>Jones</v>
      </c>
      <c r="D84" s="6" t="str">
        <f>_xlfn.LET(
     _xlpm.a, TRIM(Employee_dataset[[#This Row],[Age]]),
     IF(
        _xlpm.a="","",
        IF(
           AND(ISNUMBER(--_xlpm.a),LEN(_xlpm.a)=2),_xlpm.a,""
          )
       )
    )</f>
        <v>25</v>
      </c>
      <c r="E84" t="str">
        <f>TRIM(_xlfn.TEXTBEFORE(Employee_dataset[[#This Row],[Department_Region]],"-"))</f>
        <v>Sales</v>
      </c>
      <c r="F84" t="str">
        <f>TRIM(_xlfn.TEXTAFTER(Employee_dataset[[#This Row],[Department_Region]],"-"))</f>
        <v>New York</v>
      </c>
      <c r="G84" t="str">
        <f>TRIM(Employee_dataset[[#This Row],[Status]])</f>
        <v>Active</v>
      </c>
      <c r="H84" s="1">
        <f>_xlfn.LET(
     _xlpm.d, Employee_dataset[[#This Row],[Join_Date]],
     IF(
        ISNUMBER(_xlpm.d),_xlpm.d,""
       )
    )</f>
        <v>44089</v>
      </c>
      <c r="I84" s="6">
        <f>_xlfn.LET(
     _xlpm.s, TRIM(Employee_dataset[[#This Row],[Salary]]),
     IF(
        UPPER(_xlpm.s)="N/A","",
        IF(
           ISNUMBER(--_xlpm.s),ROUND(_xlfn.NUMBERVALUE(_xlpm.s),2),""
          )
       )
    )</f>
        <v>83149.27</v>
      </c>
      <c r="J84" t="str">
        <f>TRIM(Employee_dataset[[#This Row],[Email]])</f>
        <v>david.jones@example.com</v>
      </c>
      <c r="K84" t="str">
        <f>_xlfn.LET(
     _xlpm.p,TRIM(SUBSTITUTE(Employee_dataset[[#This Row],[Phone]],"-","")),
     IF(
        LEN(_xlpm.p)=10,_xlfn.CONCAT("("&amp;LEFT(_xlpm.p,3)&amp;") "&amp;MID(_xlpm.p,4,3)&amp;"-"&amp;RIGHT(_xlpm.p,4),"")
       )
     )</f>
        <v>(821) 545-4469</v>
      </c>
      <c r="L84" t="str">
        <f>TRIM(Employee_dataset[[#This Row],[Performance_Score]])</f>
        <v>Poor</v>
      </c>
      <c r="M84" t="str">
        <f>TRIM(Employee_dataset[[#This Row],[Remote_Work]])</f>
        <v>TRUE</v>
      </c>
    </row>
    <row r="85" spans="1:13" x14ac:dyDescent="0.3">
      <c r="A85" t="str">
        <f>TRIM(Employee_dataset[[#This Row],[Employee_ID]])</f>
        <v>EMP1083</v>
      </c>
      <c r="B85" t="str">
        <f>PROPER(TRIM(Employee_dataset[[#This Row],[First_Name]]))</f>
        <v>David</v>
      </c>
      <c r="C85" t="str">
        <f>PROPER(TRIM(Employee_dataset[[#This Row],[Last_Name]]))</f>
        <v>Garcia</v>
      </c>
      <c r="D85" s="6" t="str">
        <f>_xlfn.LET(
     _xlpm.a, TRIM(Employee_dataset[[#This Row],[Age]]),
     IF(
        _xlpm.a="","",
        IF(
           AND(ISNUMBER(--_xlpm.a),LEN(_xlpm.a)=2),_xlpm.a,""
          )
       )
    )</f>
        <v>40</v>
      </c>
      <c r="E85" t="str">
        <f>TRIM(_xlfn.TEXTBEFORE(Employee_dataset[[#This Row],[Department_Region]],"-"))</f>
        <v>DevOps</v>
      </c>
      <c r="F85" t="str">
        <f>TRIM(_xlfn.TEXTAFTER(Employee_dataset[[#This Row],[Department_Region]],"-"))</f>
        <v>California</v>
      </c>
      <c r="G85" t="str">
        <f>TRIM(Employee_dataset[[#This Row],[Status]])</f>
        <v>Inactive</v>
      </c>
      <c r="H85" s="1">
        <f>_xlfn.LET(
     _xlpm.d, Employee_dataset[[#This Row],[Join_Date]],
     IF(
        ISNUMBER(_xlpm.d),_xlpm.d,""
       )
    )</f>
        <v>44174</v>
      </c>
      <c r="I85" s="6">
        <f>_xlfn.LET(
     _xlpm.s, TRIM(Employee_dataset[[#This Row],[Salary]]),
     IF(
        UPPER(_xlpm.s)="N/A","",
        IF(
           ISNUMBER(--_xlpm.s),ROUND(_xlfn.NUMBERVALUE(_xlpm.s),2),""
          )
       )
    )</f>
        <v>92412.49</v>
      </c>
      <c r="J85" t="str">
        <f>TRIM(Employee_dataset[[#This Row],[Email]])</f>
        <v>david.garcia@example.com</v>
      </c>
      <c r="K85" t="str">
        <f>_xlfn.LET(
     _xlpm.p,TRIM(SUBSTITUTE(Employee_dataset[[#This Row],[Phone]],"-","")),
     IF(
        LEN(_xlpm.p)=10,_xlfn.CONCAT("("&amp;LEFT(_xlpm.p,3)&amp;") "&amp;MID(_xlpm.p,4,3)&amp;"-"&amp;RIGHT(_xlpm.p,4),"")
       )
     )</f>
        <v>(229) 604-4326</v>
      </c>
      <c r="L85" t="str">
        <f>TRIM(Employee_dataset[[#This Row],[Performance_Score]])</f>
        <v>Excellent</v>
      </c>
      <c r="M85" t="str">
        <f>TRIM(Employee_dataset[[#This Row],[Remote_Work]])</f>
        <v>TRUE</v>
      </c>
    </row>
    <row r="86" spans="1:13" x14ac:dyDescent="0.3">
      <c r="A86" t="str">
        <f>TRIM(Employee_dataset[[#This Row],[Employee_ID]])</f>
        <v>EMP1084</v>
      </c>
      <c r="B86" t="str">
        <f>PROPER(TRIM(Employee_dataset[[#This Row],[First_Name]]))</f>
        <v>Bob</v>
      </c>
      <c r="C86" t="str">
        <f>PROPER(TRIM(Employee_dataset[[#This Row],[Last_Name]]))</f>
        <v>Davis</v>
      </c>
      <c r="D86" s="6" t="str">
        <f>_xlfn.LET(
     _xlpm.a, TRIM(Employee_dataset[[#This Row],[Age]]),
     IF(
        _xlpm.a="","",
        IF(
           AND(ISNUMBER(--_xlpm.a),LEN(_xlpm.a)=2),_xlpm.a,""
          )
       )
    )</f>
        <v>30</v>
      </c>
      <c r="E86" t="str">
        <f>TRIM(_xlfn.TEXTBEFORE(Employee_dataset[[#This Row],[Department_Region]],"-"))</f>
        <v>HR</v>
      </c>
      <c r="F86" t="str">
        <f>TRIM(_xlfn.TEXTAFTER(Employee_dataset[[#This Row],[Department_Region]],"-"))</f>
        <v>Texas</v>
      </c>
      <c r="G86" t="str">
        <f>TRIM(Employee_dataset[[#This Row],[Status]])</f>
        <v>Pending</v>
      </c>
      <c r="H86" s="1">
        <f>_xlfn.LET(
     _xlpm.d, Employee_dataset[[#This Row],[Join_Date]],
     IF(
        ISNUMBER(_xlpm.d),_xlpm.d,""
       )
    )</f>
        <v>43883</v>
      </c>
      <c r="I86" s="6">
        <f>_xlfn.LET(
     _xlpm.s, TRIM(Employee_dataset[[#This Row],[Salary]]),
     IF(
        UPPER(_xlpm.s)="N/A","",
        IF(
           ISNUMBER(--_xlpm.s),ROUND(_xlfn.NUMBERVALUE(_xlpm.s),2),""
          )
       )
    )</f>
        <v>115022.1</v>
      </c>
      <c r="J86" t="str">
        <f>TRIM(Employee_dataset[[#This Row],[Email]])</f>
        <v>bob.davis@example.com</v>
      </c>
      <c r="K86" t="b">
        <f>_xlfn.LET(
     _xlpm.p,TRIM(SUBSTITUTE(Employee_dataset[[#This Row],[Phone]],"-","")),
     IF(
        LEN(_xlpm.p)=10,_xlfn.CONCAT("("&amp;LEFT(_xlpm.p,3)&amp;") "&amp;MID(_xlpm.p,4,3)&amp;"-"&amp;RIGHT(_xlpm.p,4),"")
       )
     )</f>
        <v>0</v>
      </c>
      <c r="L86" t="str">
        <f>TRIM(Employee_dataset[[#This Row],[Performance_Score]])</f>
        <v>Good</v>
      </c>
      <c r="M86" t="str">
        <f>TRIM(Employee_dataset[[#This Row],[Remote_Work]])</f>
        <v>FALSE</v>
      </c>
    </row>
    <row r="87" spans="1:13" x14ac:dyDescent="0.3">
      <c r="A87" t="str">
        <f>TRIM(Employee_dataset[[#This Row],[Employee_ID]])</f>
        <v>EMP1085</v>
      </c>
      <c r="B87" t="str">
        <f>PROPER(TRIM(Employee_dataset[[#This Row],[First_Name]]))</f>
        <v>Grace</v>
      </c>
      <c r="C87" t="str">
        <f>PROPER(TRIM(Employee_dataset[[#This Row],[Last_Name]]))</f>
        <v>Williams</v>
      </c>
      <c r="D87" s="6" t="str">
        <f>_xlfn.LET(
     _xlpm.a, TRIM(Employee_dataset[[#This Row],[Age]]),
     IF(
        _xlpm.a="","",
        IF(
           AND(ISNUMBER(--_xlpm.a),LEN(_xlpm.a)=2),_xlpm.a,""
          )
       )
    )</f>
        <v>40</v>
      </c>
      <c r="E87" t="str">
        <f>TRIM(_xlfn.TEXTBEFORE(Employee_dataset[[#This Row],[Department_Region]],"-"))</f>
        <v>DevOps</v>
      </c>
      <c r="F87" t="str">
        <f>TRIM(_xlfn.TEXTAFTER(Employee_dataset[[#This Row],[Department_Region]],"-"))</f>
        <v>New York</v>
      </c>
      <c r="G87" t="str">
        <f>TRIM(Employee_dataset[[#This Row],[Status]])</f>
        <v>Active</v>
      </c>
      <c r="H87" s="1">
        <f>_xlfn.LET(
     _xlpm.d, Employee_dataset[[#This Row],[Join_Date]],
     IF(
        ISNUMBER(_xlpm.d),_xlpm.d,""
       )
    )</f>
        <v>45043</v>
      </c>
      <c r="I87" s="6">
        <f>_xlfn.LET(
     _xlpm.s, TRIM(Employee_dataset[[#This Row],[Salary]]),
     IF(
        UPPER(_xlpm.s)="N/A","",
        IF(
           ISNUMBER(--_xlpm.s),ROUND(_xlfn.NUMBERVALUE(_xlpm.s),2),""
          )
       )
    )</f>
        <v>98343.01</v>
      </c>
      <c r="J87" t="str">
        <f>TRIM(Employee_dataset[[#This Row],[Email]])</f>
        <v>grace.williams@example.com</v>
      </c>
      <c r="K87" t="str">
        <f>_xlfn.LET(
     _xlpm.p,TRIM(SUBSTITUTE(Employee_dataset[[#This Row],[Phone]],"-","")),
     IF(
        LEN(_xlpm.p)=10,_xlfn.CONCAT("("&amp;LEFT(_xlpm.p,3)&amp;") "&amp;MID(_xlpm.p,4,3)&amp;"-"&amp;RIGHT(_xlpm.p,4),"")
       )
     )</f>
        <v>(975) 679-2286</v>
      </c>
      <c r="L87" t="str">
        <f>TRIM(Employee_dataset[[#This Row],[Performance_Score]])</f>
        <v>Poor</v>
      </c>
      <c r="M87" t="str">
        <f>TRIM(Employee_dataset[[#This Row],[Remote_Work]])</f>
        <v>FALSE</v>
      </c>
    </row>
    <row r="88" spans="1:13" x14ac:dyDescent="0.3">
      <c r="A88" t="str">
        <f>TRIM(Employee_dataset[[#This Row],[Employee_ID]])</f>
        <v>EMP1086</v>
      </c>
      <c r="B88" t="str">
        <f>PROPER(TRIM(Employee_dataset[[#This Row],[First_Name]]))</f>
        <v>Bob</v>
      </c>
      <c r="C88" t="str">
        <f>PROPER(TRIM(Employee_dataset[[#This Row],[Last_Name]]))</f>
        <v>Miller</v>
      </c>
      <c r="D88" s="6" t="str">
        <f>_xlfn.LET(
     _xlpm.a, TRIM(Employee_dataset[[#This Row],[Age]]),
     IF(
        _xlpm.a="","",
        IF(
           AND(ISNUMBER(--_xlpm.a),LEN(_xlpm.a)=2),_xlpm.a,""
          )
       )
    )</f>
        <v>35</v>
      </c>
      <c r="E88" t="str">
        <f>TRIM(_xlfn.TEXTBEFORE(Employee_dataset[[#This Row],[Department_Region]],"-"))</f>
        <v>DevOps</v>
      </c>
      <c r="F88" t="str">
        <f>TRIM(_xlfn.TEXTAFTER(Employee_dataset[[#This Row],[Department_Region]],"-"))</f>
        <v>Illinois</v>
      </c>
      <c r="G88" t="str">
        <f>TRIM(Employee_dataset[[#This Row],[Status]])</f>
        <v>Active</v>
      </c>
      <c r="H88" s="1">
        <f>_xlfn.LET(
     _xlpm.d, Employee_dataset[[#This Row],[Join_Date]],
     IF(
        ISNUMBER(_xlpm.d),_xlpm.d,""
       )
    )</f>
        <v>45461</v>
      </c>
      <c r="I88" s="6">
        <f>_xlfn.LET(
     _xlpm.s, TRIM(Employee_dataset[[#This Row],[Salary]]),
     IF(
        UPPER(_xlpm.s)="N/A","",
        IF(
           ISNUMBER(--_xlpm.s),ROUND(_xlfn.NUMBERVALUE(_xlpm.s),2),""
          )
       )
    )</f>
        <v>118869.1</v>
      </c>
      <c r="J88" t="str">
        <f>TRIM(Employee_dataset[[#This Row],[Email]])</f>
        <v>bob.miller@example.com</v>
      </c>
      <c r="K88" t="str">
        <f>_xlfn.LET(
     _xlpm.p,TRIM(SUBSTITUTE(Employee_dataset[[#This Row],[Phone]],"-","")),
     IF(
        LEN(_xlpm.p)=10,_xlfn.CONCAT("("&amp;LEFT(_xlpm.p,3)&amp;") "&amp;MID(_xlpm.p,4,3)&amp;"-"&amp;RIGHT(_xlpm.p,4),"")
       )
     )</f>
        <v>(772) 519-9662</v>
      </c>
      <c r="L88" t="str">
        <f>TRIM(Employee_dataset[[#This Row],[Performance_Score]])</f>
        <v>Excellent</v>
      </c>
      <c r="M88" t="str">
        <f>TRIM(Employee_dataset[[#This Row],[Remote_Work]])</f>
        <v>TRUE</v>
      </c>
    </row>
    <row r="89" spans="1:13" x14ac:dyDescent="0.3">
      <c r="A89" t="str">
        <f>TRIM(Employee_dataset[[#This Row],[Employee_ID]])</f>
        <v>EMP1087</v>
      </c>
      <c r="B89" t="str">
        <f>PROPER(TRIM(Employee_dataset[[#This Row],[First_Name]]))</f>
        <v>Frank</v>
      </c>
      <c r="C89" t="str">
        <f>PROPER(TRIM(Employee_dataset[[#This Row],[Last_Name]]))</f>
        <v>Smith</v>
      </c>
      <c r="D89" s="6" t="str">
        <f>_xlfn.LET(
     _xlpm.a, TRIM(Employee_dataset[[#This Row],[Age]]),
     IF(
        _xlpm.a="","",
        IF(
           AND(ISNUMBER(--_xlpm.a),LEN(_xlpm.a)=2),_xlpm.a,""
          )
       )
    )</f>
        <v/>
      </c>
      <c r="E89" t="str">
        <f>TRIM(_xlfn.TEXTBEFORE(Employee_dataset[[#This Row],[Department_Region]],"-"))</f>
        <v>Finance</v>
      </c>
      <c r="F89" t="str">
        <f>TRIM(_xlfn.TEXTAFTER(Employee_dataset[[#This Row],[Department_Region]],"-"))</f>
        <v>Nevada</v>
      </c>
      <c r="G89" t="str">
        <f>TRIM(Employee_dataset[[#This Row],[Status]])</f>
        <v>Inactive</v>
      </c>
      <c r="H89" s="1">
        <f>_xlfn.LET(
     _xlpm.d, Employee_dataset[[#This Row],[Join_Date]],
     IF(
        ISNUMBER(_xlpm.d),_xlpm.d,""
       )
    )</f>
        <v>43972</v>
      </c>
      <c r="I89" s="6">
        <f>_xlfn.LET(
     _xlpm.s, TRIM(Employee_dataset[[#This Row],[Salary]]),
     IF(
        UPPER(_xlpm.s)="N/A","",
        IF(
           ISNUMBER(--_xlpm.s),ROUND(_xlfn.NUMBERVALUE(_xlpm.s),2),""
          )
       )
    )</f>
        <v>85417.26</v>
      </c>
      <c r="J89" t="str">
        <f>TRIM(Employee_dataset[[#This Row],[Email]])</f>
        <v>frank.smith@example.com</v>
      </c>
      <c r="K89" t="str">
        <f>_xlfn.LET(
     _xlpm.p,TRIM(SUBSTITUTE(Employee_dataset[[#This Row],[Phone]],"-","")),
     IF(
        LEN(_xlpm.p)=10,_xlfn.CONCAT("("&amp;LEFT(_xlpm.p,3)&amp;") "&amp;MID(_xlpm.p,4,3)&amp;"-"&amp;RIGHT(_xlpm.p,4),"")
       )
     )</f>
        <v>(658) 074-1208</v>
      </c>
      <c r="L89" t="str">
        <f>TRIM(Employee_dataset[[#This Row],[Performance_Score]])</f>
        <v>Good</v>
      </c>
      <c r="M89" t="str">
        <f>TRIM(Employee_dataset[[#This Row],[Remote_Work]])</f>
        <v>TRUE</v>
      </c>
    </row>
    <row r="90" spans="1:13" x14ac:dyDescent="0.3">
      <c r="A90" t="str">
        <f>TRIM(Employee_dataset[[#This Row],[Employee_ID]])</f>
        <v>EMP1088</v>
      </c>
      <c r="B90" t="str">
        <f>PROPER(TRIM(Employee_dataset[[#This Row],[First_Name]]))</f>
        <v>Grace</v>
      </c>
      <c r="C90" t="str">
        <f>PROPER(TRIM(Employee_dataset[[#This Row],[Last_Name]]))</f>
        <v>Brown</v>
      </c>
      <c r="D90" s="6" t="str">
        <f>_xlfn.LET(
     _xlpm.a, TRIM(Employee_dataset[[#This Row],[Age]]),
     IF(
        _xlpm.a="","",
        IF(
           AND(ISNUMBER(--_xlpm.a),LEN(_xlpm.a)=2),_xlpm.a,""
          )
       )
    )</f>
        <v>40</v>
      </c>
      <c r="E90" t="str">
        <f>TRIM(_xlfn.TEXTBEFORE(Employee_dataset[[#This Row],[Department_Region]],"-"))</f>
        <v>Cloud Tech</v>
      </c>
      <c r="F90" t="str">
        <f>TRIM(_xlfn.TEXTAFTER(Employee_dataset[[#This Row],[Department_Region]],"-"))</f>
        <v>Florida</v>
      </c>
      <c r="G90" t="str">
        <f>TRIM(Employee_dataset[[#This Row],[Status]])</f>
        <v>Inactive</v>
      </c>
      <c r="H90" s="1">
        <f>_xlfn.LET(
     _xlpm.d, Employee_dataset[[#This Row],[Join_Date]],
     IF(
        ISNUMBER(_xlpm.d),_xlpm.d,""
       )
    )</f>
        <v>45132</v>
      </c>
      <c r="I90" s="6">
        <f>_xlfn.LET(
     _xlpm.s, TRIM(Employee_dataset[[#This Row],[Salary]]),
     IF(
        UPPER(_xlpm.s)="N/A","",
        IF(
           ISNUMBER(--_xlpm.s),ROUND(_xlfn.NUMBERVALUE(_xlpm.s),2),""
          )
       )
    )</f>
        <v>112410.25</v>
      </c>
      <c r="J90" t="str">
        <f>TRIM(Employee_dataset[[#This Row],[Email]])</f>
        <v>grace.brown@example.com</v>
      </c>
      <c r="K90" t="str">
        <f>_xlfn.LET(
     _xlpm.p,TRIM(SUBSTITUTE(Employee_dataset[[#This Row],[Phone]],"-","")),
     IF(
        LEN(_xlpm.p)=10,_xlfn.CONCAT("("&amp;LEFT(_xlpm.p,3)&amp;") "&amp;MID(_xlpm.p,4,3)&amp;"-"&amp;RIGHT(_xlpm.p,4),"")
       )
     )</f>
        <v>(481) 813-9889</v>
      </c>
      <c r="L90" t="str">
        <f>TRIM(Employee_dataset[[#This Row],[Performance_Score]])</f>
        <v>Good</v>
      </c>
      <c r="M90" t="str">
        <f>TRIM(Employee_dataset[[#This Row],[Remote_Work]])</f>
        <v>TRUE</v>
      </c>
    </row>
    <row r="91" spans="1:13" x14ac:dyDescent="0.3">
      <c r="A91" t="str">
        <f>TRIM(Employee_dataset[[#This Row],[Employee_ID]])</f>
        <v>EMP1089</v>
      </c>
      <c r="B91" t="str">
        <f>PROPER(TRIM(Employee_dataset[[#This Row],[First_Name]]))</f>
        <v>Charlie</v>
      </c>
      <c r="C91" t="str">
        <f>PROPER(TRIM(Employee_dataset[[#This Row],[Last_Name]]))</f>
        <v>Johnson</v>
      </c>
      <c r="D91" s="6" t="str">
        <f>_xlfn.LET(
     _xlpm.a, TRIM(Employee_dataset[[#This Row],[Age]]),
     IF(
        _xlpm.a="","",
        IF(
           AND(ISNUMBER(--_xlpm.a),LEN(_xlpm.a)=2),_xlpm.a,""
          )
       )
    )</f>
        <v>40</v>
      </c>
      <c r="E91" t="str">
        <f>TRIM(_xlfn.TEXTBEFORE(Employee_dataset[[#This Row],[Department_Region]],"-"))</f>
        <v>Admin</v>
      </c>
      <c r="F91" t="str">
        <f>TRIM(_xlfn.TEXTAFTER(Employee_dataset[[#This Row],[Department_Region]],"-"))</f>
        <v>Nevada</v>
      </c>
      <c r="G91" t="str">
        <f>TRIM(Employee_dataset[[#This Row],[Status]])</f>
        <v>Pending</v>
      </c>
      <c r="H91" s="1">
        <f>_xlfn.LET(
     _xlpm.d, Employee_dataset[[#This Row],[Join_Date]],
     IF(
        ISNUMBER(_xlpm.d),_xlpm.d,""
       )
    )</f>
        <v>45163</v>
      </c>
      <c r="I91" s="6">
        <f>_xlfn.LET(
     _xlpm.s, TRIM(Employee_dataset[[#This Row],[Salary]]),
     IF(
        UPPER(_xlpm.s)="N/A","",
        IF(
           ISNUMBER(--_xlpm.s),ROUND(_xlfn.NUMBERVALUE(_xlpm.s),2),""
          )
       )
    )</f>
        <v>68905.77</v>
      </c>
      <c r="J91" t="str">
        <f>TRIM(Employee_dataset[[#This Row],[Email]])</f>
        <v>charlie.johnson@example.com</v>
      </c>
      <c r="K91" t="str">
        <f>_xlfn.LET(
     _xlpm.p,TRIM(SUBSTITUTE(Employee_dataset[[#This Row],[Phone]],"-","")),
     IF(
        LEN(_xlpm.p)=10,_xlfn.CONCAT("("&amp;LEFT(_xlpm.p,3)&amp;") "&amp;MID(_xlpm.p,4,3)&amp;"-"&amp;RIGHT(_xlpm.p,4),"")
       )
     )</f>
        <v>(983) 780-1819</v>
      </c>
      <c r="L91" t="str">
        <f>TRIM(Employee_dataset[[#This Row],[Performance_Score]])</f>
        <v>Average</v>
      </c>
      <c r="M91" t="str">
        <f>TRIM(Employee_dataset[[#This Row],[Remote_Work]])</f>
        <v>FALSE</v>
      </c>
    </row>
    <row r="92" spans="1:13" x14ac:dyDescent="0.3">
      <c r="A92" t="str">
        <f>TRIM(Employee_dataset[[#This Row],[Employee_ID]])</f>
        <v>EMP1090</v>
      </c>
      <c r="B92" t="str">
        <f>PROPER(TRIM(Employee_dataset[[#This Row],[First_Name]]))</f>
        <v>Heidi</v>
      </c>
      <c r="C92" t="str">
        <f>PROPER(TRIM(Employee_dataset[[#This Row],[Last_Name]]))</f>
        <v>Garcia</v>
      </c>
      <c r="D92" s="6" t="str">
        <f>_xlfn.LET(
     _xlpm.a, TRIM(Employee_dataset[[#This Row],[Age]]),
     IF(
        _xlpm.a="","",
        IF(
           AND(ISNUMBER(--_xlpm.a),LEN(_xlpm.a)=2),_xlpm.a,""
          )
       )
    )</f>
        <v>40</v>
      </c>
      <c r="E92" t="str">
        <f>TRIM(_xlfn.TEXTBEFORE(Employee_dataset[[#This Row],[Department_Region]],"-"))</f>
        <v>Finance</v>
      </c>
      <c r="F92" t="str">
        <f>TRIM(_xlfn.TEXTAFTER(Employee_dataset[[#This Row],[Department_Region]],"-"))</f>
        <v>Nevada</v>
      </c>
      <c r="G92" t="str">
        <f>TRIM(Employee_dataset[[#This Row],[Status]])</f>
        <v>Pending</v>
      </c>
      <c r="H92" s="1">
        <f>_xlfn.LET(
     _xlpm.d, Employee_dataset[[#This Row],[Join_Date]],
     IF(
        ISNUMBER(_xlpm.d),_xlpm.d,""
       )
    )</f>
        <v>44380</v>
      </c>
      <c r="I92" s="6">
        <f>_xlfn.LET(
     _xlpm.s, TRIM(Employee_dataset[[#This Row],[Salary]]),
     IF(
        UPPER(_xlpm.s)="N/A","",
        IF(
           ISNUMBER(--_xlpm.s),ROUND(_xlfn.NUMBERVALUE(_xlpm.s),2),""
          )
       )
    )</f>
        <v>72561.320000000007</v>
      </c>
      <c r="J92" t="str">
        <f>TRIM(Employee_dataset[[#This Row],[Email]])</f>
        <v>heidi.garcia@example.com</v>
      </c>
      <c r="K92" t="str">
        <f>_xlfn.LET(
     _xlpm.p,TRIM(SUBSTITUTE(Employee_dataset[[#This Row],[Phone]],"-","")),
     IF(
        LEN(_xlpm.p)=10,_xlfn.CONCAT("("&amp;LEFT(_xlpm.p,3)&amp;") "&amp;MID(_xlpm.p,4,3)&amp;"-"&amp;RIGHT(_xlpm.p,4),"")
       )
     )</f>
        <v>(433) 971-8955</v>
      </c>
      <c r="L92" t="str">
        <f>TRIM(Employee_dataset[[#This Row],[Performance_Score]])</f>
        <v>Excellent</v>
      </c>
      <c r="M92" t="str">
        <f>TRIM(Employee_dataset[[#This Row],[Remote_Work]])</f>
        <v>TRUE</v>
      </c>
    </row>
    <row r="93" spans="1:13" x14ac:dyDescent="0.3">
      <c r="A93" t="str">
        <f>TRIM(Employee_dataset[[#This Row],[Employee_ID]])</f>
        <v>EMP1091</v>
      </c>
      <c r="B93" t="str">
        <f>PROPER(TRIM(Employee_dataset[[#This Row],[First_Name]]))</f>
        <v>Bob</v>
      </c>
      <c r="C93" t="str">
        <f>PROPER(TRIM(Employee_dataset[[#This Row],[Last_Name]]))</f>
        <v>Brown</v>
      </c>
      <c r="D93" s="6" t="str">
        <f>_xlfn.LET(
     _xlpm.a, TRIM(Employee_dataset[[#This Row],[Age]]),
     IF(
        _xlpm.a="","",
        IF(
           AND(ISNUMBER(--_xlpm.a),LEN(_xlpm.a)=2),_xlpm.a,""
          )
       )
    )</f>
        <v>35</v>
      </c>
      <c r="E93" t="str">
        <f>TRIM(_xlfn.TEXTBEFORE(Employee_dataset[[#This Row],[Department_Region]],"-"))</f>
        <v>Finance</v>
      </c>
      <c r="F93" t="str">
        <f>TRIM(_xlfn.TEXTAFTER(Employee_dataset[[#This Row],[Department_Region]],"-"))</f>
        <v>New York</v>
      </c>
      <c r="G93" t="str">
        <f>TRIM(Employee_dataset[[#This Row],[Status]])</f>
        <v>Inactive</v>
      </c>
      <c r="H93" s="1">
        <f>_xlfn.LET(
     _xlpm.d, Employee_dataset[[#This Row],[Join_Date]],
     IF(
        ISNUMBER(_xlpm.d),_xlpm.d,""
       )
    )</f>
        <v>44998</v>
      </c>
      <c r="I93" s="6">
        <f>_xlfn.LET(
     _xlpm.s, TRIM(Employee_dataset[[#This Row],[Salary]]),
     IF(
        UPPER(_xlpm.s)="N/A","",
        IF(
           ISNUMBER(--_xlpm.s),ROUND(_xlfn.NUMBERVALUE(_xlpm.s),2),""
          )
       )
    )</f>
        <v>92723.22</v>
      </c>
      <c r="J93" t="str">
        <f>TRIM(Employee_dataset[[#This Row],[Email]])</f>
        <v>bob.brown@example.com</v>
      </c>
      <c r="K93" t="str">
        <f>_xlfn.LET(
     _xlpm.p,TRIM(SUBSTITUTE(Employee_dataset[[#This Row],[Phone]],"-","")),
     IF(
        LEN(_xlpm.p)=10,_xlfn.CONCAT("("&amp;LEFT(_xlpm.p,3)&amp;") "&amp;MID(_xlpm.p,4,3)&amp;"-"&amp;RIGHT(_xlpm.p,4),"")
       )
     )</f>
        <v>(907) 056-2607</v>
      </c>
      <c r="L93" t="str">
        <f>TRIM(Employee_dataset[[#This Row],[Performance_Score]])</f>
        <v>Excellent</v>
      </c>
      <c r="M93" t="str">
        <f>TRIM(Employee_dataset[[#This Row],[Remote_Work]])</f>
        <v>TRUE</v>
      </c>
    </row>
    <row r="94" spans="1:13" x14ac:dyDescent="0.3">
      <c r="A94" t="str">
        <f>TRIM(Employee_dataset[[#This Row],[Employee_ID]])</f>
        <v>EMP1092</v>
      </c>
      <c r="B94" t="str">
        <f>PROPER(TRIM(Employee_dataset[[#This Row],[First_Name]]))</f>
        <v>Alice</v>
      </c>
      <c r="C94" t="str">
        <f>PROPER(TRIM(Employee_dataset[[#This Row],[Last_Name]]))</f>
        <v>Johnson</v>
      </c>
      <c r="D94" s="6" t="str">
        <f>_xlfn.LET(
     _xlpm.a, TRIM(Employee_dataset[[#This Row],[Age]]),
     IF(
        _xlpm.a="","",
        IF(
           AND(ISNUMBER(--_xlpm.a),LEN(_xlpm.a)=2),_xlpm.a,""
          )
       )
    )</f>
        <v>40</v>
      </c>
      <c r="E94" t="str">
        <f>TRIM(_xlfn.TEXTBEFORE(Employee_dataset[[#This Row],[Department_Region]],"-"))</f>
        <v>HR</v>
      </c>
      <c r="F94" t="str">
        <f>TRIM(_xlfn.TEXTAFTER(Employee_dataset[[#This Row],[Department_Region]],"-"))</f>
        <v>New York</v>
      </c>
      <c r="G94" t="str">
        <f>TRIM(Employee_dataset[[#This Row],[Status]])</f>
        <v>Inactive</v>
      </c>
      <c r="H94" s="1">
        <f>_xlfn.LET(
     _xlpm.d, Employee_dataset[[#This Row],[Join_Date]],
     IF(
        ISNUMBER(_xlpm.d),_xlpm.d,""
       )
    )</f>
        <v>44265</v>
      </c>
      <c r="I94" s="6">
        <f>_xlfn.LET(
     _xlpm.s, TRIM(Employee_dataset[[#This Row],[Salary]]),
     IF(
        UPPER(_xlpm.s)="N/A","",
        IF(
           ISNUMBER(--_xlpm.s),ROUND(_xlfn.NUMBERVALUE(_xlpm.s),2),""
          )
       )
    )</f>
        <v>74837.75</v>
      </c>
      <c r="J94" t="str">
        <f>TRIM(Employee_dataset[[#This Row],[Email]])</f>
        <v>alice.johnson@example.com</v>
      </c>
      <c r="K94" t="str">
        <f>_xlfn.LET(
     _xlpm.p,TRIM(SUBSTITUTE(Employee_dataset[[#This Row],[Phone]],"-","")),
     IF(
        LEN(_xlpm.p)=10,_xlfn.CONCAT("("&amp;LEFT(_xlpm.p,3)&amp;") "&amp;MID(_xlpm.p,4,3)&amp;"-"&amp;RIGHT(_xlpm.p,4),"")
       )
     )</f>
        <v>(564) 111-8241</v>
      </c>
      <c r="L94" t="str">
        <f>TRIM(Employee_dataset[[#This Row],[Performance_Score]])</f>
        <v>Poor</v>
      </c>
      <c r="M94" t="str">
        <f>TRIM(Employee_dataset[[#This Row],[Remote_Work]])</f>
        <v>FALSE</v>
      </c>
    </row>
    <row r="95" spans="1:13" x14ac:dyDescent="0.3">
      <c r="A95" t="str">
        <f>TRIM(Employee_dataset[[#This Row],[Employee_ID]])</f>
        <v>EMP1093</v>
      </c>
      <c r="B95" t="str">
        <f>PROPER(TRIM(Employee_dataset[[#This Row],[First_Name]]))</f>
        <v>Eva</v>
      </c>
      <c r="C95" t="str">
        <f>PROPER(TRIM(Employee_dataset[[#This Row],[Last_Name]]))</f>
        <v>Miller</v>
      </c>
      <c r="D95" s="6" t="str">
        <f>_xlfn.LET(
     _xlpm.a, TRIM(Employee_dataset[[#This Row],[Age]]),
     IF(
        _xlpm.a="","",
        IF(
           AND(ISNUMBER(--_xlpm.a),LEN(_xlpm.a)=2),_xlpm.a,""
          )
       )
    )</f>
        <v/>
      </c>
      <c r="E95" t="str">
        <f>TRIM(_xlfn.TEXTBEFORE(Employee_dataset[[#This Row],[Department_Region]],"-"))</f>
        <v>DevOps</v>
      </c>
      <c r="F95" t="str">
        <f>TRIM(_xlfn.TEXTAFTER(Employee_dataset[[#This Row],[Department_Region]],"-"))</f>
        <v>California</v>
      </c>
      <c r="G95" t="str">
        <f>TRIM(Employee_dataset[[#This Row],[Status]])</f>
        <v>Pending</v>
      </c>
      <c r="H95" s="1">
        <f>_xlfn.LET(
     _xlpm.d, Employee_dataset[[#This Row],[Join_Date]],
     IF(
        ISNUMBER(_xlpm.d),_xlpm.d,""
       )
    )</f>
        <v>43851</v>
      </c>
      <c r="I95" s="6">
        <f>_xlfn.LET(
     _xlpm.s, TRIM(Employee_dataset[[#This Row],[Salary]]),
     IF(
        UPPER(_xlpm.s)="N/A","",
        IF(
           ISNUMBER(--_xlpm.s),ROUND(_xlfn.NUMBERVALUE(_xlpm.s),2),""
          )
       )
    )</f>
        <v>86163.91</v>
      </c>
      <c r="J95" t="str">
        <f>TRIM(Employee_dataset[[#This Row],[Email]])</f>
        <v>eva.miller@example.com</v>
      </c>
      <c r="K95" t="str">
        <f>_xlfn.LET(
     _xlpm.p,TRIM(SUBSTITUTE(Employee_dataset[[#This Row],[Phone]],"-","")),
     IF(
        LEN(_xlpm.p)=10,_xlfn.CONCAT("("&amp;LEFT(_xlpm.p,3)&amp;") "&amp;MID(_xlpm.p,4,3)&amp;"-"&amp;RIGHT(_xlpm.p,4),"")
       )
     )</f>
        <v>(241) 246-2094</v>
      </c>
      <c r="L95" t="str">
        <f>TRIM(Employee_dataset[[#This Row],[Performance_Score]])</f>
        <v>Average</v>
      </c>
      <c r="M95" t="str">
        <f>TRIM(Employee_dataset[[#This Row],[Remote_Work]])</f>
        <v>TRUE</v>
      </c>
    </row>
    <row r="96" spans="1:13" x14ac:dyDescent="0.3">
      <c r="A96" t="str">
        <f>TRIM(Employee_dataset[[#This Row],[Employee_ID]])</f>
        <v>EMP1094</v>
      </c>
      <c r="B96" t="str">
        <f>PROPER(TRIM(Employee_dataset[[#This Row],[First_Name]]))</f>
        <v>David</v>
      </c>
      <c r="C96" t="str">
        <f>PROPER(TRIM(Employee_dataset[[#This Row],[Last_Name]]))</f>
        <v>Miller</v>
      </c>
      <c r="D96" s="6" t="str">
        <f>_xlfn.LET(
     _xlpm.a, TRIM(Employee_dataset[[#This Row],[Age]]),
     IF(
        _xlpm.a="","",
        IF(
           AND(ISNUMBER(--_xlpm.a),LEN(_xlpm.a)=2),_xlpm.a,""
          )
       )
    )</f>
        <v>40</v>
      </c>
      <c r="E96" t="str">
        <f>TRIM(_xlfn.TEXTBEFORE(Employee_dataset[[#This Row],[Department_Region]],"-"))</f>
        <v>Finance</v>
      </c>
      <c r="F96" t="str">
        <f>TRIM(_xlfn.TEXTAFTER(Employee_dataset[[#This Row],[Department_Region]],"-"))</f>
        <v>Illinois</v>
      </c>
      <c r="G96" t="str">
        <f>TRIM(Employee_dataset[[#This Row],[Status]])</f>
        <v>Active</v>
      </c>
      <c r="H96" s="1">
        <f>_xlfn.LET(
     _xlpm.d, Employee_dataset[[#This Row],[Join_Date]],
     IF(
        ISNUMBER(_xlpm.d),_xlpm.d,""
       )
    )</f>
        <v>45245</v>
      </c>
      <c r="I96" s="6">
        <f>_xlfn.LET(
     _xlpm.s, TRIM(Employee_dataset[[#This Row],[Salary]]),
     IF(
        UPPER(_xlpm.s)="N/A","",
        IF(
           ISNUMBER(--_xlpm.s),ROUND(_xlfn.NUMBERVALUE(_xlpm.s),2),""
          )
       )
    )</f>
        <v>83326.52</v>
      </c>
      <c r="J96" t="str">
        <f>TRIM(Employee_dataset[[#This Row],[Email]])</f>
        <v>david.miller@example.com</v>
      </c>
      <c r="K96" t="str">
        <f>_xlfn.LET(
     _xlpm.p,TRIM(SUBSTITUTE(Employee_dataset[[#This Row],[Phone]],"-","")),
     IF(
        LEN(_xlpm.p)=10,_xlfn.CONCAT("("&amp;LEFT(_xlpm.p,3)&amp;") "&amp;MID(_xlpm.p,4,3)&amp;"-"&amp;RIGHT(_xlpm.p,4),"")
       )
     )</f>
        <v>(200) 461-5264</v>
      </c>
      <c r="L96" t="str">
        <f>TRIM(Employee_dataset[[#This Row],[Performance_Score]])</f>
        <v>Average</v>
      </c>
      <c r="M96" t="str">
        <f>TRIM(Employee_dataset[[#This Row],[Remote_Work]])</f>
        <v>TRUE</v>
      </c>
    </row>
    <row r="97" spans="1:13" x14ac:dyDescent="0.3">
      <c r="A97" t="str">
        <f>TRIM(Employee_dataset[[#This Row],[Employee_ID]])</f>
        <v>EMP1095</v>
      </c>
      <c r="B97" t="str">
        <f>PROPER(TRIM(Employee_dataset[[#This Row],[First_Name]]))</f>
        <v>Heidi</v>
      </c>
      <c r="C97" t="str">
        <f>PROPER(TRIM(Employee_dataset[[#This Row],[Last_Name]]))</f>
        <v>Miller</v>
      </c>
      <c r="D97" s="6" t="str">
        <f>_xlfn.LET(
     _xlpm.a, TRIM(Employee_dataset[[#This Row],[Age]]),
     IF(
        _xlpm.a="","",
        IF(
           AND(ISNUMBER(--_xlpm.a),LEN(_xlpm.a)=2),_xlpm.a,""
          )
       )
    )</f>
        <v>25</v>
      </c>
      <c r="E97" t="str">
        <f>TRIM(_xlfn.TEXTBEFORE(Employee_dataset[[#This Row],[Department_Region]],"-"))</f>
        <v>Cloud Tech</v>
      </c>
      <c r="F97" t="str">
        <f>TRIM(_xlfn.TEXTAFTER(Employee_dataset[[#This Row],[Department_Region]],"-"))</f>
        <v>California</v>
      </c>
      <c r="G97" t="str">
        <f>TRIM(Employee_dataset[[#This Row],[Status]])</f>
        <v>Active</v>
      </c>
      <c r="H97" s="1">
        <f>_xlfn.LET(
     _xlpm.d, Employee_dataset[[#This Row],[Join_Date]],
     IF(
        ISNUMBER(_xlpm.d),_xlpm.d,""
       )
    )</f>
        <v>44659</v>
      </c>
      <c r="I97" s="6">
        <f>_xlfn.LET(
     _xlpm.s, TRIM(Employee_dataset[[#This Row],[Salary]]),
     IF(
        UPPER(_xlpm.s)="N/A","",
        IF(
           ISNUMBER(--_xlpm.s),ROUND(_xlfn.NUMBERVALUE(_xlpm.s),2),""
          )
       )
    )</f>
        <v>98425.1</v>
      </c>
      <c r="J97" t="str">
        <f>TRIM(Employee_dataset[[#This Row],[Email]])</f>
        <v>heidi.miller@example.com</v>
      </c>
      <c r="K97" t="str">
        <f>_xlfn.LET(
     _xlpm.p,TRIM(SUBSTITUTE(Employee_dataset[[#This Row],[Phone]],"-","")),
     IF(
        LEN(_xlpm.p)=10,_xlfn.CONCAT("("&amp;LEFT(_xlpm.p,3)&amp;") "&amp;MID(_xlpm.p,4,3)&amp;"-"&amp;RIGHT(_xlpm.p,4),"")
       )
     )</f>
        <v>(461) 033-9936</v>
      </c>
      <c r="L97" t="str">
        <f>TRIM(Employee_dataset[[#This Row],[Performance_Score]])</f>
        <v>Average</v>
      </c>
      <c r="M97" t="str">
        <f>TRIM(Employee_dataset[[#This Row],[Remote_Work]])</f>
        <v>TRUE</v>
      </c>
    </row>
    <row r="98" spans="1:13" x14ac:dyDescent="0.3">
      <c r="A98" t="str">
        <f>TRIM(Employee_dataset[[#This Row],[Employee_ID]])</f>
        <v>EMP1096</v>
      </c>
      <c r="B98" t="str">
        <f>PROPER(TRIM(Employee_dataset[[#This Row],[First_Name]]))</f>
        <v>Frank</v>
      </c>
      <c r="C98" t="str">
        <f>PROPER(TRIM(Employee_dataset[[#This Row],[Last_Name]]))</f>
        <v>Johnson</v>
      </c>
      <c r="D98" s="6" t="str">
        <f>_xlfn.LET(
     _xlpm.a, TRIM(Employee_dataset[[#This Row],[Age]]),
     IF(
        _xlpm.a="","",
        IF(
           AND(ISNUMBER(--_xlpm.a),LEN(_xlpm.a)=2),_xlpm.a,""
          )
       )
    )</f>
        <v>40</v>
      </c>
      <c r="E98" t="str">
        <f>TRIM(_xlfn.TEXTBEFORE(Employee_dataset[[#This Row],[Department_Region]],"-"))</f>
        <v>Sales</v>
      </c>
      <c r="F98" t="str">
        <f>TRIM(_xlfn.TEXTAFTER(Employee_dataset[[#This Row],[Department_Region]],"-"))</f>
        <v>Illinois</v>
      </c>
      <c r="G98" t="str">
        <f>TRIM(Employee_dataset[[#This Row],[Status]])</f>
        <v>Inactive</v>
      </c>
      <c r="H98" s="1">
        <f>_xlfn.LET(
     _xlpm.d, Employee_dataset[[#This Row],[Join_Date]],
     IF(
        ISNUMBER(_xlpm.d),_xlpm.d,""
       )
    )</f>
        <v>44702</v>
      </c>
      <c r="I98" s="6">
        <f>_xlfn.LET(
     _xlpm.s, TRIM(Employee_dataset[[#This Row],[Salary]]),
     IF(
        UPPER(_xlpm.s)="N/A","",
        IF(
           ISNUMBER(--_xlpm.s),ROUND(_xlfn.NUMBERVALUE(_xlpm.s),2),""
          )
       )
    )</f>
        <v>119764.2</v>
      </c>
      <c r="J98" t="str">
        <f>TRIM(Employee_dataset[[#This Row],[Email]])</f>
        <v>frank.johnson@example.com</v>
      </c>
      <c r="K98" t="str">
        <f>_xlfn.LET(
     _xlpm.p,TRIM(SUBSTITUTE(Employee_dataset[[#This Row],[Phone]],"-","")),
     IF(
        LEN(_xlpm.p)=10,_xlfn.CONCAT("("&amp;LEFT(_xlpm.p,3)&amp;") "&amp;MID(_xlpm.p,4,3)&amp;"-"&amp;RIGHT(_xlpm.p,4),"")
       )
     )</f>
        <v>(886) 140-5785</v>
      </c>
      <c r="L98" t="str">
        <f>TRIM(Employee_dataset[[#This Row],[Performance_Score]])</f>
        <v>Average</v>
      </c>
      <c r="M98" t="str">
        <f>TRIM(Employee_dataset[[#This Row],[Remote_Work]])</f>
        <v>FALSE</v>
      </c>
    </row>
    <row r="99" spans="1:13" x14ac:dyDescent="0.3">
      <c r="A99" t="str">
        <f>TRIM(Employee_dataset[[#This Row],[Employee_ID]])</f>
        <v>EMP1097</v>
      </c>
      <c r="B99" t="str">
        <f>PROPER(TRIM(Employee_dataset[[#This Row],[First_Name]]))</f>
        <v>Frank</v>
      </c>
      <c r="C99" t="str">
        <f>PROPER(TRIM(Employee_dataset[[#This Row],[Last_Name]]))</f>
        <v>Brown</v>
      </c>
      <c r="D99" s="6" t="str">
        <f>_xlfn.LET(
     _xlpm.a, TRIM(Employee_dataset[[#This Row],[Age]]),
     IF(
        _xlpm.a="","",
        IF(
           AND(ISNUMBER(--_xlpm.a),LEN(_xlpm.a)=2),_xlpm.a,""
          )
       )
    )</f>
        <v>40</v>
      </c>
      <c r="E99" t="str">
        <f>TRIM(_xlfn.TEXTBEFORE(Employee_dataset[[#This Row],[Department_Region]],"-"))</f>
        <v>HR</v>
      </c>
      <c r="F99" t="str">
        <f>TRIM(_xlfn.TEXTAFTER(Employee_dataset[[#This Row],[Department_Region]],"-"))</f>
        <v>California</v>
      </c>
      <c r="G99" t="str">
        <f>TRIM(Employee_dataset[[#This Row],[Status]])</f>
        <v>Inactive</v>
      </c>
      <c r="H99" s="1">
        <f>_xlfn.LET(
     _xlpm.d, Employee_dataset[[#This Row],[Join_Date]],
     IF(
        ISNUMBER(_xlpm.d),_xlpm.d,""
       )
    )</f>
        <v>44303</v>
      </c>
      <c r="I99" s="6">
        <f>_xlfn.LET(
     _xlpm.s, TRIM(Employee_dataset[[#This Row],[Salary]]),
     IF(
        UPPER(_xlpm.s)="N/A","",
        IF(
           ISNUMBER(--_xlpm.s),ROUND(_xlfn.NUMBERVALUE(_xlpm.s),2),""
          )
       )
    )</f>
        <v>58445.91</v>
      </c>
      <c r="J99" t="str">
        <f>TRIM(Employee_dataset[[#This Row],[Email]])</f>
        <v>frank.brown@example.com</v>
      </c>
      <c r="K99" t="str">
        <f>_xlfn.LET(
     _xlpm.p,TRIM(SUBSTITUTE(Employee_dataset[[#This Row],[Phone]],"-","")),
     IF(
        LEN(_xlpm.p)=10,_xlfn.CONCAT("("&amp;LEFT(_xlpm.p,3)&amp;") "&amp;MID(_xlpm.p,4,3)&amp;"-"&amp;RIGHT(_xlpm.p,4),"")
       )
     )</f>
        <v>(170) 630-4890</v>
      </c>
      <c r="L99" t="str">
        <f>TRIM(Employee_dataset[[#This Row],[Performance_Score]])</f>
        <v>Excellent</v>
      </c>
      <c r="M99" t="str">
        <f>TRIM(Employee_dataset[[#This Row],[Remote_Work]])</f>
        <v>FALSE</v>
      </c>
    </row>
    <row r="100" spans="1:13" x14ac:dyDescent="0.3">
      <c r="A100" t="str">
        <f>TRIM(Employee_dataset[[#This Row],[Employee_ID]])</f>
        <v>EMP1098</v>
      </c>
      <c r="B100" t="str">
        <f>PROPER(TRIM(Employee_dataset[[#This Row],[First_Name]]))</f>
        <v>Bob</v>
      </c>
      <c r="C100" t="str">
        <f>PROPER(TRIM(Employee_dataset[[#This Row],[Last_Name]]))</f>
        <v>Miller</v>
      </c>
      <c r="D100" s="6" t="str">
        <f>_xlfn.LET(
     _xlpm.a, TRIM(Employee_dataset[[#This Row],[Age]]),
     IF(
        _xlpm.a="","",
        IF(
           AND(ISNUMBER(--_xlpm.a),LEN(_xlpm.a)=2),_xlpm.a,""
          )
       )
    )</f>
        <v/>
      </c>
      <c r="E100" t="str">
        <f>TRIM(_xlfn.TEXTBEFORE(Employee_dataset[[#This Row],[Department_Region]],"-"))</f>
        <v>DevOps</v>
      </c>
      <c r="F100" t="str">
        <f>TRIM(_xlfn.TEXTAFTER(Employee_dataset[[#This Row],[Department_Region]],"-"))</f>
        <v>New York</v>
      </c>
      <c r="G100" t="str">
        <f>TRIM(Employee_dataset[[#This Row],[Status]])</f>
        <v>Active</v>
      </c>
      <c r="H100" s="1">
        <f>_xlfn.LET(
     _xlpm.d, Employee_dataset[[#This Row],[Join_Date]],
     IF(
        ISNUMBER(_xlpm.d),_xlpm.d,""
       )
    )</f>
        <v>44274</v>
      </c>
      <c r="I100" s="6">
        <f>_xlfn.LET(
     _xlpm.s, TRIM(Employee_dataset[[#This Row],[Salary]]),
     IF(
        UPPER(_xlpm.s)="N/A","",
        IF(
           ISNUMBER(--_xlpm.s),ROUND(_xlfn.NUMBERVALUE(_xlpm.s),2),""
          )
       )
    )</f>
        <v>101702.33</v>
      </c>
      <c r="J100" t="str">
        <f>TRIM(Employee_dataset[[#This Row],[Email]])</f>
        <v>bob.miller@example.com</v>
      </c>
      <c r="K100" t="str">
        <f>_xlfn.LET(
     _xlpm.p,TRIM(SUBSTITUTE(Employee_dataset[[#This Row],[Phone]],"-","")),
     IF(
        LEN(_xlpm.p)=10,_xlfn.CONCAT("("&amp;LEFT(_xlpm.p,3)&amp;") "&amp;MID(_xlpm.p,4,3)&amp;"-"&amp;RIGHT(_xlpm.p,4),"")
       )
     )</f>
        <v>(382) 496-7182</v>
      </c>
      <c r="L100" t="str">
        <f>TRIM(Employee_dataset[[#This Row],[Performance_Score]])</f>
        <v>Excellent</v>
      </c>
      <c r="M100" t="str">
        <f>TRIM(Employee_dataset[[#This Row],[Remote_Work]])</f>
        <v>FALSE</v>
      </c>
    </row>
    <row r="101" spans="1:13" x14ac:dyDescent="0.3">
      <c r="A101" t="str">
        <f>TRIM(Employee_dataset[[#This Row],[Employee_ID]])</f>
        <v>EMP1099</v>
      </c>
      <c r="B101" t="str">
        <f>PROPER(TRIM(Employee_dataset[[#This Row],[First_Name]]))</f>
        <v>Eva</v>
      </c>
      <c r="C101" t="str">
        <f>PROPER(TRIM(Employee_dataset[[#This Row],[Last_Name]]))</f>
        <v>Jones</v>
      </c>
      <c r="D101" s="6" t="str">
        <f>_xlfn.LET(
     _xlpm.a, TRIM(Employee_dataset[[#This Row],[Age]]),
     IF(
        _xlpm.a="","",
        IF(
           AND(ISNUMBER(--_xlpm.a),LEN(_xlpm.a)=2),_xlpm.a,""
          )
       )
    )</f>
        <v>25</v>
      </c>
      <c r="E101" t="str">
        <f>TRIM(_xlfn.TEXTBEFORE(Employee_dataset[[#This Row],[Department_Region]],"-"))</f>
        <v>Admin</v>
      </c>
      <c r="F101" t="str">
        <f>TRIM(_xlfn.TEXTAFTER(Employee_dataset[[#This Row],[Department_Region]],"-"))</f>
        <v>California</v>
      </c>
      <c r="G101" t="str">
        <f>TRIM(Employee_dataset[[#This Row],[Status]])</f>
        <v>Active</v>
      </c>
      <c r="H101" s="1">
        <f>_xlfn.LET(
     _xlpm.d, Employee_dataset[[#This Row],[Join_Date]],
     IF(
        ISNUMBER(_xlpm.d),_xlpm.d,""
       )
    )</f>
        <v>44570</v>
      </c>
      <c r="I101" s="6" t="str">
        <f>_xlfn.LET(
     _xlpm.s, TRIM(Employee_dataset[[#This Row],[Salary]]),
     IF(
        UPPER(_xlpm.s)="N/A","",
        IF(
           ISNUMBER(--_xlpm.s),ROUND(_xlfn.NUMBERVALUE(_xlpm.s),2),""
          )
       )
    )</f>
        <v/>
      </c>
      <c r="J101" t="str">
        <f>TRIM(Employee_dataset[[#This Row],[Email]])</f>
        <v>eva.jones@example.com</v>
      </c>
      <c r="K101" t="str">
        <f>_xlfn.LET(
     _xlpm.p,TRIM(SUBSTITUTE(Employee_dataset[[#This Row],[Phone]],"-","")),
     IF(
        LEN(_xlpm.p)=10,_xlfn.CONCAT("("&amp;LEFT(_xlpm.p,3)&amp;") "&amp;MID(_xlpm.p,4,3)&amp;"-"&amp;RIGHT(_xlpm.p,4),"")
       )
     )</f>
        <v>(258) 238-6869</v>
      </c>
      <c r="L101" t="str">
        <f>TRIM(Employee_dataset[[#This Row],[Performance_Score]])</f>
        <v>Good</v>
      </c>
      <c r="M101" t="str">
        <f>TRIM(Employee_dataset[[#This Row],[Remote_Work]])</f>
        <v>FALSE</v>
      </c>
    </row>
    <row r="102" spans="1:13" x14ac:dyDescent="0.3">
      <c r="A102" t="str">
        <f>TRIM(Employee_dataset[[#This Row],[Employee_ID]])</f>
        <v>EMP1100</v>
      </c>
      <c r="B102" t="str">
        <f>PROPER(TRIM(Employee_dataset[[#This Row],[First_Name]]))</f>
        <v>Charlie</v>
      </c>
      <c r="C102" t="str">
        <f>PROPER(TRIM(Employee_dataset[[#This Row],[Last_Name]]))</f>
        <v>Davis</v>
      </c>
      <c r="D102" s="6" t="str">
        <f>_xlfn.LET(
     _xlpm.a, TRIM(Employee_dataset[[#This Row],[Age]]),
     IF(
        _xlpm.a="","",
        IF(
           AND(ISNUMBER(--_xlpm.a),LEN(_xlpm.a)=2),_xlpm.a,""
          )
       )
    )</f>
        <v>35</v>
      </c>
      <c r="E102" t="str">
        <f>TRIM(_xlfn.TEXTBEFORE(Employee_dataset[[#This Row],[Department_Region]],"-"))</f>
        <v>Cloud Tech</v>
      </c>
      <c r="F102" t="str">
        <f>TRIM(_xlfn.TEXTAFTER(Employee_dataset[[#This Row],[Department_Region]],"-"))</f>
        <v>Texas</v>
      </c>
      <c r="G102" t="str">
        <f>TRIM(Employee_dataset[[#This Row],[Status]])</f>
        <v>Pending</v>
      </c>
      <c r="H102" s="1">
        <f>_xlfn.LET(
     _xlpm.d, Employee_dataset[[#This Row],[Join_Date]],
     IF(
        ISNUMBER(_xlpm.d),_xlpm.d,""
       )
    )</f>
        <v>44429</v>
      </c>
      <c r="I102" s="6">
        <f>_xlfn.LET(
     _xlpm.s, TRIM(Employee_dataset[[#This Row],[Salary]]),
     IF(
        UPPER(_xlpm.s)="N/A","",
        IF(
           ISNUMBER(--_xlpm.s),ROUND(_xlfn.NUMBERVALUE(_xlpm.s),2),""
          )
       )
    )</f>
        <v>98819.22</v>
      </c>
      <c r="J102" t="str">
        <f>TRIM(Employee_dataset[[#This Row],[Email]])</f>
        <v>charlie.davis@example.com</v>
      </c>
      <c r="K102" t="b">
        <f>_xlfn.LET(
     _xlpm.p,TRIM(SUBSTITUTE(Employee_dataset[[#This Row],[Phone]],"-","")),
     IF(
        LEN(_xlpm.p)=10,_xlfn.CONCAT("("&amp;LEFT(_xlpm.p,3)&amp;") "&amp;MID(_xlpm.p,4,3)&amp;"-"&amp;RIGHT(_xlpm.p,4),"")
       )
     )</f>
        <v>0</v>
      </c>
      <c r="L102" t="str">
        <f>TRIM(Employee_dataset[[#This Row],[Performance_Score]])</f>
        <v>Good</v>
      </c>
      <c r="M102" t="str">
        <f>TRIM(Employee_dataset[[#This Row],[Remote_Work]])</f>
        <v>FALSE</v>
      </c>
    </row>
    <row r="103" spans="1:13" x14ac:dyDescent="0.3">
      <c r="A103" t="str">
        <f>TRIM(Employee_dataset[[#This Row],[Employee_ID]])</f>
        <v>EMP1101</v>
      </c>
      <c r="B103" t="str">
        <f>PROPER(TRIM(Employee_dataset[[#This Row],[First_Name]]))</f>
        <v>Heidi</v>
      </c>
      <c r="C103" t="str">
        <f>PROPER(TRIM(Employee_dataset[[#This Row],[Last_Name]]))</f>
        <v>Johnson</v>
      </c>
      <c r="D103" s="6" t="str">
        <f>_xlfn.LET(
     _xlpm.a, TRIM(Employee_dataset[[#This Row],[Age]]),
     IF(
        _xlpm.a="","",
        IF(
           AND(ISNUMBER(--_xlpm.a),LEN(_xlpm.a)=2),_xlpm.a,""
          )
       )
    )</f>
        <v>25</v>
      </c>
      <c r="E103" t="str">
        <f>TRIM(_xlfn.TEXTBEFORE(Employee_dataset[[#This Row],[Department_Region]],"-"))</f>
        <v>Cloud Tech</v>
      </c>
      <c r="F103" t="str">
        <f>TRIM(_xlfn.TEXTAFTER(Employee_dataset[[#This Row],[Department_Region]],"-"))</f>
        <v>Illinois</v>
      </c>
      <c r="G103" t="str">
        <f>TRIM(Employee_dataset[[#This Row],[Status]])</f>
        <v>Inactive</v>
      </c>
      <c r="H103" s="1">
        <f>_xlfn.LET(
     _xlpm.d, Employee_dataset[[#This Row],[Join_Date]],
     IF(
        ISNUMBER(_xlpm.d),_xlpm.d,""
       )
    )</f>
        <v>44792</v>
      </c>
      <c r="I103" s="6">
        <f>_xlfn.LET(
     _xlpm.s, TRIM(Employee_dataset[[#This Row],[Salary]]),
     IF(
        UPPER(_xlpm.s)="N/A","",
        IF(
           ISNUMBER(--_xlpm.s),ROUND(_xlfn.NUMBERVALUE(_xlpm.s),2),""
          )
       )
    )</f>
        <v>83509.990000000005</v>
      </c>
      <c r="J103" t="str">
        <f>TRIM(Employee_dataset[[#This Row],[Email]])</f>
        <v>heidi.johnson@example.com</v>
      </c>
      <c r="K103" t="str">
        <f>_xlfn.LET(
     _xlpm.p,TRIM(SUBSTITUTE(Employee_dataset[[#This Row],[Phone]],"-","")),
     IF(
        LEN(_xlpm.p)=10,_xlfn.CONCAT("("&amp;LEFT(_xlpm.p,3)&amp;") "&amp;MID(_xlpm.p,4,3)&amp;"-"&amp;RIGHT(_xlpm.p,4),"")
       )
     )</f>
        <v>(465) 398-4027</v>
      </c>
      <c r="L103" t="str">
        <f>TRIM(Employee_dataset[[#This Row],[Performance_Score]])</f>
        <v>Average</v>
      </c>
      <c r="M103" t="str">
        <f>TRIM(Employee_dataset[[#This Row],[Remote_Work]])</f>
        <v>FALSE</v>
      </c>
    </row>
    <row r="104" spans="1:13" x14ac:dyDescent="0.3">
      <c r="A104" t="str">
        <f>TRIM(Employee_dataset[[#This Row],[Employee_ID]])</f>
        <v>EMP1102</v>
      </c>
      <c r="B104" t="str">
        <f>PROPER(TRIM(Employee_dataset[[#This Row],[First_Name]]))</f>
        <v>Alice</v>
      </c>
      <c r="C104" t="str">
        <f>PROPER(TRIM(Employee_dataset[[#This Row],[Last_Name]]))</f>
        <v>Johnson</v>
      </c>
      <c r="D104" s="6" t="str">
        <f>_xlfn.LET(
     _xlpm.a, TRIM(Employee_dataset[[#This Row],[Age]]),
     IF(
        _xlpm.a="","",
        IF(
           AND(ISNUMBER(--_xlpm.a),LEN(_xlpm.a)=2),_xlpm.a,""
          )
       )
    )</f>
        <v>35</v>
      </c>
      <c r="E104" t="str">
        <f>TRIM(_xlfn.TEXTBEFORE(Employee_dataset[[#This Row],[Department_Region]],"-"))</f>
        <v>Finance</v>
      </c>
      <c r="F104" t="str">
        <f>TRIM(_xlfn.TEXTAFTER(Employee_dataset[[#This Row],[Department_Region]],"-"))</f>
        <v>Texas</v>
      </c>
      <c r="G104" t="str">
        <f>TRIM(Employee_dataset[[#This Row],[Status]])</f>
        <v>Active</v>
      </c>
      <c r="H104" s="1">
        <f>_xlfn.LET(
     _xlpm.d, Employee_dataset[[#This Row],[Join_Date]],
     IF(
        ISNUMBER(_xlpm.d),_xlpm.d,""
       )
    )</f>
        <v>44651</v>
      </c>
      <c r="I104" s="6">
        <f>_xlfn.LET(
     _xlpm.s, TRIM(Employee_dataset[[#This Row],[Salary]]),
     IF(
        UPPER(_xlpm.s)="N/A","",
        IF(
           ISNUMBER(--_xlpm.s),ROUND(_xlfn.NUMBERVALUE(_xlpm.s),2),""
          )
       )
    )</f>
        <v>84422.26</v>
      </c>
      <c r="J104" t="str">
        <f>TRIM(Employee_dataset[[#This Row],[Email]])</f>
        <v>alice.johnson@example.com</v>
      </c>
      <c r="K104" t="str">
        <f>_xlfn.LET(
     _xlpm.p,TRIM(SUBSTITUTE(Employee_dataset[[#This Row],[Phone]],"-","")),
     IF(
        LEN(_xlpm.p)=10,_xlfn.CONCAT("("&amp;LEFT(_xlpm.p,3)&amp;") "&amp;MID(_xlpm.p,4,3)&amp;"-"&amp;RIGHT(_xlpm.p,4),"")
       )
     )</f>
        <v>(914) 161-2845</v>
      </c>
      <c r="L104" t="str">
        <f>TRIM(Employee_dataset[[#This Row],[Performance_Score]])</f>
        <v>Average</v>
      </c>
      <c r="M104" t="str">
        <f>TRIM(Employee_dataset[[#This Row],[Remote_Work]])</f>
        <v>FALSE</v>
      </c>
    </row>
    <row r="105" spans="1:13" x14ac:dyDescent="0.3">
      <c r="A105" t="str">
        <f>TRIM(Employee_dataset[[#This Row],[Employee_ID]])</f>
        <v>EMP1103</v>
      </c>
      <c r="B105" t="str">
        <f>PROPER(TRIM(Employee_dataset[[#This Row],[First_Name]]))</f>
        <v>Alice</v>
      </c>
      <c r="C105" t="str">
        <f>PROPER(TRIM(Employee_dataset[[#This Row],[Last_Name]]))</f>
        <v>Brown</v>
      </c>
      <c r="D105" s="6" t="str">
        <f>_xlfn.LET(
     _xlpm.a, TRIM(Employee_dataset[[#This Row],[Age]]),
     IF(
        _xlpm.a="","",
        IF(
           AND(ISNUMBER(--_xlpm.a),LEN(_xlpm.a)=2),_xlpm.a,""
          )
       )
    )</f>
        <v>30</v>
      </c>
      <c r="E105" t="str">
        <f>TRIM(_xlfn.TEXTBEFORE(Employee_dataset[[#This Row],[Department_Region]],"-"))</f>
        <v>Admin</v>
      </c>
      <c r="F105" t="str">
        <f>TRIM(_xlfn.TEXTAFTER(Employee_dataset[[#This Row],[Department_Region]],"-"))</f>
        <v>Illinois</v>
      </c>
      <c r="G105" t="str">
        <f>TRIM(Employee_dataset[[#This Row],[Status]])</f>
        <v>Inactive</v>
      </c>
      <c r="H105" s="1">
        <f>_xlfn.LET(
     _xlpm.d, Employee_dataset[[#This Row],[Join_Date]],
     IF(
        ISNUMBER(_xlpm.d),_xlpm.d,""
       )
    )</f>
        <v>44005</v>
      </c>
      <c r="I105" s="6">
        <f>_xlfn.LET(
     _xlpm.s, TRIM(Employee_dataset[[#This Row],[Salary]]),
     IF(
        UPPER(_xlpm.s)="N/A","",
        IF(
           ISNUMBER(--_xlpm.s),ROUND(_xlfn.NUMBERVALUE(_xlpm.s),2),""
          )
       )
    )</f>
        <v>119574.27</v>
      </c>
      <c r="J105" t="str">
        <f>TRIM(Employee_dataset[[#This Row],[Email]])</f>
        <v>alice.brown@example.com</v>
      </c>
      <c r="K105" t="str">
        <f>_xlfn.LET(
     _xlpm.p,TRIM(SUBSTITUTE(Employee_dataset[[#This Row],[Phone]],"-","")),
     IF(
        LEN(_xlpm.p)=10,_xlfn.CONCAT("("&amp;LEFT(_xlpm.p,3)&amp;") "&amp;MID(_xlpm.p,4,3)&amp;"-"&amp;RIGHT(_xlpm.p,4),"")
       )
     )</f>
        <v>(398) 554-7434</v>
      </c>
      <c r="L105" t="str">
        <f>TRIM(Employee_dataset[[#This Row],[Performance_Score]])</f>
        <v>Average</v>
      </c>
      <c r="M105" t="str">
        <f>TRIM(Employee_dataset[[#This Row],[Remote_Work]])</f>
        <v>TRUE</v>
      </c>
    </row>
    <row r="106" spans="1:13" x14ac:dyDescent="0.3">
      <c r="A106" t="str">
        <f>TRIM(Employee_dataset[[#This Row],[Employee_ID]])</f>
        <v>EMP1104</v>
      </c>
      <c r="B106" t="str">
        <f>PROPER(TRIM(Employee_dataset[[#This Row],[First_Name]]))</f>
        <v>Grace</v>
      </c>
      <c r="C106" t="str">
        <f>PROPER(TRIM(Employee_dataset[[#This Row],[Last_Name]]))</f>
        <v>Johnson</v>
      </c>
      <c r="D106" s="6" t="str">
        <f>_xlfn.LET(
     _xlpm.a, TRIM(Employee_dataset[[#This Row],[Age]]),
     IF(
        _xlpm.a="","",
        IF(
           AND(ISNUMBER(--_xlpm.a),LEN(_xlpm.a)=2),_xlpm.a,""
          )
       )
    )</f>
        <v/>
      </c>
      <c r="E106" t="str">
        <f>TRIM(_xlfn.TEXTBEFORE(Employee_dataset[[#This Row],[Department_Region]],"-"))</f>
        <v>Sales</v>
      </c>
      <c r="F106" t="str">
        <f>TRIM(_xlfn.TEXTAFTER(Employee_dataset[[#This Row],[Department_Region]],"-"))</f>
        <v>Illinois</v>
      </c>
      <c r="G106" t="str">
        <f>TRIM(Employee_dataset[[#This Row],[Status]])</f>
        <v>Active</v>
      </c>
      <c r="H106" s="1">
        <f>_xlfn.LET(
     _xlpm.d, Employee_dataset[[#This Row],[Join_Date]],
     IF(
        ISNUMBER(_xlpm.d),_xlpm.d,""
       )
    )</f>
        <v>45419</v>
      </c>
      <c r="I106" s="6">
        <f>_xlfn.LET(
     _xlpm.s, TRIM(Employee_dataset[[#This Row],[Salary]]),
     IF(
        UPPER(_xlpm.s)="N/A","",
        IF(
           ISNUMBER(--_xlpm.s),ROUND(_xlfn.NUMBERVALUE(_xlpm.s),2),""
          )
       )
    )</f>
        <v>86580.08</v>
      </c>
      <c r="J106" t="str">
        <f>TRIM(Employee_dataset[[#This Row],[Email]])</f>
        <v>grace.johnson@example.com</v>
      </c>
      <c r="K106" t="str">
        <f>_xlfn.LET(
     _xlpm.p,TRIM(SUBSTITUTE(Employee_dataset[[#This Row],[Phone]],"-","")),
     IF(
        LEN(_xlpm.p)=10,_xlfn.CONCAT("("&amp;LEFT(_xlpm.p,3)&amp;") "&amp;MID(_xlpm.p,4,3)&amp;"-"&amp;RIGHT(_xlpm.p,4),"")
       )
     )</f>
        <v>(537) 950-2096</v>
      </c>
      <c r="L106" t="str">
        <f>TRIM(Employee_dataset[[#This Row],[Performance_Score]])</f>
        <v>Good</v>
      </c>
      <c r="M106" t="str">
        <f>TRIM(Employee_dataset[[#This Row],[Remote_Work]])</f>
        <v>TRUE</v>
      </c>
    </row>
    <row r="107" spans="1:13" x14ac:dyDescent="0.3">
      <c r="A107" t="str">
        <f>TRIM(Employee_dataset[[#This Row],[Employee_ID]])</f>
        <v>EMP1105</v>
      </c>
      <c r="B107" t="str">
        <f>PROPER(TRIM(Employee_dataset[[#This Row],[First_Name]]))</f>
        <v>Heidi</v>
      </c>
      <c r="C107" t="str">
        <f>PROPER(TRIM(Employee_dataset[[#This Row],[Last_Name]]))</f>
        <v>Johnson</v>
      </c>
      <c r="D107" s="6" t="str">
        <f>_xlfn.LET(
     _xlpm.a, TRIM(Employee_dataset[[#This Row],[Age]]),
     IF(
        _xlpm.a="","",
        IF(
           AND(ISNUMBER(--_xlpm.a),LEN(_xlpm.a)=2),_xlpm.a,""
          )
       )
    )</f>
        <v>35</v>
      </c>
      <c r="E107" t="str">
        <f>TRIM(_xlfn.TEXTBEFORE(Employee_dataset[[#This Row],[Department_Region]],"-"))</f>
        <v>Sales</v>
      </c>
      <c r="F107" t="str">
        <f>TRIM(_xlfn.TEXTAFTER(Employee_dataset[[#This Row],[Department_Region]],"-"))</f>
        <v>Florida</v>
      </c>
      <c r="G107" t="str">
        <f>TRIM(Employee_dataset[[#This Row],[Status]])</f>
        <v>Inactive</v>
      </c>
      <c r="H107" s="1">
        <f>_xlfn.LET(
     _xlpm.d, Employee_dataset[[#This Row],[Join_Date]],
     IF(
        ISNUMBER(_xlpm.d),_xlpm.d,""
       )
    )</f>
        <v>44995</v>
      </c>
      <c r="I107" s="6">
        <f>_xlfn.LET(
     _xlpm.s, TRIM(Employee_dataset[[#This Row],[Salary]]),
     IF(
        UPPER(_xlpm.s)="N/A","",
        IF(
           ISNUMBER(--_xlpm.s),ROUND(_xlfn.NUMBERVALUE(_xlpm.s),2),""
          )
       )
    )</f>
        <v>93471.91</v>
      </c>
      <c r="J107" t="str">
        <f>TRIM(Employee_dataset[[#This Row],[Email]])</f>
        <v>heidi.johnson@example.com</v>
      </c>
      <c r="K107" t="b">
        <f>_xlfn.LET(
     _xlpm.p,TRIM(SUBSTITUTE(Employee_dataset[[#This Row],[Phone]],"-","")),
     IF(
        LEN(_xlpm.p)=10,_xlfn.CONCAT("("&amp;LEFT(_xlpm.p,3)&amp;") "&amp;MID(_xlpm.p,4,3)&amp;"-"&amp;RIGHT(_xlpm.p,4),"")
       )
     )</f>
        <v>0</v>
      </c>
      <c r="L107" t="str">
        <f>TRIM(Employee_dataset[[#This Row],[Performance_Score]])</f>
        <v>Poor</v>
      </c>
      <c r="M107" t="str">
        <f>TRIM(Employee_dataset[[#This Row],[Remote_Work]])</f>
        <v>FALSE</v>
      </c>
    </row>
    <row r="108" spans="1:13" x14ac:dyDescent="0.3">
      <c r="A108" t="str">
        <f>TRIM(Employee_dataset[[#This Row],[Employee_ID]])</f>
        <v>EMP1106</v>
      </c>
      <c r="B108" t="str">
        <f>PROPER(TRIM(Employee_dataset[[#This Row],[First_Name]]))</f>
        <v>Bob</v>
      </c>
      <c r="C108" t="str">
        <f>PROPER(TRIM(Employee_dataset[[#This Row],[Last_Name]]))</f>
        <v>Miller</v>
      </c>
      <c r="D108" s="6" t="str">
        <f>_xlfn.LET(
     _xlpm.a, TRIM(Employee_dataset[[#This Row],[Age]]),
     IF(
        _xlpm.a="","",
        IF(
           AND(ISNUMBER(--_xlpm.a),LEN(_xlpm.a)=2),_xlpm.a,""
          )
       )
    )</f>
        <v>30</v>
      </c>
      <c r="E108" t="str">
        <f>TRIM(_xlfn.TEXTBEFORE(Employee_dataset[[#This Row],[Department_Region]],"-"))</f>
        <v>DevOps</v>
      </c>
      <c r="F108" t="str">
        <f>TRIM(_xlfn.TEXTAFTER(Employee_dataset[[#This Row],[Department_Region]],"-"))</f>
        <v>New York</v>
      </c>
      <c r="G108" t="str">
        <f>TRIM(Employee_dataset[[#This Row],[Status]])</f>
        <v>Inactive</v>
      </c>
      <c r="H108" s="1">
        <f>_xlfn.LET(
     _xlpm.d, Employee_dataset[[#This Row],[Join_Date]],
     IF(
        ISNUMBER(_xlpm.d),_xlpm.d,""
       )
    )</f>
        <v>45183</v>
      </c>
      <c r="I108" s="6">
        <f>_xlfn.LET(
     _xlpm.s, TRIM(Employee_dataset[[#This Row],[Salary]]),
     IF(
        UPPER(_xlpm.s)="N/A","",
        IF(
           ISNUMBER(--_xlpm.s),ROUND(_xlfn.NUMBERVALUE(_xlpm.s),2),""
          )
       )
    )</f>
        <v>55683.12</v>
      </c>
      <c r="J108" t="str">
        <f>TRIM(Employee_dataset[[#This Row],[Email]])</f>
        <v>bob.miller@example.com</v>
      </c>
      <c r="K108" t="str">
        <f>_xlfn.LET(
     _xlpm.p,TRIM(SUBSTITUTE(Employee_dataset[[#This Row],[Phone]],"-","")),
     IF(
        LEN(_xlpm.p)=10,_xlfn.CONCAT("("&amp;LEFT(_xlpm.p,3)&amp;") "&amp;MID(_xlpm.p,4,3)&amp;"-"&amp;RIGHT(_xlpm.p,4),"")
       )
     )</f>
        <v>(807) 156-9561</v>
      </c>
      <c r="L108" t="str">
        <f>TRIM(Employee_dataset[[#This Row],[Performance_Score]])</f>
        <v>Poor</v>
      </c>
      <c r="M108" t="str">
        <f>TRIM(Employee_dataset[[#This Row],[Remote_Work]])</f>
        <v>TRUE</v>
      </c>
    </row>
    <row r="109" spans="1:13" x14ac:dyDescent="0.3">
      <c r="A109" t="str">
        <f>TRIM(Employee_dataset[[#This Row],[Employee_ID]])</f>
        <v>EMP1107</v>
      </c>
      <c r="B109" t="str">
        <f>PROPER(TRIM(Employee_dataset[[#This Row],[First_Name]]))</f>
        <v>Bob</v>
      </c>
      <c r="C109" t="str">
        <f>PROPER(TRIM(Employee_dataset[[#This Row],[Last_Name]]))</f>
        <v>Brown</v>
      </c>
      <c r="D109" s="6" t="str">
        <f>_xlfn.LET(
     _xlpm.a, TRIM(Employee_dataset[[#This Row],[Age]]),
     IF(
        _xlpm.a="","",
        IF(
           AND(ISNUMBER(--_xlpm.a),LEN(_xlpm.a)=2),_xlpm.a,""
          )
       )
    )</f>
        <v>30</v>
      </c>
      <c r="E109" t="str">
        <f>TRIM(_xlfn.TEXTBEFORE(Employee_dataset[[#This Row],[Department_Region]],"-"))</f>
        <v>Cloud Tech</v>
      </c>
      <c r="F109" t="str">
        <f>TRIM(_xlfn.TEXTAFTER(Employee_dataset[[#This Row],[Department_Region]],"-"))</f>
        <v>Florida</v>
      </c>
      <c r="G109" t="str">
        <f>TRIM(Employee_dataset[[#This Row],[Status]])</f>
        <v>Inactive</v>
      </c>
      <c r="H109" s="1">
        <f>_xlfn.LET(
     _xlpm.d, Employee_dataset[[#This Row],[Join_Date]],
     IF(
        ISNUMBER(_xlpm.d),_xlpm.d,""
       )
    )</f>
        <v>45242</v>
      </c>
      <c r="I109" s="6">
        <f>_xlfn.LET(
     _xlpm.s, TRIM(Employee_dataset[[#This Row],[Salary]]),
     IF(
        UPPER(_xlpm.s)="N/A","",
        IF(
           ISNUMBER(--_xlpm.s),ROUND(_xlfn.NUMBERVALUE(_xlpm.s),2),""
          )
       )
    )</f>
        <v>91566.78</v>
      </c>
      <c r="J109" t="str">
        <f>TRIM(Employee_dataset[[#This Row],[Email]])</f>
        <v>bob.brown@example.com</v>
      </c>
      <c r="K109" t="b">
        <f>_xlfn.LET(
     _xlpm.p,TRIM(SUBSTITUTE(Employee_dataset[[#This Row],[Phone]],"-","")),
     IF(
        LEN(_xlpm.p)=10,_xlfn.CONCAT("("&amp;LEFT(_xlpm.p,3)&amp;") "&amp;MID(_xlpm.p,4,3)&amp;"-"&amp;RIGHT(_xlpm.p,4),"")
       )
     )</f>
        <v>0</v>
      </c>
      <c r="L109" t="str">
        <f>TRIM(Employee_dataset[[#This Row],[Performance_Score]])</f>
        <v>Good</v>
      </c>
      <c r="M109" t="str">
        <f>TRIM(Employee_dataset[[#This Row],[Remote_Work]])</f>
        <v>TRUE</v>
      </c>
    </row>
    <row r="110" spans="1:13" x14ac:dyDescent="0.3">
      <c r="A110" t="str">
        <f>TRIM(Employee_dataset[[#This Row],[Employee_ID]])</f>
        <v>EMP1108</v>
      </c>
      <c r="B110" t="str">
        <f>PROPER(TRIM(Employee_dataset[[#This Row],[First_Name]]))</f>
        <v>David</v>
      </c>
      <c r="C110" t="str">
        <f>PROPER(TRIM(Employee_dataset[[#This Row],[Last_Name]]))</f>
        <v>Miller</v>
      </c>
      <c r="D110" s="6" t="str">
        <f>_xlfn.LET(
     _xlpm.a, TRIM(Employee_dataset[[#This Row],[Age]]),
     IF(
        _xlpm.a="","",
        IF(
           AND(ISNUMBER(--_xlpm.a),LEN(_xlpm.a)=2),_xlpm.a,""
          )
       )
    )</f>
        <v>35</v>
      </c>
      <c r="E110" t="str">
        <f>TRIM(_xlfn.TEXTBEFORE(Employee_dataset[[#This Row],[Department_Region]],"-"))</f>
        <v>DevOps</v>
      </c>
      <c r="F110" t="str">
        <f>TRIM(_xlfn.TEXTAFTER(Employee_dataset[[#This Row],[Department_Region]],"-"))</f>
        <v>California</v>
      </c>
      <c r="G110" t="str">
        <f>TRIM(Employee_dataset[[#This Row],[Status]])</f>
        <v>Pending</v>
      </c>
      <c r="H110" s="1">
        <f>_xlfn.LET(
     _xlpm.d, Employee_dataset[[#This Row],[Join_Date]],
     IF(
        ISNUMBER(_xlpm.d),_xlpm.d,""
       )
    )</f>
        <v>45591</v>
      </c>
      <c r="I110" s="6">
        <f>_xlfn.LET(
     _xlpm.s, TRIM(Employee_dataset[[#This Row],[Salary]]),
     IF(
        UPPER(_xlpm.s)="N/A","",
        IF(
           ISNUMBER(--_xlpm.s),ROUND(_xlfn.NUMBERVALUE(_xlpm.s),2),""
          )
       )
    )</f>
        <v>81782.19</v>
      </c>
      <c r="J110" t="str">
        <f>TRIM(Employee_dataset[[#This Row],[Email]])</f>
        <v>david.miller@example.com</v>
      </c>
      <c r="K110" t="str">
        <f>_xlfn.LET(
     _xlpm.p,TRIM(SUBSTITUTE(Employee_dataset[[#This Row],[Phone]],"-","")),
     IF(
        LEN(_xlpm.p)=10,_xlfn.CONCAT("("&amp;LEFT(_xlpm.p,3)&amp;") "&amp;MID(_xlpm.p,4,3)&amp;"-"&amp;RIGHT(_xlpm.p,4),"")
       )
     )</f>
        <v>(531) 943-3749</v>
      </c>
      <c r="L110" t="str">
        <f>TRIM(Employee_dataset[[#This Row],[Performance_Score]])</f>
        <v>Good</v>
      </c>
      <c r="M110" t="str">
        <f>TRIM(Employee_dataset[[#This Row],[Remote_Work]])</f>
        <v>FALSE</v>
      </c>
    </row>
    <row r="111" spans="1:13" x14ac:dyDescent="0.3">
      <c r="A111" t="str">
        <f>TRIM(Employee_dataset[[#This Row],[Employee_ID]])</f>
        <v>EMP1109</v>
      </c>
      <c r="B111" t="str">
        <f>PROPER(TRIM(Employee_dataset[[#This Row],[First_Name]]))</f>
        <v>Eva</v>
      </c>
      <c r="C111" t="str">
        <f>PROPER(TRIM(Employee_dataset[[#This Row],[Last_Name]]))</f>
        <v>Davis</v>
      </c>
      <c r="D111" s="6" t="str">
        <f>_xlfn.LET(
     _xlpm.a, TRIM(Employee_dataset[[#This Row],[Age]]),
     IF(
        _xlpm.a="","",
        IF(
           AND(ISNUMBER(--_xlpm.a),LEN(_xlpm.a)=2),_xlpm.a,""
          )
       )
    )</f>
        <v/>
      </c>
      <c r="E111" t="str">
        <f>TRIM(_xlfn.TEXTBEFORE(Employee_dataset[[#This Row],[Department_Region]],"-"))</f>
        <v>DevOps</v>
      </c>
      <c r="F111" t="str">
        <f>TRIM(_xlfn.TEXTAFTER(Employee_dataset[[#This Row],[Department_Region]],"-"))</f>
        <v>New York</v>
      </c>
      <c r="G111" t="str">
        <f>TRIM(Employee_dataset[[#This Row],[Status]])</f>
        <v>Inactive</v>
      </c>
      <c r="H111" s="1">
        <f>_xlfn.LET(
     _xlpm.d, Employee_dataset[[#This Row],[Join_Date]],
     IF(
        ISNUMBER(_xlpm.d),_xlpm.d,""
       )
    )</f>
        <v>44066</v>
      </c>
      <c r="I111" s="6">
        <f>_xlfn.LET(
     _xlpm.s, TRIM(Employee_dataset[[#This Row],[Salary]]),
     IF(
        UPPER(_xlpm.s)="N/A","",
        IF(
           ISNUMBER(--_xlpm.s),ROUND(_xlfn.NUMBERVALUE(_xlpm.s),2),""
          )
       )
    )</f>
        <v>88119.37</v>
      </c>
      <c r="J111" t="str">
        <f>TRIM(Employee_dataset[[#This Row],[Email]])</f>
        <v>eva.davis@example.com</v>
      </c>
      <c r="K111" t="str">
        <f>_xlfn.LET(
     _xlpm.p,TRIM(SUBSTITUTE(Employee_dataset[[#This Row],[Phone]],"-","")),
     IF(
        LEN(_xlpm.p)=10,_xlfn.CONCAT("("&amp;LEFT(_xlpm.p,3)&amp;") "&amp;MID(_xlpm.p,4,3)&amp;"-"&amp;RIGHT(_xlpm.p,4),"")
       )
     )</f>
        <v>(479) 303-6148</v>
      </c>
      <c r="L111" t="str">
        <f>TRIM(Employee_dataset[[#This Row],[Performance_Score]])</f>
        <v>Good</v>
      </c>
      <c r="M111" t="str">
        <f>TRIM(Employee_dataset[[#This Row],[Remote_Work]])</f>
        <v>TRUE</v>
      </c>
    </row>
    <row r="112" spans="1:13" x14ac:dyDescent="0.3">
      <c r="A112" t="str">
        <f>TRIM(Employee_dataset[[#This Row],[Employee_ID]])</f>
        <v>EMP1110</v>
      </c>
      <c r="B112" t="str">
        <f>PROPER(TRIM(Employee_dataset[[#This Row],[First_Name]]))</f>
        <v>Eva</v>
      </c>
      <c r="C112" t="str">
        <f>PROPER(TRIM(Employee_dataset[[#This Row],[Last_Name]]))</f>
        <v>Garcia</v>
      </c>
      <c r="D112" s="6" t="str">
        <f>_xlfn.LET(
     _xlpm.a, TRIM(Employee_dataset[[#This Row],[Age]]),
     IF(
        _xlpm.a="","",
        IF(
           AND(ISNUMBER(--_xlpm.a),LEN(_xlpm.a)=2),_xlpm.a,""
          )
       )
    )</f>
        <v>30</v>
      </c>
      <c r="E112" t="str">
        <f>TRIM(_xlfn.TEXTBEFORE(Employee_dataset[[#This Row],[Department_Region]],"-"))</f>
        <v>Cloud Tech</v>
      </c>
      <c r="F112" t="str">
        <f>TRIM(_xlfn.TEXTAFTER(Employee_dataset[[#This Row],[Department_Region]],"-"))</f>
        <v>Texas</v>
      </c>
      <c r="G112" t="str">
        <f>TRIM(Employee_dataset[[#This Row],[Status]])</f>
        <v>Active</v>
      </c>
      <c r="H112" s="1">
        <f>_xlfn.LET(
     _xlpm.d, Employee_dataset[[#This Row],[Join_Date]],
     IF(
        ISNUMBER(_xlpm.d),_xlpm.d,""
       )
    )</f>
        <v>45454</v>
      </c>
      <c r="I112" s="6">
        <f>_xlfn.LET(
     _xlpm.s, TRIM(Employee_dataset[[#This Row],[Salary]]),
     IF(
        UPPER(_xlpm.s)="N/A","",
        IF(
           ISNUMBER(--_xlpm.s),ROUND(_xlfn.NUMBERVALUE(_xlpm.s),2),""
          )
       )
    )</f>
        <v>71532.83</v>
      </c>
      <c r="J112" t="str">
        <f>TRIM(Employee_dataset[[#This Row],[Email]])</f>
        <v>eva.garcia@example.com</v>
      </c>
      <c r="K112" t="str">
        <f>_xlfn.LET(
     _xlpm.p,TRIM(SUBSTITUTE(Employee_dataset[[#This Row],[Phone]],"-","")),
     IF(
        LEN(_xlpm.p)=10,_xlfn.CONCAT("("&amp;LEFT(_xlpm.p,3)&amp;") "&amp;MID(_xlpm.p,4,3)&amp;"-"&amp;RIGHT(_xlpm.p,4),"")
       )
     )</f>
        <v>(872) 839-9920</v>
      </c>
      <c r="L112" t="str">
        <f>TRIM(Employee_dataset[[#This Row],[Performance_Score]])</f>
        <v>Good</v>
      </c>
      <c r="M112" t="str">
        <f>TRIM(Employee_dataset[[#This Row],[Remote_Work]])</f>
        <v>TRUE</v>
      </c>
    </row>
    <row r="113" spans="1:13" x14ac:dyDescent="0.3">
      <c r="A113" t="str">
        <f>TRIM(Employee_dataset[[#This Row],[Employee_ID]])</f>
        <v>EMP1111</v>
      </c>
      <c r="B113" t="str">
        <f>PROPER(TRIM(Employee_dataset[[#This Row],[First_Name]]))</f>
        <v>Eva</v>
      </c>
      <c r="C113" t="str">
        <f>PROPER(TRIM(Employee_dataset[[#This Row],[Last_Name]]))</f>
        <v>Davis</v>
      </c>
      <c r="D113" s="6" t="str">
        <f>_xlfn.LET(
     _xlpm.a, TRIM(Employee_dataset[[#This Row],[Age]]),
     IF(
        _xlpm.a="","",
        IF(
           AND(ISNUMBER(--_xlpm.a),LEN(_xlpm.a)=2),_xlpm.a,""
          )
       )
    )</f>
        <v>40</v>
      </c>
      <c r="E113" t="str">
        <f>TRIM(_xlfn.TEXTBEFORE(Employee_dataset[[#This Row],[Department_Region]],"-"))</f>
        <v>Cloud Tech</v>
      </c>
      <c r="F113" t="str">
        <f>TRIM(_xlfn.TEXTAFTER(Employee_dataset[[#This Row],[Department_Region]],"-"))</f>
        <v>Florida</v>
      </c>
      <c r="G113" t="str">
        <f>TRIM(Employee_dataset[[#This Row],[Status]])</f>
        <v>Pending</v>
      </c>
      <c r="H113" s="1">
        <f>_xlfn.LET(
     _xlpm.d, Employee_dataset[[#This Row],[Join_Date]],
     IF(
        ISNUMBER(_xlpm.d),_xlpm.d,""
       )
    )</f>
        <v>44453</v>
      </c>
      <c r="I113" s="6">
        <f>_xlfn.LET(
     _xlpm.s, TRIM(Employee_dataset[[#This Row],[Salary]]),
     IF(
        UPPER(_xlpm.s)="N/A","",
        IF(
           ISNUMBER(--_xlpm.s),ROUND(_xlfn.NUMBERVALUE(_xlpm.s),2),""
          )
       )
    )</f>
        <v>98981.36</v>
      </c>
      <c r="J113" t="str">
        <f>TRIM(Employee_dataset[[#This Row],[Email]])</f>
        <v>eva.davis@example.com</v>
      </c>
      <c r="K113" t="str">
        <f>_xlfn.LET(
     _xlpm.p,TRIM(SUBSTITUTE(Employee_dataset[[#This Row],[Phone]],"-","")),
     IF(
        LEN(_xlpm.p)=10,_xlfn.CONCAT("("&amp;LEFT(_xlpm.p,3)&amp;") "&amp;MID(_xlpm.p,4,3)&amp;"-"&amp;RIGHT(_xlpm.p,4),"")
       )
     )</f>
        <v>(921) 249-3842</v>
      </c>
      <c r="L113" t="str">
        <f>TRIM(Employee_dataset[[#This Row],[Performance_Score]])</f>
        <v>Good</v>
      </c>
      <c r="M113" t="str">
        <f>TRIM(Employee_dataset[[#This Row],[Remote_Work]])</f>
        <v>TRUE</v>
      </c>
    </row>
    <row r="114" spans="1:13" x14ac:dyDescent="0.3">
      <c r="A114" t="str">
        <f>TRIM(Employee_dataset[[#This Row],[Employee_ID]])</f>
        <v>EMP1112</v>
      </c>
      <c r="B114" t="str">
        <f>PROPER(TRIM(Employee_dataset[[#This Row],[First_Name]]))</f>
        <v>Heidi</v>
      </c>
      <c r="C114" t="str">
        <f>PROPER(TRIM(Employee_dataset[[#This Row],[Last_Name]]))</f>
        <v>Garcia</v>
      </c>
      <c r="D114" s="6" t="str">
        <f>_xlfn.LET(
     _xlpm.a, TRIM(Employee_dataset[[#This Row],[Age]]),
     IF(
        _xlpm.a="","",
        IF(
           AND(ISNUMBER(--_xlpm.a),LEN(_xlpm.a)=2),_xlpm.a,""
          )
       )
    )</f>
        <v>40</v>
      </c>
      <c r="E114" t="str">
        <f>TRIM(_xlfn.TEXTBEFORE(Employee_dataset[[#This Row],[Department_Region]],"-"))</f>
        <v>Cloud Tech</v>
      </c>
      <c r="F114" t="str">
        <f>TRIM(_xlfn.TEXTAFTER(Employee_dataset[[#This Row],[Department_Region]],"-"))</f>
        <v>Illinois</v>
      </c>
      <c r="G114" t="str">
        <f>TRIM(Employee_dataset[[#This Row],[Status]])</f>
        <v>Active</v>
      </c>
      <c r="H114" s="1">
        <f>_xlfn.LET(
     _xlpm.d, Employee_dataset[[#This Row],[Join_Date]],
     IF(
        ISNUMBER(_xlpm.d),_xlpm.d,""
       )
    )</f>
        <v>45652</v>
      </c>
      <c r="I114" s="6">
        <f>_xlfn.LET(
     _xlpm.s, TRIM(Employee_dataset[[#This Row],[Salary]]),
     IF(
        UPPER(_xlpm.s)="N/A","",
        IF(
           ISNUMBER(--_xlpm.s),ROUND(_xlfn.NUMBERVALUE(_xlpm.s),2),""
          )
       )
    )</f>
        <v>80242.009999999995</v>
      </c>
      <c r="J114" t="str">
        <f>TRIM(Employee_dataset[[#This Row],[Email]])</f>
        <v>heidi.garcia@example.com</v>
      </c>
      <c r="K114" t="b">
        <f>_xlfn.LET(
     _xlpm.p,TRIM(SUBSTITUTE(Employee_dataset[[#This Row],[Phone]],"-","")),
     IF(
        LEN(_xlpm.p)=10,_xlfn.CONCAT("("&amp;LEFT(_xlpm.p,3)&amp;") "&amp;MID(_xlpm.p,4,3)&amp;"-"&amp;RIGHT(_xlpm.p,4),"")
       )
     )</f>
        <v>0</v>
      </c>
      <c r="L114" t="str">
        <f>TRIM(Employee_dataset[[#This Row],[Performance_Score]])</f>
        <v>Good</v>
      </c>
      <c r="M114" t="str">
        <f>TRIM(Employee_dataset[[#This Row],[Remote_Work]])</f>
        <v>TRUE</v>
      </c>
    </row>
    <row r="115" spans="1:13" x14ac:dyDescent="0.3">
      <c r="A115" t="str">
        <f>TRIM(Employee_dataset[[#This Row],[Employee_ID]])</f>
        <v>EMP1113</v>
      </c>
      <c r="B115" t="str">
        <f>PROPER(TRIM(Employee_dataset[[#This Row],[First_Name]]))</f>
        <v>Eva</v>
      </c>
      <c r="C115" t="str">
        <f>PROPER(TRIM(Employee_dataset[[#This Row],[Last_Name]]))</f>
        <v>Miller</v>
      </c>
      <c r="D115" s="6" t="str">
        <f>_xlfn.LET(
     _xlpm.a, TRIM(Employee_dataset[[#This Row],[Age]]),
     IF(
        _xlpm.a="","",
        IF(
           AND(ISNUMBER(--_xlpm.a),LEN(_xlpm.a)=2),_xlpm.a,""
          )
       )
    )</f>
        <v>25</v>
      </c>
      <c r="E115" t="str">
        <f>TRIM(_xlfn.TEXTBEFORE(Employee_dataset[[#This Row],[Department_Region]],"-"))</f>
        <v>Cloud Tech</v>
      </c>
      <c r="F115" t="str">
        <f>TRIM(_xlfn.TEXTAFTER(Employee_dataset[[#This Row],[Department_Region]],"-"))</f>
        <v>New York</v>
      </c>
      <c r="G115" t="str">
        <f>TRIM(Employee_dataset[[#This Row],[Status]])</f>
        <v>Pending</v>
      </c>
      <c r="H115" s="1">
        <f>_xlfn.LET(
     _xlpm.d, Employee_dataset[[#This Row],[Join_Date]],
     IF(
        ISNUMBER(_xlpm.d),_xlpm.d,""
       )
    )</f>
        <v>45543</v>
      </c>
      <c r="I115" s="6">
        <f>_xlfn.LET(
     _xlpm.s, TRIM(Employee_dataset[[#This Row],[Salary]]),
     IF(
        UPPER(_xlpm.s)="N/A","",
        IF(
           ISNUMBER(--_xlpm.s),ROUND(_xlfn.NUMBERVALUE(_xlpm.s),2),""
          )
       )
    )</f>
        <v>110236.18</v>
      </c>
      <c r="J115" t="str">
        <f>TRIM(Employee_dataset[[#This Row],[Email]])</f>
        <v>eva.miller@example.com</v>
      </c>
      <c r="K115" t="str">
        <f>_xlfn.LET(
     _xlpm.p,TRIM(SUBSTITUTE(Employee_dataset[[#This Row],[Phone]],"-","")),
     IF(
        LEN(_xlpm.p)=10,_xlfn.CONCAT("("&amp;LEFT(_xlpm.p,3)&amp;") "&amp;MID(_xlpm.p,4,3)&amp;"-"&amp;RIGHT(_xlpm.p,4),"")
       )
     )</f>
        <v>(664) 187-7579</v>
      </c>
      <c r="L115" t="str">
        <f>TRIM(Employee_dataset[[#This Row],[Performance_Score]])</f>
        <v>Average</v>
      </c>
      <c r="M115" t="str">
        <f>TRIM(Employee_dataset[[#This Row],[Remote_Work]])</f>
        <v>TRUE</v>
      </c>
    </row>
    <row r="116" spans="1:13" x14ac:dyDescent="0.3">
      <c r="A116" t="str">
        <f>TRIM(Employee_dataset[[#This Row],[Employee_ID]])</f>
        <v>EMP1114</v>
      </c>
      <c r="B116" t="str">
        <f>PROPER(TRIM(Employee_dataset[[#This Row],[First_Name]]))</f>
        <v>Alice</v>
      </c>
      <c r="C116" t="str">
        <f>PROPER(TRIM(Employee_dataset[[#This Row],[Last_Name]]))</f>
        <v>Davis</v>
      </c>
      <c r="D116" s="6" t="str">
        <f>_xlfn.LET(
     _xlpm.a, TRIM(Employee_dataset[[#This Row],[Age]]),
     IF(
        _xlpm.a="","",
        IF(
           AND(ISNUMBER(--_xlpm.a),LEN(_xlpm.a)=2),_xlpm.a,""
          )
       )
    )</f>
        <v>35</v>
      </c>
      <c r="E116" t="str">
        <f>TRIM(_xlfn.TEXTBEFORE(Employee_dataset[[#This Row],[Department_Region]],"-"))</f>
        <v>Sales</v>
      </c>
      <c r="F116" t="str">
        <f>TRIM(_xlfn.TEXTAFTER(Employee_dataset[[#This Row],[Department_Region]],"-"))</f>
        <v>Texas</v>
      </c>
      <c r="G116" t="str">
        <f>TRIM(Employee_dataset[[#This Row],[Status]])</f>
        <v>Active</v>
      </c>
      <c r="H116" s="1">
        <f>_xlfn.LET(
     _xlpm.d, Employee_dataset[[#This Row],[Join_Date]],
     IF(
        ISNUMBER(_xlpm.d),_xlpm.d,""
       )
    )</f>
        <v>44794</v>
      </c>
      <c r="I116" s="6">
        <f>_xlfn.LET(
     _xlpm.s, TRIM(Employee_dataset[[#This Row],[Salary]]),
     IF(
        UPPER(_xlpm.s)="N/A","",
        IF(
           ISNUMBER(--_xlpm.s),ROUND(_xlfn.NUMBERVALUE(_xlpm.s),2),""
          )
       )
    )</f>
        <v>86327.47</v>
      </c>
      <c r="J116" t="str">
        <f>TRIM(Employee_dataset[[#This Row],[Email]])</f>
        <v>alice.davis@example.com</v>
      </c>
      <c r="K116" t="str">
        <f>_xlfn.LET(
     _xlpm.p,TRIM(SUBSTITUTE(Employee_dataset[[#This Row],[Phone]],"-","")),
     IF(
        LEN(_xlpm.p)=10,_xlfn.CONCAT("("&amp;LEFT(_xlpm.p,3)&amp;") "&amp;MID(_xlpm.p,4,3)&amp;"-"&amp;RIGHT(_xlpm.p,4),"")
       )
     )</f>
        <v>(304) 687-5062</v>
      </c>
      <c r="L116" t="str">
        <f>TRIM(Employee_dataset[[#This Row],[Performance_Score]])</f>
        <v>Average</v>
      </c>
      <c r="M116" t="str">
        <f>TRIM(Employee_dataset[[#This Row],[Remote_Work]])</f>
        <v>FALSE</v>
      </c>
    </row>
    <row r="117" spans="1:13" x14ac:dyDescent="0.3">
      <c r="A117" t="str">
        <f>TRIM(Employee_dataset[[#This Row],[Employee_ID]])</f>
        <v>EMP1115</v>
      </c>
      <c r="B117" t="str">
        <f>PROPER(TRIM(Employee_dataset[[#This Row],[First_Name]]))</f>
        <v>Eva</v>
      </c>
      <c r="C117" t="str">
        <f>PROPER(TRIM(Employee_dataset[[#This Row],[Last_Name]]))</f>
        <v>Brown</v>
      </c>
      <c r="D117" s="6" t="str">
        <f>_xlfn.LET(
     _xlpm.a, TRIM(Employee_dataset[[#This Row],[Age]]),
     IF(
        _xlpm.a="","",
        IF(
           AND(ISNUMBER(--_xlpm.a),LEN(_xlpm.a)=2),_xlpm.a,""
          )
       )
    )</f>
        <v>30</v>
      </c>
      <c r="E117" t="str">
        <f>TRIM(_xlfn.TEXTBEFORE(Employee_dataset[[#This Row],[Department_Region]],"-"))</f>
        <v>Sales</v>
      </c>
      <c r="F117" t="str">
        <f>TRIM(_xlfn.TEXTAFTER(Employee_dataset[[#This Row],[Department_Region]],"-"))</f>
        <v>Florida</v>
      </c>
      <c r="G117" t="str">
        <f>TRIM(Employee_dataset[[#This Row],[Status]])</f>
        <v>Pending</v>
      </c>
      <c r="H117" s="1">
        <f>_xlfn.LET(
     _xlpm.d, Employee_dataset[[#This Row],[Join_Date]],
     IF(
        ISNUMBER(_xlpm.d),_xlpm.d,""
       )
    )</f>
        <v>45498</v>
      </c>
      <c r="I117" s="6">
        <f>_xlfn.LET(
     _xlpm.s, TRIM(Employee_dataset[[#This Row],[Salary]]),
     IF(
        UPPER(_xlpm.s)="N/A","",
        IF(
           ISNUMBER(--_xlpm.s),ROUND(_xlfn.NUMBERVALUE(_xlpm.s),2),""
          )
       )
    )</f>
        <v>84420.81</v>
      </c>
      <c r="J117" t="str">
        <f>TRIM(Employee_dataset[[#This Row],[Email]])</f>
        <v>eva.brown@example.com</v>
      </c>
      <c r="K117" t="str">
        <f>_xlfn.LET(
     _xlpm.p,TRIM(SUBSTITUTE(Employee_dataset[[#This Row],[Phone]],"-","")),
     IF(
        LEN(_xlpm.p)=10,_xlfn.CONCAT("("&amp;LEFT(_xlpm.p,3)&amp;") "&amp;MID(_xlpm.p,4,3)&amp;"-"&amp;RIGHT(_xlpm.p,4),"")
       )
     )</f>
        <v>(519) 036-1331</v>
      </c>
      <c r="L117" t="str">
        <f>TRIM(Employee_dataset[[#This Row],[Performance_Score]])</f>
        <v>Average</v>
      </c>
      <c r="M117" t="str">
        <f>TRIM(Employee_dataset[[#This Row],[Remote_Work]])</f>
        <v>FALSE</v>
      </c>
    </row>
    <row r="118" spans="1:13" x14ac:dyDescent="0.3">
      <c r="A118" t="str">
        <f>TRIM(Employee_dataset[[#This Row],[Employee_ID]])</f>
        <v>EMP1116</v>
      </c>
      <c r="B118" t="str">
        <f>PROPER(TRIM(Employee_dataset[[#This Row],[First_Name]]))</f>
        <v>Frank</v>
      </c>
      <c r="C118" t="str">
        <f>PROPER(TRIM(Employee_dataset[[#This Row],[Last_Name]]))</f>
        <v>Smith</v>
      </c>
      <c r="D118" s="6" t="str">
        <f>_xlfn.LET(
     _xlpm.a, TRIM(Employee_dataset[[#This Row],[Age]]),
     IF(
        _xlpm.a="","",
        IF(
           AND(ISNUMBER(--_xlpm.a),LEN(_xlpm.a)=2),_xlpm.a,""
          )
       )
    )</f>
        <v>40</v>
      </c>
      <c r="E118" t="str">
        <f>TRIM(_xlfn.TEXTBEFORE(Employee_dataset[[#This Row],[Department_Region]],"-"))</f>
        <v>HR</v>
      </c>
      <c r="F118" t="str">
        <f>TRIM(_xlfn.TEXTAFTER(Employee_dataset[[#This Row],[Department_Region]],"-"))</f>
        <v>California</v>
      </c>
      <c r="G118" t="str">
        <f>TRIM(Employee_dataset[[#This Row],[Status]])</f>
        <v>Pending</v>
      </c>
      <c r="H118" s="1">
        <f>_xlfn.LET(
     _xlpm.d, Employee_dataset[[#This Row],[Join_Date]],
     IF(
        ISNUMBER(_xlpm.d),_xlpm.d,""
       )
    )</f>
        <v>44045</v>
      </c>
      <c r="I118" s="6">
        <f>_xlfn.LET(
     _xlpm.s, TRIM(Employee_dataset[[#This Row],[Salary]]),
     IF(
        UPPER(_xlpm.s)="N/A","",
        IF(
           ISNUMBER(--_xlpm.s),ROUND(_xlfn.NUMBERVALUE(_xlpm.s),2),""
          )
       )
    )</f>
        <v>110041.32</v>
      </c>
      <c r="J118" t="str">
        <f>TRIM(Employee_dataset[[#This Row],[Email]])</f>
        <v>frank.smith@example.com</v>
      </c>
      <c r="K118" t="str">
        <f>_xlfn.LET(
     _xlpm.p,TRIM(SUBSTITUTE(Employee_dataset[[#This Row],[Phone]],"-","")),
     IF(
        LEN(_xlpm.p)=10,_xlfn.CONCAT("("&amp;LEFT(_xlpm.p,3)&amp;") "&amp;MID(_xlpm.p,4,3)&amp;"-"&amp;RIGHT(_xlpm.p,4),"")
       )
     )</f>
        <v>(541) 107-6094</v>
      </c>
      <c r="L118" t="str">
        <f>TRIM(Employee_dataset[[#This Row],[Performance_Score]])</f>
        <v>Average</v>
      </c>
      <c r="M118" t="str">
        <f>TRIM(Employee_dataset[[#This Row],[Remote_Work]])</f>
        <v>FALSE</v>
      </c>
    </row>
    <row r="119" spans="1:13" x14ac:dyDescent="0.3">
      <c r="A119" t="str">
        <f>TRIM(Employee_dataset[[#This Row],[Employee_ID]])</f>
        <v>EMP1117</v>
      </c>
      <c r="B119" t="str">
        <f>PROPER(TRIM(Employee_dataset[[#This Row],[First_Name]]))</f>
        <v>Heidi</v>
      </c>
      <c r="C119" t="str">
        <f>PROPER(TRIM(Employee_dataset[[#This Row],[Last_Name]]))</f>
        <v>Miller</v>
      </c>
      <c r="D119" s="6" t="str">
        <f>_xlfn.LET(
     _xlpm.a, TRIM(Employee_dataset[[#This Row],[Age]]),
     IF(
        _xlpm.a="","",
        IF(
           AND(ISNUMBER(--_xlpm.a),LEN(_xlpm.a)=2),_xlpm.a,""
          )
       )
    )</f>
        <v>35</v>
      </c>
      <c r="E119" t="str">
        <f>TRIM(_xlfn.TEXTBEFORE(Employee_dataset[[#This Row],[Department_Region]],"-"))</f>
        <v>DevOps</v>
      </c>
      <c r="F119" t="str">
        <f>TRIM(_xlfn.TEXTAFTER(Employee_dataset[[#This Row],[Department_Region]],"-"))</f>
        <v>Florida</v>
      </c>
      <c r="G119" t="str">
        <f>TRIM(Employee_dataset[[#This Row],[Status]])</f>
        <v>Pending</v>
      </c>
      <c r="H119" s="1">
        <f>_xlfn.LET(
     _xlpm.d, Employee_dataset[[#This Row],[Join_Date]],
     IF(
        ISNUMBER(_xlpm.d),_xlpm.d,""
       )
    )</f>
        <v>43906</v>
      </c>
      <c r="I119" s="6">
        <f>_xlfn.LET(
     _xlpm.s, TRIM(Employee_dataset[[#This Row],[Salary]]),
     IF(
        UPPER(_xlpm.s)="N/A","",
        IF(
           ISNUMBER(--_xlpm.s),ROUND(_xlfn.NUMBERVALUE(_xlpm.s),2),""
          )
       )
    )</f>
        <v>81837.81</v>
      </c>
      <c r="J119" t="str">
        <f>TRIM(Employee_dataset[[#This Row],[Email]])</f>
        <v>heidi.miller@example.com</v>
      </c>
      <c r="K119" t="str">
        <f>_xlfn.LET(
     _xlpm.p,TRIM(SUBSTITUTE(Employee_dataset[[#This Row],[Phone]],"-","")),
     IF(
        LEN(_xlpm.p)=10,_xlfn.CONCAT("("&amp;LEFT(_xlpm.p,3)&amp;") "&amp;MID(_xlpm.p,4,3)&amp;"-"&amp;RIGHT(_xlpm.p,4),"")
       )
     )</f>
        <v>(431) 735-0582</v>
      </c>
      <c r="L119" t="str">
        <f>TRIM(Employee_dataset[[#This Row],[Performance_Score]])</f>
        <v>Good</v>
      </c>
      <c r="M119" t="str">
        <f>TRIM(Employee_dataset[[#This Row],[Remote_Work]])</f>
        <v>TRUE</v>
      </c>
    </row>
    <row r="120" spans="1:13" x14ac:dyDescent="0.3">
      <c r="A120" t="str">
        <f>TRIM(Employee_dataset[[#This Row],[Employee_ID]])</f>
        <v>EMP1118</v>
      </c>
      <c r="B120" t="str">
        <f>PROPER(TRIM(Employee_dataset[[#This Row],[First_Name]]))</f>
        <v>Frank</v>
      </c>
      <c r="C120" t="str">
        <f>PROPER(TRIM(Employee_dataset[[#This Row],[Last_Name]]))</f>
        <v>Garcia</v>
      </c>
      <c r="D120" s="6" t="str">
        <f>_xlfn.LET(
     _xlpm.a, TRIM(Employee_dataset[[#This Row],[Age]]),
     IF(
        _xlpm.a="","",
        IF(
           AND(ISNUMBER(--_xlpm.a),LEN(_xlpm.a)=2),_xlpm.a,""
          )
       )
    )</f>
        <v>25</v>
      </c>
      <c r="E120" t="str">
        <f>TRIM(_xlfn.TEXTBEFORE(Employee_dataset[[#This Row],[Department_Region]],"-"))</f>
        <v>Finance</v>
      </c>
      <c r="F120" t="str">
        <f>TRIM(_xlfn.TEXTAFTER(Employee_dataset[[#This Row],[Department_Region]],"-"))</f>
        <v>Illinois</v>
      </c>
      <c r="G120" t="str">
        <f>TRIM(Employee_dataset[[#This Row],[Status]])</f>
        <v>Active</v>
      </c>
      <c r="H120" s="1">
        <f>_xlfn.LET(
     _xlpm.d, Employee_dataset[[#This Row],[Join_Date]],
     IF(
        ISNUMBER(_xlpm.d),_xlpm.d,""
       )
    )</f>
        <v>45177</v>
      </c>
      <c r="I120" s="6">
        <f>_xlfn.LET(
     _xlpm.s, TRIM(Employee_dataset[[#This Row],[Salary]]),
     IF(
        UPPER(_xlpm.s)="N/A","",
        IF(
           ISNUMBER(--_xlpm.s),ROUND(_xlfn.NUMBERVALUE(_xlpm.s),2),""
          )
       )
    )</f>
        <v>110855.72</v>
      </c>
      <c r="J120" t="str">
        <f>TRIM(Employee_dataset[[#This Row],[Email]])</f>
        <v>frank.garcia@example.com</v>
      </c>
      <c r="K120" t="str">
        <f>_xlfn.LET(
     _xlpm.p,TRIM(SUBSTITUTE(Employee_dataset[[#This Row],[Phone]],"-","")),
     IF(
        LEN(_xlpm.p)=10,_xlfn.CONCAT("("&amp;LEFT(_xlpm.p,3)&amp;") "&amp;MID(_xlpm.p,4,3)&amp;"-"&amp;RIGHT(_xlpm.p,4),"")
       )
     )</f>
        <v>(199) 717-9109</v>
      </c>
      <c r="L120" t="str">
        <f>TRIM(Employee_dataset[[#This Row],[Performance_Score]])</f>
        <v>Poor</v>
      </c>
      <c r="M120" t="str">
        <f>TRIM(Employee_dataset[[#This Row],[Remote_Work]])</f>
        <v>FALSE</v>
      </c>
    </row>
    <row r="121" spans="1:13" x14ac:dyDescent="0.3">
      <c r="A121" t="str">
        <f>TRIM(Employee_dataset[[#This Row],[Employee_ID]])</f>
        <v>EMP1119</v>
      </c>
      <c r="B121" t="str">
        <f>PROPER(TRIM(Employee_dataset[[#This Row],[First_Name]]))</f>
        <v>Alice</v>
      </c>
      <c r="C121" t="str">
        <f>PROPER(TRIM(Employee_dataset[[#This Row],[Last_Name]]))</f>
        <v>Jones</v>
      </c>
      <c r="D121" s="6" t="str">
        <f>_xlfn.LET(
     _xlpm.a, TRIM(Employee_dataset[[#This Row],[Age]]),
     IF(
        _xlpm.a="","",
        IF(
           AND(ISNUMBER(--_xlpm.a),LEN(_xlpm.a)=2),_xlpm.a,""
          )
       )
    )</f>
        <v>30</v>
      </c>
      <c r="E121" t="str">
        <f>TRIM(_xlfn.TEXTBEFORE(Employee_dataset[[#This Row],[Department_Region]],"-"))</f>
        <v>Sales</v>
      </c>
      <c r="F121" t="str">
        <f>TRIM(_xlfn.TEXTAFTER(Employee_dataset[[#This Row],[Department_Region]],"-"))</f>
        <v>California</v>
      </c>
      <c r="G121" t="str">
        <f>TRIM(Employee_dataset[[#This Row],[Status]])</f>
        <v>Pending</v>
      </c>
      <c r="H121" s="1">
        <f>_xlfn.LET(
     _xlpm.d, Employee_dataset[[#This Row],[Join_Date]],
     IF(
        ISNUMBER(_xlpm.d),_xlpm.d,""
       )
    )</f>
        <v>45380</v>
      </c>
      <c r="I121" s="6">
        <f>_xlfn.LET(
     _xlpm.s, TRIM(Employee_dataset[[#This Row],[Salary]]),
     IF(
        UPPER(_xlpm.s)="N/A","",
        IF(
           ISNUMBER(--_xlpm.s),ROUND(_xlfn.NUMBERVALUE(_xlpm.s),2),""
          )
       )
    )</f>
        <v>84894.52</v>
      </c>
      <c r="J121" t="str">
        <f>TRIM(Employee_dataset[[#This Row],[Email]])</f>
        <v>alice.jones@example.com</v>
      </c>
      <c r="K121" t="b">
        <f>_xlfn.LET(
     _xlpm.p,TRIM(SUBSTITUTE(Employee_dataset[[#This Row],[Phone]],"-","")),
     IF(
        LEN(_xlpm.p)=10,_xlfn.CONCAT("("&amp;LEFT(_xlpm.p,3)&amp;") "&amp;MID(_xlpm.p,4,3)&amp;"-"&amp;RIGHT(_xlpm.p,4),"")
       )
     )</f>
        <v>0</v>
      </c>
      <c r="L121" t="str">
        <f>TRIM(Employee_dataset[[#This Row],[Performance_Score]])</f>
        <v>Excellent</v>
      </c>
      <c r="M121" t="str">
        <f>TRIM(Employee_dataset[[#This Row],[Remote_Work]])</f>
        <v>TRUE</v>
      </c>
    </row>
    <row r="122" spans="1:13" x14ac:dyDescent="0.3">
      <c r="A122" t="str">
        <f>TRIM(Employee_dataset[[#This Row],[Employee_ID]])</f>
        <v>EMP1120</v>
      </c>
      <c r="B122" t="str">
        <f>PROPER(TRIM(Employee_dataset[[#This Row],[First_Name]]))</f>
        <v>Alice</v>
      </c>
      <c r="C122" t="str">
        <f>PROPER(TRIM(Employee_dataset[[#This Row],[Last_Name]]))</f>
        <v>Garcia</v>
      </c>
      <c r="D122" s="6" t="str">
        <f>_xlfn.LET(
     _xlpm.a, TRIM(Employee_dataset[[#This Row],[Age]]),
     IF(
        _xlpm.a="","",
        IF(
           AND(ISNUMBER(--_xlpm.a),LEN(_xlpm.a)=2),_xlpm.a,""
          )
       )
    )</f>
        <v>30</v>
      </c>
      <c r="E122" t="str">
        <f>TRIM(_xlfn.TEXTBEFORE(Employee_dataset[[#This Row],[Department_Region]],"-"))</f>
        <v>HR</v>
      </c>
      <c r="F122" t="str">
        <f>TRIM(_xlfn.TEXTAFTER(Employee_dataset[[#This Row],[Department_Region]],"-"))</f>
        <v>Illinois</v>
      </c>
      <c r="G122" t="str">
        <f>TRIM(Employee_dataset[[#This Row],[Status]])</f>
        <v>Active</v>
      </c>
      <c r="H122" s="1">
        <f>_xlfn.LET(
     _xlpm.d, Employee_dataset[[#This Row],[Join_Date]],
     IF(
        ISNUMBER(_xlpm.d),_xlpm.d,""
       )
    )</f>
        <v>44420</v>
      </c>
      <c r="I122" s="6">
        <f>_xlfn.LET(
     _xlpm.s, TRIM(Employee_dataset[[#This Row],[Salary]]),
     IF(
        UPPER(_xlpm.s)="N/A","",
        IF(
           ISNUMBER(--_xlpm.s),ROUND(_xlfn.NUMBERVALUE(_xlpm.s),2),""
          )
       )
    )</f>
        <v>80668.13</v>
      </c>
      <c r="J122" t="str">
        <f>TRIM(Employee_dataset[[#This Row],[Email]])</f>
        <v>alice.garcia@example.com</v>
      </c>
      <c r="K122" t="str">
        <f>_xlfn.LET(
     _xlpm.p,TRIM(SUBSTITUTE(Employee_dataset[[#This Row],[Phone]],"-","")),
     IF(
        LEN(_xlpm.p)=10,_xlfn.CONCAT("("&amp;LEFT(_xlpm.p,3)&amp;") "&amp;MID(_xlpm.p,4,3)&amp;"-"&amp;RIGHT(_xlpm.p,4),"")
       )
     )</f>
        <v>(611) 080-4660</v>
      </c>
      <c r="L122" t="str">
        <f>TRIM(Employee_dataset[[#This Row],[Performance_Score]])</f>
        <v>Good</v>
      </c>
      <c r="M122" t="str">
        <f>TRIM(Employee_dataset[[#This Row],[Remote_Work]])</f>
        <v>TRUE</v>
      </c>
    </row>
    <row r="123" spans="1:13" x14ac:dyDescent="0.3">
      <c r="A123" t="str">
        <f>TRIM(Employee_dataset[[#This Row],[Employee_ID]])</f>
        <v>EMP1121</v>
      </c>
      <c r="B123" t="str">
        <f>PROPER(TRIM(Employee_dataset[[#This Row],[First_Name]]))</f>
        <v>Bob</v>
      </c>
      <c r="C123" t="str">
        <f>PROPER(TRIM(Employee_dataset[[#This Row],[Last_Name]]))</f>
        <v>Jones</v>
      </c>
      <c r="D123" s="6" t="str">
        <f>_xlfn.LET(
     _xlpm.a, TRIM(Employee_dataset[[#This Row],[Age]]),
     IF(
        _xlpm.a="","",
        IF(
           AND(ISNUMBER(--_xlpm.a),LEN(_xlpm.a)=2),_xlpm.a,""
          )
       )
    )</f>
        <v>25</v>
      </c>
      <c r="E123" t="str">
        <f>TRIM(_xlfn.TEXTBEFORE(Employee_dataset[[#This Row],[Department_Region]],"-"))</f>
        <v>DevOps</v>
      </c>
      <c r="F123" t="str">
        <f>TRIM(_xlfn.TEXTAFTER(Employee_dataset[[#This Row],[Department_Region]],"-"))</f>
        <v>Illinois</v>
      </c>
      <c r="G123" t="str">
        <f>TRIM(Employee_dataset[[#This Row],[Status]])</f>
        <v>Active</v>
      </c>
      <c r="H123" s="1">
        <f>_xlfn.LET(
     _xlpm.d, Employee_dataset[[#This Row],[Join_Date]],
     IF(
        ISNUMBER(_xlpm.d),_xlpm.d,""
       )
    )</f>
        <v>45284</v>
      </c>
      <c r="I123" s="6">
        <f>_xlfn.LET(
     _xlpm.s, TRIM(Employee_dataset[[#This Row],[Salary]]),
     IF(
        UPPER(_xlpm.s)="N/A","",
        IF(
           ISNUMBER(--_xlpm.s),ROUND(_xlfn.NUMBERVALUE(_xlpm.s),2),""
          )
       )
    )</f>
        <v>61086.47</v>
      </c>
      <c r="J123" t="str">
        <f>TRIM(Employee_dataset[[#This Row],[Email]])</f>
        <v>bob.jones@example.com</v>
      </c>
      <c r="K123" t="str">
        <f>_xlfn.LET(
     _xlpm.p,TRIM(SUBSTITUTE(Employee_dataset[[#This Row],[Phone]],"-","")),
     IF(
        LEN(_xlpm.p)=10,_xlfn.CONCAT("("&amp;LEFT(_xlpm.p,3)&amp;") "&amp;MID(_xlpm.p,4,3)&amp;"-"&amp;RIGHT(_xlpm.p,4),"")
       )
     )</f>
        <v>(963) 990-7675</v>
      </c>
      <c r="L123" t="str">
        <f>TRIM(Employee_dataset[[#This Row],[Performance_Score]])</f>
        <v>Excellent</v>
      </c>
      <c r="M123" t="str">
        <f>TRIM(Employee_dataset[[#This Row],[Remote_Work]])</f>
        <v>TRUE</v>
      </c>
    </row>
    <row r="124" spans="1:13" x14ac:dyDescent="0.3">
      <c r="A124" t="str">
        <f>TRIM(Employee_dataset[[#This Row],[Employee_ID]])</f>
        <v>EMP1122</v>
      </c>
      <c r="B124" t="str">
        <f>PROPER(TRIM(Employee_dataset[[#This Row],[First_Name]]))</f>
        <v>Grace</v>
      </c>
      <c r="C124" t="str">
        <f>PROPER(TRIM(Employee_dataset[[#This Row],[Last_Name]]))</f>
        <v>Johnson</v>
      </c>
      <c r="D124" s="6" t="str">
        <f>_xlfn.LET(
     _xlpm.a, TRIM(Employee_dataset[[#This Row],[Age]]),
     IF(
        _xlpm.a="","",
        IF(
           AND(ISNUMBER(--_xlpm.a),LEN(_xlpm.a)=2),_xlpm.a,""
          )
       )
    )</f>
        <v>25</v>
      </c>
      <c r="E124" t="str">
        <f>TRIM(_xlfn.TEXTBEFORE(Employee_dataset[[#This Row],[Department_Region]],"-"))</f>
        <v>Admin</v>
      </c>
      <c r="F124" t="str">
        <f>TRIM(_xlfn.TEXTAFTER(Employee_dataset[[#This Row],[Department_Region]],"-"))</f>
        <v>Texas</v>
      </c>
      <c r="G124" t="str">
        <f>TRIM(Employee_dataset[[#This Row],[Status]])</f>
        <v>Inactive</v>
      </c>
      <c r="H124" s="1">
        <f>_xlfn.LET(
     _xlpm.d, Employee_dataset[[#This Row],[Join_Date]],
     IF(
        ISNUMBER(_xlpm.d),_xlpm.d,""
       )
    )</f>
        <v>44071</v>
      </c>
      <c r="I124" s="6">
        <f>_xlfn.LET(
     _xlpm.s, TRIM(Employee_dataset[[#This Row],[Salary]]),
     IF(
        UPPER(_xlpm.s)="N/A","",
        IF(
           ISNUMBER(--_xlpm.s),ROUND(_xlfn.NUMBERVALUE(_xlpm.s),2),""
          )
       )
    )</f>
        <v>95339.68</v>
      </c>
      <c r="J124" t="str">
        <f>TRIM(Employee_dataset[[#This Row],[Email]])</f>
        <v>grace.johnson@example.com</v>
      </c>
      <c r="K124" t="str">
        <f>_xlfn.LET(
     _xlpm.p,TRIM(SUBSTITUTE(Employee_dataset[[#This Row],[Phone]],"-","")),
     IF(
        LEN(_xlpm.p)=10,_xlfn.CONCAT("("&amp;LEFT(_xlpm.p,3)&amp;") "&amp;MID(_xlpm.p,4,3)&amp;"-"&amp;RIGHT(_xlpm.p,4),"")
       )
     )</f>
        <v>(991) 507-8592</v>
      </c>
      <c r="L124" t="str">
        <f>TRIM(Employee_dataset[[#This Row],[Performance_Score]])</f>
        <v>Poor</v>
      </c>
      <c r="M124" t="str">
        <f>TRIM(Employee_dataset[[#This Row],[Remote_Work]])</f>
        <v>TRUE</v>
      </c>
    </row>
    <row r="125" spans="1:13" x14ac:dyDescent="0.3">
      <c r="A125" t="str">
        <f>TRIM(Employee_dataset[[#This Row],[Employee_ID]])</f>
        <v>EMP1123</v>
      </c>
      <c r="B125" t="str">
        <f>PROPER(TRIM(Employee_dataset[[#This Row],[First_Name]]))</f>
        <v>Eva</v>
      </c>
      <c r="C125" t="str">
        <f>PROPER(TRIM(Employee_dataset[[#This Row],[Last_Name]]))</f>
        <v>Davis</v>
      </c>
      <c r="D125" s="6" t="str">
        <f>_xlfn.LET(
     _xlpm.a, TRIM(Employee_dataset[[#This Row],[Age]]),
     IF(
        _xlpm.a="","",
        IF(
           AND(ISNUMBER(--_xlpm.a),LEN(_xlpm.a)=2),_xlpm.a,""
          )
       )
    )</f>
        <v/>
      </c>
      <c r="E125" t="str">
        <f>TRIM(_xlfn.TEXTBEFORE(Employee_dataset[[#This Row],[Department_Region]],"-"))</f>
        <v>DevOps</v>
      </c>
      <c r="F125" t="str">
        <f>TRIM(_xlfn.TEXTAFTER(Employee_dataset[[#This Row],[Department_Region]],"-"))</f>
        <v>California</v>
      </c>
      <c r="G125" t="str">
        <f>TRIM(Employee_dataset[[#This Row],[Status]])</f>
        <v>Inactive</v>
      </c>
      <c r="H125" s="1">
        <f>_xlfn.LET(
     _xlpm.d, Employee_dataset[[#This Row],[Join_Date]],
     IF(
        ISNUMBER(_xlpm.d),_xlpm.d,""
       )
    )</f>
        <v>45540</v>
      </c>
      <c r="I125" s="6">
        <f>_xlfn.LET(
     _xlpm.s, TRIM(Employee_dataset[[#This Row],[Salary]]),
     IF(
        UPPER(_xlpm.s)="N/A","",
        IF(
           ISNUMBER(--_xlpm.s),ROUND(_xlfn.NUMBERVALUE(_xlpm.s),2),""
          )
       )
    )</f>
        <v>83774.97</v>
      </c>
      <c r="J125" t="str">
        <f>TRIM(Employee_dataset[[#This Row],[Email]])</f>
        <v>eva.davis@example.com</v>
      </c>
      <c r="K125" t="str">
        <f>_xlfn.LET(
     _xlpm.p,TRIM(SUBSTITUTE(Employee_dataset[[#This Row],[Phone]],"-","")),
     IF(
        LEN(_xlpm.p)=10,_xlfn.CONCAT("("&amp;LEFT(_xlpm.p,3)&amp;") "&amp;MID(_xlpm.p,4,3)&amp;"-"&amp;RIGHT(_xlpm.p,4),"")
       )
     )</f>
        <v>(110) 919-3927</v>
      </c>
      <c r="L125" t="str">
        <f>TRIM(Employee_dataset[[#This Row],[Performance_Score]])</f>
        <v>Average</v>
      </c>
      <c r="M125" t="str">
        <f>TRIM(Employee_dataset[[#This Row],[Remote_Work]])</f>
        <v>FALSE</v>
      </c>
    </row>
    <row r="126" spans="1:13" x14ac:dyDescent="0.3">
      <c r="A126" t="str">
        <f>TRIM(Employee_dataset[[#This Row],[Employee_ID]])</f>
        <v>EMP1124</v>
      </c>
      <c r="B126" t="str">
        <f>PROPER(TRIM(Employee_dataset[[#This Row],[First_Name]]))</f>
        <v>Heidi</v>
      </c>
      <c r="C126" t="str">
        <f>PROPER(TRIM(Employee_dataset[[#This Row],[Last_Name]]))</f>
        <v>Jones</v>
      </c>
      <c r="D126" s="6" t="str">
        <f>_xlfn.LET(
     _xlpm.a, TRIM(Employee_dataset[[#This Row],[Age]]),
     IF(
        _xlpm.a="","",
        IF(
           AND(ISNUMBER(--_xlpm.a),LEN(_xlpm.a)=2),_xlpm.a,""
          )
       )
    )</f>
        <v/>
      </c>
      <c r="E126" t="str">
        <f>TRIM(_xlfn.TEXTBEFORE(Employee_dataset[[#This Row],[Department_Region]],"-"))</f>
        <v>Admin</v>
      </c>
      <c r="F126" t="str">
        <f>TRIM(_xlfn.TEXTAFTER(Employee_dataset[[#This Row],[Department_Region]],"-"))</f>
        <v>Florida</v>
      </c>
      <c r="G126" t="str">
        <f>TRIM(Employee_dataset[[#This Row],[Status]])</f>
        <v>Active</v>
      </c>
      <c r="H126" s="1">
        <f>_xlfn.LET(
     _xlpm.d, Employee_dataset[[#This Row],[Join_Date]],
     IF(
        ISNUMBER(_xlpm.d),_xlpm.d,""
       )
    )</f>
        <v>45058</v>
      </c>
      <c r="I126" s="6">
        <f>_xlfn.LET(
     _xlpm.s, TRIM(Employee_dataset[[#This Row],[Salary]]),
     IF(
        UPPER(_xlpm.s)="N/A","",
        IF(
           ISNUMBER(--_xlpm.s),ROUND(_xlfn.NUMBERVALUE(_xlpm.s),2),""
          )
       )
    )</f>
        <v>85576.86</v>
      </c>
      <c r="J126" t="str">
        <f>TRIM(Employee_dataset[[#This Row],[Email]])</f>
        <v>heidi.jones@example.com</v>
      </c>
      <c r="K126" t="str">
        <f>_xlfn.LET(
     _xlpm.p,TRIM(SUBSTITUTE(Employee_dataset[[#This Row],[Phone]],"-","")),
     IF(
        LEN(_xlpm.p)=10,_xlfn.CONCAT("("&amp;LEFT(_xlpm.p,3)&amp;") "&amp;MID(_xlpm.p,4,3)&amp;"-"&amp;RIGHT(_xlpm.p,4),"")
       )
     )</f>
        <v>(456) 797-2319</v>
      </c>
      <c r="L126" t="str">
        <f>TRIM(Employee_dataset[[#This Row],[Performance_Score]])</f>
        <v>Poor</v>
      </c>
      <c r="M126" t="str">
        <f>TRIM(Employee_dataset[[#This Row],[Remote_Work]])</f>
        <v>FALSE</v>
      </c>
    </row>
    <row r="127" spans="1:13" x14ac:dyDescent="0.3">
      <c r="A127" t="str">
        <f>TRIM(Employee_dataset[[#This Row],[Employee_ID]])</f>
        <v>EMP1125</v>
      </c>
      <c r="B127" t="str">
        <f>PROPER(TRIM(Employee_dataset[[#This Row],[First_Name]]))</f>
        <v>Bob</v>
      </c>
      <c r="C127" t="str">
        <f>PROPER(TRIM(Employee_dataset[[#This Row],[Last_Name]]))</f>
        <v>Garcia</v>
      </c>
      <c r="D127" s="6" t="str">
        <f>_xlfn.LET(
     _xlpm.a, TRIM(Employee_dataset[[#This Row],[Age]]),
     IF(
        _xlpm.a="","",
        IF(
           AND(ISNUMBER(--_xlpm.a),LEN(_xlpm.a)=2),_xlpm.a,""
          )
       )
    )</f>
        <v>35</v>
      </c>
      <c r="E127" t="str">
        <f>TRIM(_xlfn.TEXTBEFORE(Employee_dataset[[#This Row],[Department_Region]],"-"))</f>
        <v>Finance</v>
      </c>
      <c r="F127" t="str">
        <f>TRIM(_xlfn.TEXTAFTER(Employee_dataset[[#This Row],[Department_Region]],"-"))</f>
        <v>California</v>
      </c>
      <c r="G127" t="str">
        <f>TRIM(Employee_dataset[[#This Row],[Status]])</f>
        <v>Pending</v>
      </c>
      <c r="H127" s="1">
        <f>_xlfn.LET(
     _xlpm.d, Employee_dataset[[#This Row],[Join_Date]],
     IF(
        ISNUMBER(_xlpm.d),_xlpm.d,""
       )
    )</f>
        <v>44378</v>
      </c>
      <c r="I127" s="6">
        <f>_xlfn.LET(
     _xlpm.s, TRIM(Employee_dataset[[#This Row],[Salary]]),
     IF(
        UPPER(_xlpm.s)="N/A","",
        IF(
           ISNUMBER(--_xlpm.s),ROUND(_xlfn.NUMBERVALUE(_xlpm.s),2),""
          )
       )
    )</f>
        <v>107438.46</v>
      </c>
      <c r="J127" t="str">
        <f>TRIM(Employee_dataset[[#This Row],[Email]])</f>
        <v>bob.garcia@example.com</v>
      </c>
      <c r="K127" t="b">
        <f>_xlfn.LET(
     _xlpm.p,TRIM(SUBSTITUTE(Employee_dataset[[#This Row],[Phone]],"-","")),
     IF(
        LEN(_xlpm.p)=10,_xlfn.CONCAT("("&amp;LEFT(_xlpm.p,3)&amp;") "&amp;MID(_xlpm.p,4,3)&amp;"-"&amp;RIGHT(_xlpm.p,4),"")
       )
     )</f>
        <v>0</v>
      </c>
      <c r="L127" t="str">
        <f>TRIM(Employee_dataset[[#This Row],[Performance_Score]])</f>
        <v>Good</v>
      </c>
      <c r="M127" t="str">
        <f>TRIM(Employee_dataset[[#This Row],[Remote_Work]])</f>
        <v>TRUE</v>
      </c>
    </row>
    <row r="128" spans="1:13" x14ac:dyDescent="0.3">
      <c r="A128" t="str">
        <f>TRIM(Employee_dataset[[#This Row],[Employee_ID]])</f>
        <v>EMP1126</v>
      </c>
      <c r="B128" t="str">
        <f>PROPER(TRIM(Employee_dataset[[#This Row],[First_Name]]))</f>
        <v>Eva</v>
      </c>
      <c r="C128" t="str">
        <f>PROPER(TRIM(Employee_dataset[[#This Row],[Last_Name]]))</f>
        <v>Johnson</v>
      </c>
      <c r="D128" s="6" t="str">
        <f>_xlfn.LET(
     _xlpm.a, TRIM(Employee_dataset[[#This Row],[Age]]),
     IF(
        _xlpm.a="","",
        IF(
           AND(ISNUMBER(--_xlpm.a),LEN(_xlpm.a)=2),_xlpm.a,""
          )
       )
    )</f>
        <v/>
      </c>
      <c r="E128" t="str">
        <f>TRIM(_xlfn.TEXTBEFORE(Employee_dataset[[#This Row],[Department_Region]],"-"))</f>
        <v>Sales</v>
      </c>
      <c r="F128" t="str">
        <f>TRIM(_xlfn.TEXTAFTER(Employee_dataset[[#This Row],[Department_Region]],"-"))</f>
        <v>Nevada</v>
      </c>
      <c r="G128" t="str">
        <f>TRIM(Employee_dataset[[#This Row],[Status]])</f>
        <v>Inactive</v>
      </c>
      <c r="H128" s="1">
        <f>_xlfn.LET(
     _xlpm.d, Employee_dataset[[#This Row],[Join_Date]],
     IF(
        ISNUMBER(_xlpm.d),_xlpm.d,""
       )
    )</f>
        <v>45603</v>
      </c>
      <c r="I128" s="6">
        <f>_xlfn.LET(
     _xlpm.s, TRIM(Employee_dataset[[#This Row],[Salary]]),
     IF(
        UPPER(_xlpm.s)="N/A","",
        IF(
           ISNUMBER(--_xlpm.s),ROUND(_xlfn.NUMBERVALUE(_xlpm.s),2),""
          )
       )
    )</f>
        <v>60401.68</v>
      </c>
      <c r="J128" t="str">
        <f>TRIM(Employee_dataset[[#This Row],[Email]])</f>
        <v>eva.johnson@example.com</v>
      </c>
      <c r="K128" t="str">
        <f>_xlfn.LET(
     _xlpm.p,TRIM(SUBSTITUTE(Employee_dataset[[#This Row],[Phone]],"-","")),
     IF(
        LEN(_xlpm.p)=10,_xlfn.CONCAT("("&amp;LEFT(_xlpm.p,3)&amp;") "&amp;MID(_xlpm.p,4,3)&amp;"-"&amp;RIGHT(_xlpm.p,4),"")
       )
     )</f>
        <v>(227) 495-4507</v>
      </c>
      <c r="L128" t="str">
        <f>TRIM(Employee_dataset[[#This Row],[Performance_Score]])</f>
        <v>Average</v>
      </c>
      <c r="M128" t="str">
        <f>TRIM(Employee_dataset[[#This Row],[Remote_Work]])</f>
        <v>FALSE</v>
      </c>
    </row>
    <row r="129" spans="1:13" x14ac:dyDescent="0.3">
      <c r="A129" t="str">
        <f>TRIM(Employee_dataset[[#This Row],[Employee_ID]])</f>
        <v>EMP1127</v>
      </c>
      <c r="B129" t="str">
        <f>PROPER(TRIM(Employee_dataset[[#This Row],[First_Name]]))</f>
        <v>Frank</v>
      </c>
      <c r="C129" t="str">
        <f>PROPER(TRIM(Employee_dataset[[#This Row],[Last_Name]]))</f>
        <v>Smith</v>
      </c>
      <c r="D129" s="6" t="str">
        <f>_xlfn.LET(
     _xlpm.a, TRIM(Employee_dataset[[#This Row],[Age]]),
     IF(
        _xlpm.a="","",
        IF(
           AND(ISNUMBER(--_xlpm.a),LEN(_xlpm.a)=2),_xlpm.a,""
          )
       )
    )</f>
        <v>35</v>
      </c>
      <c r="E129" t="str">
        <f>TRIM(_xlfn.TEXTBEFORE(Employee_dataset[[#This Row],[Department_Region]],"-"))</f>
        <v>Sales</v>
      </c>
      <c r="F129" t="str">
        <f>TRIM(_xlfn.TEXTAFTER(Employee_dataset[[#This Row],[Department_Region]],"-"))</f>
        <v>Illinois</v>
      </c>
      <c r="G129" t="str">
        <f>TRIM(Employee_dataset[[#This Row],[Status]])</f>
        <v>Inactive</v>
      </c>
      <c r="H129" s="1">
        <f>_xlfn.LET(
     _xlpm.d, Employee_dataset[[#This Row],[Join_Date]],
     IF(
        ISNUMBER(_xlpm.d),_xlpm.d,""
       )
    )</f>
        <v>44763</v>
      </c>
      <c r="I129" s="6">
        <f>_xlfn.LET(
     _xlpm.s, TRIM(Employee_dataset[[#This Row],[Salary]]),
     IF(
        UPPER(_xlpm.s)="N/A","",
        IF(
           ISNUMBER(--_xlpm.s),ROUND(_xlfn.NUMBERVALUE(_xlpm.s),2),""
          )
       )
    )</f>
        <v>115299.66</v>
      </c>
      <c r="J129" t="str">
        <f>TRIM(Employee_dataset[[#This Row],[Email]])</f>
        <v>frank.smith@example.com</v>
      </c>
      <c r="K129" t="str">
        <f>_xlfn.LET(
     _xlpm.p,TRIM(SUBSTITUTE(Employee_dataset[[#This Row],[Phone]],"-","")),
     IF(
        LEN(_xlpm.p)=10,_xlfn.CONCAT("("&amp;LEFT(_xlpm.p,3)&amp;") "&amp;MID(_xlpm.p,4,3)&amp;"-"&amp;RIGHT(_xlpm.p,4),"")
       )
     )</f>
        <v>(920) 388-0652</v>
      </c>
      <c r="L129" t="str">
        <f>TRIM(Employee_dataset[[#This Row],[Performance_Score]])</f>
        <v>Good</v>
      </c>
      <c r="M129" t="str">
        <f>TRIM(Employee_dataset[[#This Row],[Remote_Work]])</f>
        <v>TRUE</v>
      </c>
    </row>
    <row r="130" spans="1:13" x14ac:dyDescent="0.3">
      <c r="A130" t="str">
        <f>TRIM(Employee_dataset[[#This Row],[Employee_ID]])</f>
        <v>EMP1128</v>
      </c>
      <c r="B130" t="str">
        <f>PROPER(TRIM(Employee_dataset[[#This Row],[First_Name]]))</f>
        <v>David</v>
      </c>
      <c r="C130" t="str">
        <f>PROPER(TRIM(Employee_dataset[[#This Row],[Last_Name]]))</f>
        <v>Brown</v>
      </c>
      <c r="D130" s="6" t="str">
        <f>_xlfn.LET(
     _xlpm.a, TRIM(Employee_dataset[[#This Row],[Age]]),
     IF(
        _xlpm.a="","",
        IF(
           AND(ISNUMBER(--_xlpm.a),LEN(_xlpm.a)=2),_xlpm.a,""
          )
       )
    )</f>
        <v/>
      </c>
      <c r="E130" t="str">
        <f>TRIM(_xlfn.TEXTBEFORE(Employee_dataset[[#This Row],[Department_Region]],"-"))</f>
        <v>Finance</v>
      </c>
      <c r="F130" t="str">
        <f>TRIM(_xlfn.TEXTAFTER(Employee_dataset[[#This Row],[Department_Region]],"-"))</f>
        <v>New York</v>
      </c>
      <c r="G130" t="str">
        <f>TRIM(Employee_dataset[[#This Row],[Status]])</f>
        <v>Inactive</v>
      </c>
      <c r="H130" s="1">
        <f>_xlfn.LET(
     _xlpm.d, Employee_dataset[[#This Row],[Join_Date]],
     IF(
        ISNUMBER(_xlpm.d),_xlpm.d,""
       )
    )</f>
        <v>43920</v>
      </c>
      <c r="I130" s="6">
        <f>_xlfn.LET(
     _xlpm.s, TRIM(Employee_dataset[[#This Row],[Salary]]),
     IF(
        UPPER(_xlpm.s)="N/A","",
        IF(
           ISNUMBER(--_xlpm.s),ROUND(_xlfn.NUMBERVALUE(_xlpm.s),2),""
          )
       )
    )</f>
        <v>72272.34</v>
      </c>
      <c r="J130" t="str">
        <f>TRIM(Employee_dataset[[#This Row],[Email]])</f>
        <v>david.brown@example.com</v>
      </c>
      <c r="K130" t="str">
        <f>_xlfn.LET(
     _xlpm.p,TRIM(SUBSTITUTE(Employee_dataset[[#This Row],[Phone]],"-","")),
     IF(
        LEN(_xlpm.p)=10,_xlfn.CONCAT("("&amp;LEFT(_xlpm.p,3)&amp;") "&amp;MID(_xlpm.p,4,3)&amp;"-"&amp;RIGHT(_xlpm.p,4),"")
       )
     )</f>
        <v>(331) 537-7958</v>
      </c>
      <c r="L130" t="str">
        <f>TRIM(Employee_dataset[[#This Row],[Performance_Score]])</f>
        <v>Average</v>
      </c>
      <c r="M130" t="str">
        <f>TRIM(Employee_dataset[[#This Row],[Remote_Work]])</f>
        <v>FALSE</v>
      </c>
    </row>
    <row r="131" spans="1:13" x14ac:dyDescent="0.3">
      <c r="A131" t="str">
        <f>TRIM(Employee_dataset[[#This Row],[Employee_ID]])</f>
        <v>EMP1129</v>
      </c>
      <c r="B131" t="str">
        <f>PROPER(TRIM(Employee_dataset[[#This Row],[First_Name]]))</f>
        <v>Grace</v>
      </c>
      <c r="C131" t="str">
        <f>PROPER(TRIM(Employee_dataset[[#This Row],[Last_Name]]))</f>
        <v>Brown</v>
      </c>
      <c r="D131" s="6" t="str">
        <f>_xlfn.LET(
     _xlpm.a, TRIM(Employee_dataset[[#This Row],[Age]]),
     IF(
        _xlpm.a="","",
        IF(
           AND(ISNUMBER(--_xlpm.a),LEN(_xlpm.a)=2),_xlpm.a,""
          )
       )
    )</f>
        <v>40</v>
      </c>
      <c r="E131" t="str">
        <f>TRIM(_xlfn.TEXTBEFORE(Employee_dataset[[#This Row],[Department_Region]],"-"))</f>
        <v>DevOps</v>
      </c>
      <c r="F131" t="str">
        <f>TRIM(_xlfn.TEXTAFTER(Employee_dataset[[#This Row],[Department_Region]],"-"))</f>
        <v>Nevada</v>
      </c>
      <c r="G131" t="str">
        <f>TRIM(Employee_dataset[[#This Row],[Status]])</f>
        <v>Active</v>
      </c>
      <c r="H131" s="1">
        <f>_xlfn.LET(
     _xlpm.d, Employee_dataset[[#This Row],[Join_Date]],
     IF(
        ISNUMBER(_xlpm.d),_xlpm.d,""
       )
    )</f>
        <v>44845</v>
      </c>
      <c r="I131" s="6">
        <f>_xlfn.LET(
     _xlpm.s, TRIM(Employee_dataset[[#This Row],[Salary]]),
     IF(
        UPPER(_xlpm.s)="N/A","",
        IF(
           ISNUMBER(--_xlpm.s),ROUND(_xlfn.NUMBERVALUE(_xlpm.s),2),""
          )
       )
    )</f>
        <v>117537.71</v>
      </c>
      <c r="J131" t="str">
        <f>TRIM(Employee_dataset[[#This Row],[Email]])</f>
        <v>grace.brown@example.com</v>
      </c>
      <c r="K131" t="str">
        <f>_xlfn.LET(
     _xlpm.p,TRIM(SUBSTITUTE(Employee_dataset[[#This Row],[Phone]],"-","")),
     IF(
        LEN(_xlpm.p)=10,_xlfn.CONCAT("("&amp;LEFT(_xlpm.p,3)&amp;") "&amp;MID(_xlpm.p,4,3)&amp;"-"&amp;RIGHT(_xlpm.p,4),"")
       )
     )</f>
        <v>(959) 465-2169</v>
      </c>
      <c r="L131" t="str">
        <f>TRIM(Employee_dataset[[#This Row],[Performance_Score]])</f>
        <v>Excellent</v>
      </c>
      <c r="M131" t="str">
        <f>TRIM(Employee_dataset[[#This Row],[Remote_Work]])</f>
        <v>FALSE</v>
      </c>
    </row>
    <row r="132" spans="1:13" x14ac:dyDescent="0.3">
      <c r="A132" t="str">
        <f>TRIM(Employee_dataset[[#This Row],[Employee_ID]])</f>
        <v>EMP1130</v>
      </c>
      <c r="B132" t="str">
        <f>PROPER(TRIM(Employee_dataset[[#This Row],[First_Name]]))</f>
        <v>Frank</v>
      </c>
      <c r="C132" t="str">
        <f>PROPER(TRIM(Employee_dataset[[#This Row],[Last_Name]]))</f>
        <v>Brown</v>
      </c>
      <c r="D132" s="6" t="str">
        <f>_xlfn.LET(
     _xlpm.a, TRIM(Employee_dataset[[#This Row],[Age]]),
     IF(
        _xlpm.a="","",
        IF(
           AND(ISNUMBER(--_xlpm.a),LEN(_xlpm.a)=2),_xlpm.a,""
          )
       )
    )</f>
        <v>25</v>
      </c>
      <c r="E132" t="str">
        <f>TRIM(_xlfn.TEXTBEFORE(Employee_dataset[[#This Row],[Department_Region]],"-"))</f>
        <v>Finance</v>
      </c>
      <c r="F132" t="str">
        <f>TRIM(_xlfn.TEXTAFTER(Employee_dataset[[#This Row],[Department_Region]],"-"))</f>
        <v>Texas</v>
      </c>
      <c r="G132" t="str">
        <f>TRIM(Employee_dataset[[#This Row],[Status]])</f>
        <v>Pending</v>
      </c>
      <c r="H132" s="1">
        <f>_xlfn.LET(
     _xlpm.d, Employee_dataset[[#This Row],[Join_Date]],
     IF(
        ISNUMBER(_xlpm.d),_xlpm.d,""
       )
    )</f>
        <v>44766</v>
      </c>
      <c r="I132" s="6">
        <f>_xlfn.LET(
     _xlpm.s, TRIM(Employee_dataset[[#This Row],[Salary]]),
     IF(
        UPPER(_xlpm.s)="N/A","",
        IF(
           ISNUMBER(--_xlpm.s),ROUND(_xlfn.NUMBERVALUE(_xlpm.s),2),""
          )
       )
    )</f>
        <v>51074.33</v>
      </c>
      <c r="J132" t="str">
        <f>TRIM(Employee_dataset[[#This Row],[Email]])</f>
        <v>frank.brown@example.com</v>
      </c>
      <c r="K132" t="str">
        <f>_xlfn.LET(
     _xlpm.p,TRIM(SUBSTITUTE(Employee_dataset[[#This Row],[Phone]],"-","")),
     IF(
        LEN(_xlpm.p)=10,_xlfn.CONCAT("("&amp;LEFT(_xlpm.p,3)&amp;") "&amp;MID(_xlpm.p,4,3)&amp;"-"&amp;RIGHT(_xlpm.p,4),"")
       )
     )</f>
        <v>(730) 337-9336</v>
      </c>
      <c r="L132" t="str">
        <f>TRIM(Employee_dataset[[#This Row],[Performance_Score]])</f>
        <v>Excellent</v>
      </c>
      <c r="M132" t="str">
        <f>TRIM(Employee_dataset[[#This Row],[Remote_Work]])</f>
        <v>TRUE</v>
      </c>
    </row>
    <row r="133" spans="1:13" x14ac:dyDescent="0.3">
      <c r="A133" t="str">
        <f>TRIM(Employee_dataset[[#This Row],[Employee_ID]])</f>
        <v>EMP1131</v>
      </c>
      <c r="B133" t="str">
        <f>PROPER(TRIM(Employee_dataset[[#This Row],[First_Name]]))</f>
        <v>Charlie</v>
      </c>
      <c r="C133" t="str">
        <f>PROPER(TRIM(Employee_dataset[[#This Row],[Last_Name]]))</f>
        <v>Jones</v>
      </c>
      <c r="D133" s="6" t="str">
        <f>_xlfn.LET(
     _xlpm.a, TRIM(Employee_dataset[[#This Row],[Age]]),
     IF(
        _xlpm.a="","",
        IF(
           AND(ISNUMBER(--_xlpm.a),LEN(_xlpm.a)=2),_xlpm.a,""
          )
       )
    )</f>
        <v>25</v>
      </c>
      <c r="E133" t="str">
        <f>TRIM(_xlfn.TEXTBEFORE(Employee_dataset[[#This Row],[Department_Region]],"-"))</f>
        <v>Finance</v>
      </c>
      <c r="F133" t="str">
        <f>TRIM(_xlfn.TEXTAFTER(Employee_dataset[[#This Row],[Department_Region]],"-"))</f>
        <v>California</v>
      </c>
      <c r="G133" t="str">
        <f>TRIM(Employee_dataset[[#This Row],[Status]])</f>
        <v>Inactive</v>
      </c>
      <c r="H133" s="1">
        <f>_xlfn.LET(
     _xlpm.d, Employee_dataset[[#This Row],[Join_Date]],
     IF(
        ISNUMBER(_xlpm.d),_xlpm.d,""
       )
    )</f>
        <v>45107</v>
      </c>
      <c r="I133" s="6">
        <f>_xlfn.LET(
     _xlpm.s, TRIM(Employee_dataset[[#This Row],[Salary]]),
     IF(
        UPPER(_xlpm.s)="N/A","",
        IF(
           ISNUMBER(--_xlpm.s),ROUND(_xlfn.NUMBERVALUE(_xlpm.s),2),""
          )
       )
    )</f>
        <v>98489.32</v>
      </c>
      <c r="J133" t="str">
        <f>TRIM(Employee_dataset[[#This Row],[Email]])</f>
        <v>charlie.jones@example.com</v>
      </c>
      <c r="K133" t="str">
        <f>_xlfn.LET(
     _xlpm.p,TRIM(SUBSTITUTE(Employee_dataset[[#This Row],[Phone]],"-","")),
     IF(
        LEN(_xlpm.p)=10,_xlfn.CONCAT("("&amp;LEFT(_xlpm.p,3)&amp;") "&amp;MID(_xlpm.p,4,3)&amp;"-"&amp;RIGHT(_xlpm.p,4),"")
       )
     )</f>
        <v>(563) 620-5014</v>
      </c>
      <c r="L133" t="str">
        <f>TRIM(Employee_dataset[[#This Row],[Performance_Score]])</f>
        <v>Excellent</v>
      </c>
      <c r="M133" t="str">
        <f>TRIM(Employee_dataset[[#This Row],[Remote_Work]])</f>
        <v>FALSE</v>
      </c>
    </row>
    <row r="134" spans="1:13" x14ac:dyDescent="0.3">
      <c r="A134" t="str">
        <f>TRIM(Employee_dataset[[#This Row],[Employee_ID]])</f>
        <v>EMP1132</v>
      </c>
      <c r="B134" t="str">
        <f>PROPER(TRIM(Employee_dataset[[#This Row],[First_Name]]))</f>
        <v>Frank</v>
      </c>
      <c r="C134" t="str">
        <f>PROPER(TRIM(Employee_dataset[[#This Row],[Last_Name]]))</f>
        <v>Smith</v>
      </c>
      <c r="D134" s="6" t="str">
        <f>_xlfn.LET(
     _xlpm.a, TRIM(Employee_dataset[[#This Row],[Age]]),
     IF(
        _xlpm.a="","",
        IF(
           AND(ISNUMBER(--_xlpm.a),LEN(_xlpm.a)=2),_xlpm.a,""
          )
       )
    )</f>
        <v/>
      </c>
      <c r="E134" t="str">
        <f>TRIM(_xlfn.TEXTBEFORE(Employee_dataset[[#This Row],[Department_Region]],"-"))</f>
        <v>Finance</v>
      </c>
      <c r="F134" t="str">
        <f>TRIM(_xlfn.TEXTAFTER(Employee_dataset[[#This Row],[Department_Region]],"-"))</f>
        <v>California</v>
      </c>
      <c r="G134" t="str">
        <f>TRIM(Employee_dataset[[#This Row],[Status]])</f>
        <v>Pending</v>
      </c>
      <c r="H134" s="1">
        <f>_xlfn.LET(
     _xlpm.d, Employee_dataset[[#This Row],[Join_Date]],
     IF(
        ISNUMBER(_xlpm.d),_xlpm.d,""
       )
    )</f>
        <v>45302</v>
      </c>
      <c r="I134" s="6">
        <f>_xlfn.LET(
     _xlpm.s, TRIM(Employee_dataset[[#This Row],[Salary]]),
     IF(
        UPPER(_xlpm.s)="N/A","",
        IF(
           ISNUMBER(--_xlpm.s),ROUND(_xlfn.NUMBERVALUE(_xlpm.s),2),""
          )
       )
    )</f>
        <v>112120.71</v>
      </c>
      <c r="J134" t="str">
        <f>TRIM(Employee_dataset[[#This Row],[Email]])</f>
        <v>frank.smith@example.com</v>
      </c>
      <c r="K134" t="b">
        <f>_xlfn.LET(
     _xlpm.p,TRIM(SUBSTITUTE(Employee_dataset[[#This Row],[Phone]],"-","")),
     IF(
        LEN(_xlpm.p)=10,_xlfn.CONCAT("("&amp;LEFT(_xlpm.p,3)&amp;") "&amp;MID(_xlpm.p,4,3)&amp;"-"&amp;RIGHT(_xlpm.p,4),"")
       )
     )</f>
        <v>0</v>
      </c>
      <c r="L134" t="str">
        <f>TRIM(Employee_dataset[[#This Row],[Performance_Score]])</f>
        <v>Poor</v>
      </c>
      <c r="M134" t="str">
        <f>TRIM(Employee_dataset[[#This Row],[Remote_Work]])</f>
        <v>TRUE</v>
      </c>
    </row>
    <row r="135" spans="1:13" x14ac:dyDescent="0.3">
      <c r="A135" t="str">
        <f>TRIM(Employee_dataset[[#This Row],[Employee_ID]])</f>
        <v>EMP1133</v>
      </c>
      <c r="B135" t="str">
        <f>PROPER(TRIM(Employee_dataset[[#This Row],[First_Name]]))</f>
        <v>Alice</v>
      </c>
      <c r="C135" t="str">
        <f>PROPER(TRIM(Employee_dataset[[#This Row],[Last_Name]]))</f>
        <v>Jones</v>
      </c>
      <c r="D135" s="6" t="str">
        <f>_xlfn.LET(
     _xlpm.a, TRIM(Employee_dataset[[#This Row],[Age]]),
     IF(
        _xlpm.a="","",
        IF(
           AND(ISNUMBER(--_xlpm.a),LEN(_xlpm.a)=2),_xlpm.a,""
          )
       )
    )</f>
        <v/>
      </c>
      <c r="E135" t="str">
        <f>TRIM(_xlfn.TEXTBEFORE(Employee_dataset[[#This Row],[Department_Region]],"-"))</f>
        <v>Cloud Tech</v>
      </c>
      <c r="F135" t="str">
        <f>TRIM(_xlfn.TEXTAFTER(Employee_dataset[[#This Row],[Department_Region]],"-"))</f>
        <v>New York</v>
      </c>
      <c r="G135" t="str">
        <f>TRIM(Employee_dataset[[#This Row],[Status]])</f>
        <v>Pending</v>
      </c>
      <c r="H135" s="1">
        <f>_xlfn.LET(
     _xlpm.d, Employee_dataset[[#This Row],[Join_Date]],
     IF(
        ISNUMBER(_xlpm.d),_xlpm.d,""
       )
    )</f>
        <v>45232</v>
      </c>
      <c r="I135" s="6">
        <f>_xlfn.LET(
     _xlpm.s, TRIM(Employee_dataset[[#This Row],[Salary]]),
     IF(
        UPPER(_xlpm.s)="N/A","",
        IF(
           ISNUMBER(--_xlpm.s),ROUND(_xlfn.NUMBERVALUE(_xlpm.s),2),""
          )
       )
    )</f>
        <v>114465.04</v>
      </c>
      <c r="J135" t="str">
        <f>TRIM(Employee_dataset[[#This Row],[Email]])</f>
        <v>alice.jones@example.com</v>
      </c>
      <c r="K135" t="b">
        <f>_xlfn.LET(
     _xlpm.p,TRIM(SUBSTITUTE(Employee_dataset[[#This Row],[Phone]],"-","")),
     IF(
        LEN(_xlpm.p)=10,_xlfn.CONCAT("("&amp;LEFT(_xlpm.p,3)&amp;") "&amp;MID(_xlpm.p,4,3)&amp;"-"&amp;RIGHT(_xlpm.p,4),"")
       )
     )</f>
        <v>0</v>
      </c>
      <c r="L135" t="str">
        <f>TRIM(Employee_dataset[[#This Row],[Performance_Score]])</f>
        <v>Good</v>
      </c>
      <c r="M135" t="str">
        <f>TRIM(Employee_dataset[[#This Row],[Remote_Work]])</f>
        <v>FALSE</v>
      </c>
    </row>
    <row r="136" spans="1:13" x14ac:dyDescent="0.3">
      <c r="A136" t="str">
        <f>TRIM(Employee_dataset[[#This Row],[Employee_ID]])</f>
        <v>EMP1134</v>
      </c>
      <c r="B136" t="str">
        <f>PROPER(TRIM(Employee_dataset[[#This Row],[First_Name]]))</f>
        <v>Bob</v>
      </c>
      <c r="C136" t="str">
        <f>PROPER(TRIM(Employee_dataset[[#This Row],[Last_Name]]))</f>
        <v>Davis</v>
      </c>
      <c r="D136" s="6" t="str">
        <f>_xlfn.LET(
     _xlpm.a, TRIM(Employee_dataset[[#This Row],[Age]]),
     IF(
        _xlpm.a="","",
        IF(
           AND(ISNUMBER(--_xlpm.a),LEN(_xlpm.a)=2),_xlpm.a,""
          )
       )
    )</f>
        <v>40</v>
      </c>
      <c r="E136" t="str">
        <f>TRIM(_xlfn.TEXTBEFORE(Employee_dataset[[#This Row],[Department_Region]],"-"))</f>
        <v>Cloud Tech</v>
      </c>
      <c r="F136" t="str">
        <f>TRIM(_xlfn.TEXTAFTER(Employee_dataset[[#This Row],[Department_Region]],"-"))</f>
        <v>Nevada</v>
      </c>
      <c r="G136" t="str">
        <f>TRIM(Employee_dataset[[#This Row],[Status]])</f>
        <v>Pending</v>
      </c>
      <c r="H136" s="1">
        <f>_xlfn.LET(
     _xlpm.d, Employee_dataset[[#This Row],[Join_Date]],
     IF(
        ISNUMBER(_xlpm.d),_xlpm.d,""
       )
    )</f>
        <v>45618</v>
      </c>
      <c r="I136" s="6">
        <f>_xlfn.LET(
     _xlpm.s, TRIM(Employee_dataset[[#This Row],[Salary]]),
     IF(
        UPPER(_xlpm.s)="N/A","",
        IF(
           ISNUMBER(--_xlpm.s),ROUND(_xlfn.NUMBERVALUE(_xlpm.s),2),""
          )
       )
    )</f>
        <v>57035.51</v>
      </c>
      <c r="J136" t="str">
        <f>TRIM(Employee_dataset[[#This Row],[Email]])</f>
        <v>bob.davis@example.com</v>
      </c>
      <c r="K136" t="str">
        <f>_xlfn.LET(
     _xlpm.p,TRIM(SUBSTITUTE(Employee_dataset[[#This Row],[Phone]],"-","")),
     IF(
        LEN(_xlpm.p)=10,_xlfn.CONCAT("("&amp;LEFT(_xlpm.p,3)&amp;") "&amp;MID(_xlpm.p,4,3)&amp;"-"&amp;RIGHT(_xlpm.p,4),"")
       )
     )</f>
        <v>(323) 024-1025</v>
      </c>
      <c r="L136" t="str">
        <f>TRIM(Employee_dataset[[#This Row],[Performance_Score]])</f>
        <v>Poor</v>
      </c>
      <c r="M136" t="str">
        <f>TRIM(Employee_dataset[[#This Row],[Remote_Work]])</f>
        <v>TRUE</v>
      </c>
    </row>
    <row r="137" spans="1:13" x14ac:dyDescent="0.3">
      <c r="A137" t="str">
        <f>TRIM(Employee_dataset[[#This Row],[Employee_ID]])</f>
        <v>EMP1135</v>
      </c>
      <c r="B137" t="str">
        <f>PROPER(TRIM(Employee_dataset[[#This Row],[First_Name]]))</f>
        <v>Eva</v>
      </c>
      <c r="C137" t="str">
        <f>PROPER(TRIM(Employee_dataset[[#This Row],[Last_Name]]))</f>
        <v>Jones</v>
      </c>
      <c r="D137" s="6" t="str">
        <f>_xlfn.LET(
     _xlpm.a, TRIM(Employee_dataset[[#This Row],[Age]]),
     IF(
        _xlpm.a="","",
        IF(
           AND(ISNUMBER(--_xlpm.a),LEN(_xlpm.a)=2),_xlpm.a,""
          )
       )
    )</f>
        <v>25</v>
      </c>
      <c r="E137" t="str">
        <f>TRIM(_xlfn.TEXTBEFORE(Employee_dataset[[#This Row],[Department_Region]],"-"))</f>
        <v>Cloud Tech</v>
      </c>
      <c r="F137" t="str">
        <f>TRIM(_xlfn.TEXTAFTER(Employee_dataset[[#This Row],[Department_Region]],"-"))</f>
        <v>California</v>
      </c>
      <c r="G137" t="str">
        <f>TRIM(Employee_dataset[[#This Row],[Status]])</f>
        <v>Active</v>
      </c>
      <c r="H137" s="1">
        <f>_xlfn.LET(
     _xlpm.d, Employee_dataset[[#This Row],[Join_Date]],
     IF(
        ISNUMBER(_xlpm.d),_xlpm.d,""
       )
    )</f>
        <v>44431</v>
      </c>
      <c r="I137" s="6">
        <f>_xlfn.LET(
     _xlpm.s, TRIM(Employee_dataset[[#This Row],[Salary]]),
     IF(
        UPPER(_xlpm.s)="N/A","",
        IF(
           ISNUMBER(--_xlpm.s),ROUND(_xlfn.NUMBERVALUE(_xlpm.s),2),""
          )
       )
    )</f>
        <v>75092.429999999993</v>
      </c>
      <c r="J137" t="str">
        <f>TRIM(Employee_dataset[[#This Row],[Email]])</f>
        <v>eva.jones@example.com</v>
      </c>
      <c r="K137" t="str">
        <f>_xlfn.LET(
     _xlpm.p,TRIM(SUBSTITUTE(Employee_dataset[[#This Row],[Phone]],"-","")),
     IF(
        LEN(_xlpm.p)=10,_xlfn.CONCAT("("&amp;LEFT(_xlpm.p,3)&amp;") "&amp;MID(_xlpm.p,4,3)&amp;"-"&amp;RIGHT(_xlpm.p,4),"")
       )
     )</f>
        <v>(153) 473-5527</v>
      </c>
      <c r="L137" t="str">
        <f>TRIM(Employee_dataset[[#This Row],[Performance_Score]])</f>
        <v>Excellent</v>
      </c>
      <c r="M137" t="str">
        <f>TRIM(Employee_dataset[[#This Row],[Remote_Work]])</f>
        <v>TRUE</v>
      </c>
    </row>
    <row r="138" spans="1:13" x14ac:dyDescent="0.3">
      <c r="A138" t="str">
        <f>TRIM(Employee_dataset[[#This Row],[Employee_ID]])</f>
        <v>EMP1136</v>
      </c>
      <c r="B138" t="str">
        <f>PROPER(TRIM(Employee_dataset[[#This Row],[First_Name]]))</f>
        <v>David</v>
      </c>
      <c r="C138" t="str">
        <f>PROPER(TRIM(Employee_dataset[[#This Row],[Last_Name]]))</f>
        <v>Smith</v>
      </c>
      <c r="D138" s="6" t="str">
        <f>_xlfn.LET(
     _xlpm.a, TRIM(Employee_dataset[[#This Row],[Age]]),
     IF(
        _xlpm.a="","",
        IF(
           AND(ISNUMBER(--_xlpm.a),LEN(_xlpm.a)=2),_xlpm.a,""
          )
       )
    )</f>
        <v/>
      </c>
      <c r="E138" t="str">
        <f>TRIM(_xlfn.TEXTBEFORE(Employee_dataset[[#This Row],[Department_Region]],"-"))</f>
        <v>Finance</v>
      </c>
      <c r="F138" t="str">
        <f>TRIM(_xlfn.TEXTAFTER(Employee_dataset[[#This Row],[Department_Region]],"-"))</f>
        <v>Illinois</v>
      </c>
      <c r="G138" t="str">
        <f>TRIM(Employee_dataset[[#This Row],[Status]])</f>
        <v>Pending</v>
      </c>
      <c r="H138" s="1">
        <f>_xlfn.LET(
     _xlpm.d, Employee_dataset[[#This Row],[Join_Date]],
     IF(
        ISNUMBER(_xlpm.d),_xlpm.d,""
       )
    )</f>
        <v>45454</v>
      </c>
      <c r="I138" s="6">
        <f>_xlfn.LET(
     _xlpm.s, TRIM(Employee_dataset[[#This Row],[Salary]]),
     IF(
        UPPER(_xlpm.s)="N/A","",
        IF(
           ISNUMBER(--_xlpm.s),ROUND(_xlfn.NUMBERVALUE(_xlpm.s),2),""
          )
       )
    )</f>
        <v>62603.98</v>
      </c>
      <c r="J138" t="str">
        <f>TRIM(Employee_dataset[[#This Row],[Email]])</f>
        <v>david.smith@example.com</v>
      </c>
      <c r="K138" t="str">
        <f>_xlfn.LET(
     _xlpm.p,TRIM(SUBSTITUTE(Employee_dataset[[#This Row],[Phone]],"-","")),
     IF(
        LEN(_xlpm.p)=10,_xlfn.CONCAT("("&amp;LEFT(_xlpm.p,3)&amp;") "&amp;MID(_xlpm.p,4,3)&amp;"-"&amp;RIGHT(_xlpm.p,4),"")
       )
     )</f>
        <v>(961) 122-3385</v>
      </c>
      <c r="L138" t="str">
        <f>TRIM(Employee_dataset[[#This Row],[Performance_Score]])</f>
        <v>Good</v>
      </c>
      <c r="M138" t="str">
        <f>TRIM(Employee_dataset[[#This Row],[Remote_Work]])</f>
        <v>FALSE</v>
      </c>
    </row>
    <row r="139" spans="1:13" x14ac:dyDescent="0.3">
      <c r="A139" t="str">
        <f>TRIM(Employee_dataset[[#This Row],[Employee_ID]])</f>
        <v>EMP1137</v>
      </c>
      <c r="B139" t="str">
        <f>PROPER(TRIM(Employee_dataset[[#This Row],[First_Name]]))</f>
        <v>Grace</v>
      </c>
      <c r="C139" t="str">
        <f>PROPER(TRIM(Employee_dataset[[#This Row],[Last_Name]]))</f>
        <v>Smith</v>
      </c>
      <c r="D139" s="6" t="str">
        <f>_xlfn.LET(
     _xlpm.a, TRIM(Employee_dataset[[#This Row],[Age]]),
     IF(
        _xlpm.a="","",
        IF(
           AND(ISNUMBER(--_xlpm.a),LEN(_xlpm.a)=2),_xlpm.a,""
          )
       )
    )</f>
        <v/>
      </c>
      <c r="E139" t="str">
        <f>TRIM(_xlfn.TEXTBEFORE(Employee_dataset[[#This Row],[Department_Region]],"-"))</f>
        <v>DevOps</v>
      </c>
      <c r="F139" t="str">
        <f>TRIM(_xlfn.TEXTAFTER(Employee_dataset[[#This Row],[Department_Region]],"-"))</f>
        <v>New York</v>
      </c>
      <c r="G139" t="str">
        <f>TRIM(Employee_dataset[[#This Row],[Status]])</f>
        <v>Inactive</v>
      </c>
      <c r="H139" s="1">
        <f>_xlfn.LET(
     _xlpm.d, Employee_dataset[[#This Row],[Join_Date]],
     IF(
        ISNUMBER(_xlpm.d),_xlpm.d,""
       )
    )</f>
        <v>45025</v>
      </c>
      <c r="I139" s="6">
        <f>_xlfn.LET(
     _xlpm.s, TRIM(Employee_dataset[[#This Row],[Salary]]),
     IF(
        UPPER(_xlpm.s)="N/A","",
        IF(
           ISNUMBER(--_xlpm.s),ROUND(_xlfn.NUMBERVALUE(_xlpm.s),2),""
          )
       )
    )</f>
        <v>60018.239999999998</v>
      </c>
      <c r="J139" t="str">
        <f>TRIM(Employee_dataset[[#This Row],[Email]])</f>
        <v>grace.smith@example.com</v>
      </c>
      <c r="K139" t="str">
        <f>_xlfn.LET(
     _xlpm.p,TRIM(SUBSTITUTE(Employee_dataset[[#This Row],[Phone]],"-","")),
     IF(
        LEN(_xlpm.p)=10,_xlfn.CONCAT("("&amp;LEFT(_xlpm.p,3)&amp;") "&amp;MID(_xlpm.p,4,3)&amp;"-"&amp;RIGHT(_xlpm.p,4),"")
       )
     )</f>
        <v>(559) 630-9937</v>
      </c>
      <c r="L139" t="str">
        <f>TRIM(Employee_dataset[[#This Row],[Performance_Score]])</f>
        <v>Excellent</v>
      </c>
      <c r="M139" t="str">
        <f>TRIM(Employee_dataset[[#This Row],[Remote_Work]])</f>
        <v>FALSE</v>
      </c>
    </row>
    <row r="140" spans="1:13" x14ac:dyDescent="0.3">
      <c r="A140" t="str">
        <f>TRIM(Employee_dataset[[#This Row],[Employee_ID]])</f>
        <v>EMP1138</v>
      </c>
      <c r="B140" t="str">
        <f>PROPER(TRIM(Employee_dataset[[#This Row],[First_Name]]))</f>
        <v>Eva</v>
      </c>
      <c r="C140" t="str">
        <f>PROPER(TRIM(Employee_dataset[[#This Row],[Last_Name]]))</f>
        <v>Davis</v>
      </c>
      <c r="D140" s="6" t="str">
        <f>_xlfn.LET(
     _xlpm.a, TRIM(Employee_dataset[[#This Row],[Age]]),
     IF(
        _xlpm.a="","",
        IF(
           AND(ISNUMBER(--_xlpm.a),LEN(_xlpm.a)=2),_xlpm.a,""
          )
       )
    )</f>
        <v>40</v>
      </c>
      <c r="E140" t="str">
        <f>TRIM(_xlfn.TEXTBEFORE(Employee_dataset[[#This Row],[Department_Region]],"-"))</f>
        <v>HR</v>
      </c>
      <c r="F140" t="str">
        <f>TRIM(_xlfn.TEXTAFTER(Employee_dataset[[#This Row],[Department_Region]],"-"))</f>
        <v>Nevada</v>
      </c>
      <c r="G140" t="str">
        <f>TRIM(Employee_dataset[[#This Row],[Status]])</f>
        <v>Active</v>
      </c>
      <c r="H140" s="1">
        <f>_xlfn.LET(
     _xlpm.d, Employee_dataset[[#This Row],[Join_Date]],
     IF(
        ISNUMBER(_xlpm.d),_xlpm.d,""
       )
    )</f>
        <v>45478</v>
      </c>
      <c r="I140" s="6">
        <f>_xlfn.LET(
     _xlpm.s, TRIM(Employee_dataset[[#This Row],[Salary]]),
     IF(
        UPPER(_xlpm.s)="N/A","",
        IF(
           ISNUMBER(--_xlpm.s),ROUND(_xlfn.NUMBERVALUE(_xlpm.s),2),""
          )
       )
    )</f>
        <v>82567.73</v>
      </c>
      <c r="J140" t="str">
        <f>TRIM(Employee_dataset[[#This Row],[Email]])</f>
        <v>eva.davis@example.com</v>
      </c>
      <c r="K140" t="str">
        <f>_xlfn.LET(
     _xlpm.p,TRIM(SUBSTITUTE(Employee_dataset[[#This Row],[Phone]],"-","")),
     IF(
        LEN(_xlpm.p)=10,_xlfn.CONCAT("("&amp;LEFT(_xlpm.p,3)&amp;") "&amp;MID(_xlpm.p,4,3)&amp;"-"&amp;RIGHT(_xlpm.p,4),"")
       )
     )</f>
        <v>(425) 304-2896</v>
      </c>
      <c r="L140" t="str">
        <f>TRIM(Employee_dataset[[#This Row],[Performance_Score]])</f>
        <v>Poor</v>
      </c>
      <c r="M140" t="str">
        <f>TRIM(Employee_dataset[[#This Row],[Remote_Work]])</f>
        <v>TRUE</v>
      </c>
    </row>
    <row r="141" spans="1:13" x14ac:dyDescent="0.3">
      <c r="A141" t="str">
        <f>TRIM(Employee_dataset[[#This Row],[Employee_ID]])</f>
        <v>EMP1139</v>
      </c>
      <c r="B141" t="str">
        <f>PROPER(TRIM(Employee_dataset[[#This Row],[First_Name]]))</f>
        <v>Charlie</v>
      </c>
      <c r="C141" t="str">
        <f>PROPER(TRIM(Employee_dataset[[#This Row],[Last_Name]]))</f>
        <v>Smith</v>
      </c>
      <c r="D141" s="6" t="str">
        <f>_xlfn.LET(
     _xlpm.a, TRIM(Employee_dataset[[#This Row],[Age]]),
     IF(
        _xlpm.a="","",
        IF(
           AND(ISNUMBER(--_xlpm.a),LEN(_xlpm.a)=2),_xlpm.a,""
          )
       )
    )</f>
        <v>25</v>
      </c>
      <c r="E141" t="str">
        <f>TRIM(_xlfn.TEXTBEFORE(Employee_dataset[[#This Row],[Department_Region]],"-"))</f>
        <v>Finance</v>
      </c>
      <c r="F141" t="str">
        <f>TRIM(_xlfn.TEXTAFTER(Employee_dataset[[#This Row],[Department_Region]],"-"))</f>
        <v>California</v>
      </c>
      <c r="G141" t="str">
        <f>TRIM(Employee_dataset[[#This Row],[Status]])</f>
        <v>Pending</v>
      </c>
      <c r="H141" s="1">
        <f>_xlfn.LET(
     _xlpm.d, Employee_dataset[[#This Row],[Join_Date]],
     IF(
        ISNUMBER(_xlpm.d),_xlpm.d,""
       )
    )</f>
        <v>44443</v>
      </c>
      <c r="I141" s="6">
        <f>_xlfn.LET(
     _xlpm.s, TRIM(Employee_dataset[[#This Row],[Salary]]),
     IF(
        UPPER(_xlpm.s)="N/A","",
        IF(
           ISNUMBER(--_xlpm.s),ROUND(_xlfn.NUMBERVALUE(_xlpm.s),2),""
          )
       )
    )</f>
        <v>94725.71</v>
      </c>
      <c r="J141" t="str">
        <f>TRIM(Employee_dataset[[#This Row],[Email]])</f>
        <v>charlie.smith@example.com</v>
      </c>
      <c r="K141" t="str">
        <f>_xlfn.LET(
     _xlpm.p,TRIM(SUBSTITUTE(Employee_dataset[[#This Row],[Phone]],"-","")),
     IF(
        LEN(_xlpm.p)=10,_xlfn.CONCAT("("&amp;LEFT(_xlpm.p,3)&amp;") "&amp;MID(_xlpm.p,4,3)&amp;"-"&amp;RIGHT(_xlpm.p,4),"")
       )
     )</f>
        <v>(317) 912-8684</v>
      </c>
      <c r="L141" t="str">
        <f>TRIM(Employee_dataset[[#This Row],[Performance_Score]])</f>
        <v>Poor</v>
      </c>
      <c r="M141" t="str">
        <f>TRIM(Employee_dataset[[#This Row],[Remote_Work]])</f>
        <v>FALSE</v>
      </c>
    </row>
    <row r="142" spans="1:13" x14ac:dyDescent="0.3">
      <c r="A142" t="str">
        <f>TRIM(Employee_dataset[[#This Row],[Employee_ID]])</f>
        <v>EMP1140</v>
      </c>
      <c r="B142" t="str">
        <f>PROPER(TRIM(Employee_dataset[[#This Row],[First_Name]]))</f>
        <v>Eva</v>
      </c>
      <c r="C142" t="str">
        <f>PROPER(TRIM(Employee_dataset[[#This Row],[Last_Name]]))</f>
        <v>Garcia</v>
      </c>
      <c r="D142" s="6" t="str">
        <f>_xlfn.LET(
     _xlpm.a, TRIM(Employee_dataset[[#This Row],[Age]]),
     IF(
        _xlpm.a="","",
        IF(
           AND(ISNUMBER(--_xlpm.a),LEN(_xlpm.a)=2),_xlpm.a,""
          )
       )
    )</f>
        <v>40</v>
      </c>
      <c r="E142" t="str">
        <f>TRIM(_xlfn.TEXTBEFORE(Employee_dataset[[#This Row],[Department_Region]],"-"))</f>
        <v>HR</v>
      </c>
      <c r="F142" t="str">
        <f>TRIM(_xlfn.TEXTAFTER(Employee_dataset[[#This Row],[Department_Region]],"-"))</f>
        <v>New York</v>
      </c>
      <c r="G142" t="str">
        <f>TRIM(Employee_dataset[[#This Row],[Status]])</f>
        <v>Inactive</v>
      </c>
      <c r="H142" s="1">
        <f>_xlfn.LET(
     _xlpm.d, Employee_dataset[[#This Row],[Join_Date]],
     IF(
        ISNUMBER(_xlpm.d),_xlpm.d,""
       )
    )</f>
        <v>45578</v>
      </c>
      <c r="I142" s="6">
        <f>_xlfn.LET(
     _xlpm.s, TRIM(Employee_dataset[[#This Row],[Salary]]),
     IF(
        UPPER(_xlpm.s)="N/A","",
        IF(
           ISNUMBER(--_xlpm.s),ROUND(_xlfn.NUMBERVALUE(_xlpm.s),2),""
          )
       )
    )</f>
        <v>83824.56</v>
      </c>
      <c r="J142" t="str">
        <f>TRIM(Employee_dataset[[#This Row],[Email]])</f>
        <v>eva.garcia@example.com</v>
      </c>
      <c r="K142" t="str">
        <f>_xlfn.LET(
     _xlpm.p,TRIM(SUBSTITUTE(Employee_dataset[[#This Row],[Phone]],"-","")),
     IF(
        LEN(_xlpm.p)=10,_xlfn.CONCAT("("&amp;LEFT(_xlpm.p,3)&amp;") "&amp;MID(_xlpm.p,4,3)&amp;"-"&amp;RIGHT(_xlpm.p,4),"")
       )
     )</f>
        <v>(787) 255-8776</v>
      </c>
      <c r="L142" t="str">
        <f>TRIM(Employee_dataset[[#This Row],[Performance_Score]])</f>
        <v>Poor</v>
      </c>
      <c r="M142" t="str">
        <f>TRIM(Employee_dataset[[#This Row],[Remote_Work]])</f>
        <v>FALSE</v>
      </c>
    </row>
    <row r="143" spans="1:13" x14ac:dyDescent="0.3">
      <c r="A143" t="str">
        <f>TRIM(Employee_dataset[[#This Row],[Employee_ID]])</f>
        <v>EMP1141</v>
      </c>
      <c r="B143" t="str">
        <f>PROPER(TRIM(Employee_dataset[[#This Row],[First_Name]]))</f>
        <v>Frank</v>
      </c>
      <c r="C143" t="str">
        <f>PROPER(TRIM(Employee_dataset[[#This Row],[Last_Name]]))</f>
        <v>Smith</v>
      </c>
      <c r="D143" s="6" t="str">
        <f>_xlfn.LET(
     _xlpm.a, TRIM(Employee_dataset[[#This Row],[Age]]),
     IF(
        _xlpm.a="","",
        IF(
           AND(ISNUMBER(--_xlpm.a),LEN(_xlpm.a)=2),_xlpm.a,""
          )
       )
    )</f>
        <v/>
      </c>
      <c r="E143" t="str">
        <f>TRIM(_xlfn.TEXTBEFORE(Employee_dataset[[#This Row],[Department_Region]],"-"))</f>
        <v>HR</v>
      </c>
      <c r="F143" t="str">
        <f>TRIM(_xlfn.TEXTAFTER(Employee_dataset[[#This Row],[Department_Region]],"-"))</f>
        <v>Nevada</v>
      </c>
      <c r="G143" t="str">
        <f>TRIM(Employee_dataset[[#This Row],[Status]])</f>
        <v>Inactive</v>
      </c>
      <c r="H143" s="1">
        <f>_xlfn.LET(
     _xlpm.d, Employee_dataset[[#This Row],[Join_Date]],
     IF(
        ISNUMBER(_xlpm.d),_xlpm.d,""
       )
    )</f>
        <v>43875</v>
      </c>
      <c r="I143" s="6">
        <f>_xlfn.LET(
     _xlpm.s, TRIM(Employee_dataset[[#This Row],[Salary]]),
     IF(
        UPPER(_xlpm.s)="N/A","",
        IF(
           ISNUMBER(--_xlpm.s),ROUND(_xlfn.NUMBERVALUE(_xlpm.s),2),""
          )
       )
    )</f>
        <v>118456.11</v>
      </c>
      <c r="J143" t="str">
        <f>TRIM(Employee_dataset[[#This Row],[Email]])</f>
        <v>frank.smith@example.com</v>
      </c>
      <c r="K143" t="str">
        <f>_xlfn.LET(
     _xlpm.p,TRIM(SUBSTITUTE(Employee_dataset[[#This Row],[Phone]],"-","")),
     IF(
        LEN(_xlpm.p)=10,_xlfn.CONCAT("("&amp;LEFT(_xlpm.p,3)&amp;") "&amp;MID(_xlpm.p,4,3)&amp;"-"&amp;RIGHT(_xlpm.p,4),"")
       )
     )</f>
        <v>(496) 903-3372</v>
      </c>
      <c r="L143" t="str">
        <f>TRIM(Employee_dataset[[#This Row],[Performance_Score]])</f>
        <v>Excellent</v>
      </c>
      <c r="M143" t="str">
        <f>TRIM(Employee_dataset[[#This Row],[Remote_Work]])</f>
        <v>TRUE</v>
      </c>
    </row>
    <row r="144" spans="1:13" x14ac:dyDescent="0.3">
      <c r="A144" t="str">
        <f>TRIM(Employee_dataset[[#This Row],[Employee_ID]])</f>
        <v>EMP1142</v>
      </c>
      <c r="B144" t="str">
        <f>PROPER(TRIM(Employee_dataset[[#This Row],[First_Name]]))</f>
        <v>Eva</v>
      </c>
      <c r="C144" t="str">
        <f>PROPER(TRIM(Employee_dataset[[#This Row],[Last_Name]]))</f>
        <v>Brown</v>
      </c>
      <c r="D144" s="6" t="str">
        <f>_xlfn.LET(
     _xlpm.a, TRIM(Employee_dataset[[#This Row],[Age]]),
     IF(
        _xlpm.a="","",
        IF(
           AND(ISNUMBER(--_xlpm.a),LEN(_xlpm.a)=2),_xlpm.a,""
          )
       )
    )</f>
        <v>25</v>
      </c>
      <c r="E144" t="str">
        <f>TRIM(_xlfn.TEXTBEFORE(Employee_dataset[[#This Row],[Department_Region]],"-"))</f>
        <v>Sales</v>
      </c>
      <c r="F144" t="str">
        <f>TRIM(_xlfn.TEXTAFTER(Employee_dataset[[#This Row],[Department_Region]],"-"))</f>
        <v>Nevada</v>
      </c>
      <c r="G144" t="str">
        <f>TRIM(Employee_dataset[[#This Row],[Status]])</f>
        <v>Pending</v>
      </c>
      <c r="H144" s="1">
        <f>_xlfn.LET(
     _xlpm.d, Employee_dataset[[#This Row],[Join_Date]],
     IF(
        ISNUMBER(_xlpm.d),_xlpm.d,""
       )
    )</f>
        <v>43931</v>
      </c>
      <c r="I144" s="6">
        <f>_xlfn.LET(
     _xlpm.s, TRIM(Employee_dataset[[#This Row],[Salary]]),
     IF(
        UPPER(_xlpm.s)="N/A","",
        IF(
           ISNUMBER(--_xlpm.s),ROUND(_xlfn.NUMBERVALUE(_xlpm.s),2),""
          )
       )
    )</f>
        <v>113743.19</v>
      </c>
      <c r="J144" t="str">
        <f>TRIM(Employee_dataset[[#This Row],[Email]])</f>
        <v>eva.brown@example.com</v>
      </c>
      <c r="K144" t="str">
        <f>_xlfn.LET(
     _xlpm.p,TRIM(SUBSTITUTE(Employee_dataset[[#This Row],[Phone]],"-","")),
     IF(
        LEN(_xlpm.p)=10,_xlfn.CONCAT("("&amp;LEFT(_xlpm.p,3)&amp;") "&amp;MID(_xlpm.p,4,3)&amp;"-"&amp;RIGHT(_xlpm.p,4),"")
       )
     )</f>
        <v>(634) 669-2547</v>
      </c>
      <c r="L144" t="str">
        <f>TRIM(Employee_dataset[[#This Row],[Performance_Score]])</f>
        <v>Good</v>
      </c>
      <c r="M144" t="str">
        <f>TRIM(Employee_dataset[[#This Row],[Remote_Work]])</f>
        <v>TRUE</v>
      </c>
    </row>
    <row r="145" spans="1:13" x14ac:dyDescent="0.3">
      <c r="A145" t="str">
        <f>TRIM(Employee_dataset[[#This Row],[Employee_ID]])</f>
        <v>EMP1143</v>
      </c>
      <c r="B145" t="str">
        <f>PROPER(TRIM(Employee_dataset[[#This Row],[First_Name]]))</f>
        <v>Eva</v>
      </c>
      <c r="C145" t="str">
        <f>PROPER(TRIM(Employee_dataset[[#This Row],[Last_Name]]))</f>
        <v>Garcia</v>
      </c>
      <c r="D145" s="6" t="str">
        <f>_xlfn.LET(
     _xlpm.a, TRIM(Employee_dataset[[#This Row],[Age]]),
     IF(
        _xlpm.a="","",
        IF(
           AND(ISNUMBER(--_xlpm.a),LEN(_xlpm.a)=2),_xlpm.a,""
          )
       )
    )</f>
        <v>30</v>
      </c>
      <c r="E145" t="str">
        <f>TRIM(_xlfn.TEXTBEFORE(Employee_dataset[[#This Row],[Department_Region]],"-"))</f>
        <v>Sales</v>
      </c>
      <c r="F145" t="str">
        <f>TRIM(_xlfn.TEXTAFTER(Employee_dataset[[#This Row],[Department_Region]],"-"))</f>
        <v>California</v>
      </c>
      <c r="G145" t="str">
        <f>TRIM(Employee_dataset[[#This Row],[Status]])</f>
        <v>Active</v>
      </c>
      <c r="H145" s="1">
        <f>_xlfn.LET(
     _xlpm.d, Employee_dataset[[#This Row],[Join_Date]],
     IF(
        ISNUMBER(_xlpm.d),_xlpm.d,""
       )
    )</f>
        <v>45134</v>
      </c>
      <c r="I145" s="6">
        <f>_xlfn.LET(
     _xlpm.s, TRIM(Employee_dataset[[#This Row],[Salary]]),
     IF(
        UPPER(_xlpm.s)="N/A","",
        IF(
           ISNUMBER(--_xlpm.s),ROUND(_xlfn.NUMBERVALUE(_xlpm.s),2),""
          )
       )
    )</f>
        <v>63309.24</v>
      </c>
      <c r="J145" t="str">
        <f>TRIM(Employee_dataset[[#This Row],[Email]])</f>
        <v>eva.garcia@example.com</v>
      </c>
      <c r="K145" t="str">
        <f>_xlfn.LET(
     _xlpm.p,TRIM(SUBSTITUTE(Employee_dataset[[#This Row],[Phone]],"-","")),
     IF(
        LEN(_xlpm.p)=10,_xlfn.CONCAT("("&amp;LEFT(_xlpm.p,3)&amp;") "&amp;MID(_xlpm.p,4,3)&amp;"-"&amp;RIGHT(_xlpm.p,4),"")
       )
     )</f>
        <v>(121) 478-5389</v>
      </c>
      <c r="L145" t="str">
        <f>TRIM(Employee_dataset[[#This Row],[Performance_Score]])</f>
        <v>Good</v>
      </c>
      <c r="M145" t="str">
        <f>TRIM(Employee_dataset[[#This Row],[Remote_Work]])</f>
        <v>FALSE</v>
      </c>
    </row>
    <row r="146" spans="1:13" x14ac:dyDescent="0.3">
      <c r="A146" t="str">
        <f>TRIM(Employee_dataset[[#This Row],[Employee_ID]])</f>
        <v>EMP1144</v>
      </c>
      <c r="B146" t="str">
        <f>PROPER(TRIM(Employee_dataset[[#This Row],[First_Name]]))</f>
        <v>Charlie</v>
      </c>
      <c r="C146" t="str">
        <f>PROPER(TRIM(Employee_dataset[[#This Row],[Last_Name]]))</f>
        <v>Garcia</v>
      </c>
      <c r="D146" s="6" t="str">
        <f>_xlfn.LET(
     _xlpm.a, TRIM(Employee_dataset[[#This Row],[Age]]),
     IF(
        _xlpm.a="","",
        IF(
           AND(ISNUMBER(--_xlpm.a),LEN(_xlpm.a)=2),_xlpm.a,""
          )
       )
    )</f>
        <v>25</v>
      </c>
      <c r="E146" t="str">
        <f>TRIM(_xlfn.TEXTBEFORE(Employee_dataset[[#This Row],[Department_Region]],"-"))</f>
        <v>DevOps</v>
      </c>
      <c r="F146" t="str">
        <f>TRIM(_xlfn.TEXTAFTER(Employee_dataset[[#This Row],[Department_Region]],"-"))</f>
        <v>Nevada</v>
      </c>
      <c r="G146" t="str">
        <f>TRIM(Employee_dataset[[#This Row],[Status]])</f>
        <v>Active</v>
      </c>
      <c r="H146" s="1">
        <f>_xlfn.LET(
     _xlpm.d, Employee_dataset[[#This Row],[Join_Date]],
     IF(
        ISNUMBER(_xlpm.d),_xlpm.d,""
       )
    )</f>
        <v>44463</v>
      </c>
      <c r="I146" s="6">
        <f>_xlfn.LET(
     _xlpm.s, TRIM(Employee_dataset[[#This Row],[Salary]]),
     IF(
        UPPER(_xlpm.s)="N/A","",
        IF(
           ISNUMBER(--_xlpm.s),ROUND(_xlfn.NUMBERVALUE(_xlpm.s),2),""
          )
       )
    )</f>
        <v>105202.73</v>
      </c>
      <c r="J146" t="str">
        <f>TRIM(Employee_dataset[[#This Row],[Email]])</f>
        <v>charlie.garcia@example.com</v>
      </c>
      <c r="K146" t="str">
        <f>_xlfn.LET(
     _xlpm.p,TRIM(SUBSTITUTE(Employee_dataset[[#This Row],[Phone]],"-","")),
     IF(
        LEN(_xlpm.p)=10,_xlfn.CONCAT("("&amp;LEFT(_xlpm.p,3)&amp;") "&amp;MID(_xlpm.p,4,3)&amp;"-"&amp;RIGHT(_xlpm.p,4),"")
       )
     )</f>
        <v>(789) 567-7664</v>
      </c>
      <c r="L146" t="str">
        <f>TRIM(Employee_dataset[[#This Row],[Performance_Score]])</f>
        <v>Excellent</v>
      </c>
      <c r="M146" t="str">
        <f>TRIM(Employee_dataset[[#This Row],[Remote_Work]])</f>
        <v>TRUE</v>
      </c>
    </row>
    <row r="147" spans="1:13" x14ac:dyDescent="0.3">
      <c r="A147" t="str">
        <f>TRIM(Employee_dataset[[#This Row],[Employee_ID]])</f>
        <v>EMP1145</v>
      </c>
      <c r="B147" t="str">
        <f>PROPER(TRIM(Employee_dataset[[#This Row],[First_Name]]))</f>
        <v>Frank</v>
      </c>
      <c r="C147" t="str">
        <f>PROPER(TRIM(Employee_dataset[[#This Row],[Last_Name]]))</f>
        <v>Davis</v>
      </c>
      <c r="D147" s="6" t="str">
        <f>_xlfn.LET(
     _xlpm.a, TRIM(Employee_dataset[[#This Row],[Age]]),
     IF(
        _xlpm.a="","",
        IF(
           AND(ISNUMBER(--_xlpm.a),LEN(_xlpm.a)=2),_xlpm.a,""
          )
       )
    )</f>
        <v>30</v>
      </c>
      <c r="E147" t="str">
        <f>TRIM(_xlfn.TEXTBEFORE(Employee_dataset[[#This Row],[Department_Region]],"-"))</f>
        <v>Cloud Tech</v>
      </c>
      <c r="F147" t="str">
        <f>TRIM(_xlfn.TEXTAFTER(Employee_dataset[[#This Row],[Department_Region]],"-"))</f>
        <v>California</v>
      </c>
      <c r="G147" t="str">
        <f>TRIM(Employee_dataset[[#This Row],[Status]])</f>
        <v>Inactive</v>
      </c>
      <c r="H147" s="1">
        <f>_xlfn.LET(
     _xlpm.d, Employee_dataset[[#This Row],[Join_Date]],
     IF(
        ISNUMBER(_xlpm.d),_xlpm.d,""
       )
    )</f>
        <v>45361</v>
      </c>
      <c r="I147" s="6">
        <f>_xlfn.LET(
     _xlpm.s, TRIM(Employee_dataset[[#This Row],[Salary]]),
     IF(
        UPPER(_xlpm.s)="N/A","",
        IF(
           ISNUMBER(--_xlpm.s),ROUND(_xlfn.NUMBERVALUE(_xlpm.s),2),""
          )
       )
    )</f>
        <v>79085.22</v>
      </c>
      <c r="J147" t="str">
        <f>TRIM(Employee_dataset[[#This Row],[Email]])</f>
        <v>frank.davis@example.com</v>
      </c>
      <c r="K147" t="str">
        <f>_xlfn.LET(
     _xlpm.p,TRIM(SUBSTITUTE(Employee_dataset[[#This Row],[Phone]],"-","")),
     IF(
        LEN(_xlpm.p)=10,_xlfn.CONCAT("("&amp;LEFT(_xlpm.p,3)&amp;") "&amp;MID(_xlpm.p,4,3)&amp;"-"&amp;RIGHT(_xlpm.p,4),"")
       )
     )</f>
        <v>(754) 602-7340</v>
      </c>
      <c r="L147" t="str">
        <f>TRIM(Employee_dataset[[#This Row],[Performance_Score]])</f>
        <v>Good</v>
      </c>
      <c r="M147" t="str">
        <f>TRIM(Employee_dataset[[#This Row],[Remote_Work]])</f>
        <v>TRUE</v>
      </c>
    </row>
    <row r="148" spans="1:13" x14ac:dyDescent="0.3">
      <c r="A148" t="str">
        <f>TRIM(Employee_dataset[[#This Row],[Employee_ID]])</f>
        <v>EMP1146</v>
      </c>
      <c r="B148" t="str">
        <f>PROPER(TRIM(Employee_dataset[[#This Row],[First_Name]]))</f>
        <v>Frank</v>
      </c>
      <c r="C148" t="str">
        <f>PROPER(TRIM(Employee_dataset[[#This Row],[Last_Name]]))</f>
        <v>Williams</v>
      </c>
      <c r="D148" s="6" t="str">
        <f>_xlfn.LET(
     _xlpm.a, TRIM(Employee_dataset[[#This Row],[Age]]),
     IF(
        _xlpm.a="","",
        IF(
           AND(ISNUMBER(--_xlpm.a),LEN(_xlpm.a)=2),_xlpm.a,""
          )
       )
    )</f>
        <v/>
      </c>
      <c r="E148" t="str">
        <f>TRIM(_xlfn.TEXTBEFORE(Employee_dataset[[#This Row],[Department_Region]],"-"))</f>
        <v>Sales</v>
      </c>
      <c r="F148" t="str">
        <f>TRIM(_xlfn.TEXTAFTER(Employee_dataset[[#This Row],[Department_Region]],"-"))</f>
        <v>California</v>
      </c>
      <c r="G148" t="str">
        <f>TRIM(Employee_dataset[[#This Row],[Status]])</f>
        <v>Active</v>
      </c>
      <c r="H148" s="1">
        <f>_xlfn.LET(
     _xlpm.d, Employee_dataset[[#This Row],[Join_Date]],
     IF(
        ISNUMBER(_xlpm.d),_xlpm.d,""
       )
    )</f>
        <v>44357</v>
      </c>
      <c r="I148" s="6">
        <f>_xlfn.LET(
     _xlpm.s, TRIM(Employee_dataset[[#This Row],[Salary]]),
     IF(
        UPPER(_xlpm.s)="N/A","",
        IF(
           ISNUMBER(--_xlpm.s),ROUND(_xlfn.NUMBERVALUE(_xlpm.s),2),""
          )
       )
    )</f>
        <v>113983.43</v>
      </c>
      <c r="J148" t="str">
        <f>TRIM(Employee_dataset[[#This Row],[Email]])</f>
        <v>frank.williams@example.com</v>
      </c>
      <c r="K148" t="str">
        <f>_xlfn.LET(
     _xlpm.p,TRIM(SUBSTITUTE(Employee_dataset[[#This Row],[Phone]],"-","")),
     IF(
        LEN(_xlpm.p)=10,_xlfn.CONCAT("("&amp;LEFT(_xlpm.p,3)&amp;") "&amp;MID(_xlpm.p,4,3)&amp;"-"&amp;RIGHT(_xlpm.p,4),"")
       )
     )</f>
        <v>(514) 888-1430</v>
      </c>
      <c r="L148" t="str">
        <f>TRIM(Employee_dataset[[#This Row],[Performance_Score]])</f>
        <v>Excellent</v>
      </c>
      <c r="M148" t="str">
        <f>TRIM(Employee_dataset[[#This Row],[Remote_Work]])</f>
        <v>TRUE</v>
      </c>
    </row>
    <row r="149" spans="1:13" x14ac:dyDescent="0.3">
      <c r="A149" t="str">
        <f>TRIM(Employee_dataset[[#This Row],[Employee_ID]])</f>
        <v>EMP1147</v>
      </c>
      <c r="B149" t="str">
        <f>PROPER(TRIM(Employee_dataset[[#This Row],[First_Name]]))</f>
        <v>Eva</v>
      </c>
      <c r="C149" t="str">
        <f>PROPER(TRIM(Employee_dataset[[#This Row],[Last_Name]]))</f>
        <v>Williams</v>
      </c>
      <c r="D149" s="6" t="str">
        <f>_xlfn.LET(
     _xlpm.a, TRIM(Employee_dataset[[#This Row],[Age]]),
     IF(
        _xlpm.a="","",
        IF(
           AND(ISNUMBER(--_xlpm.a),LEN(_xlpm.a)=2),_xlpm.a,""
          )
       )
    )</f>
        <v>35</v>
      </c>
      <c r="E149" t="str">
        <f>TRIM(_xlfn.TEXTBEFORE(Employee_dataset[[#This Row],[Department_Region]],"-"))</f>
        <v>Cloud Tech</v>
      </c>
      <c r="F149" t="str">
        <f>TRIM(_xlfn.TEXTAFTER(Employee_dataset[[#This Row],[Department_Region]],"-"))</f>
        <v>Florida</v>
      </c>
      <c r="G149" t="str">
        <f>TRIM(Employee_dataset[[#This Row],[Status]])</f>
        <v>Active</v>
      </c>
      <c r="H149" s="1">
        <f>_xlfn.LET(
     _xlpm.d, Employee_dataset[[#This Row],[Join_Date]],
     IF(
        ISNUMBER(_xlpm.d),_xlpm.d,""
       )
    )</f>
        <v>44119</v>
      </c>
      <c r="I149" s="6">
        <f>_xlfn.LET(
     _xlpm.s, TRIM(Employee_dataset[[#This Row],[Salary]]),
     IF(
        UPPER(_xlpm.s)="N/A","",
        IF(
           ISNUMBER(--_xlpm.s),ROUND(_xlfn.NUMBERVALUE(_xlpm.s),2),""
          )
       )
    )</f>
        <v>102790.6</v>
      </c>
      <c r="J149" t="str">
        <f>TRIM(Employee_dataset[[#This Row],[Email]])</f>
        <v>eva.williams@example.com</v>
      </c>
      <c r="K149" t="str">
        <f>_xlfn.LET(
     _xlpm.p,TRIM(SUBSTITUTE(Employee_dataset[[#This Row],[Phone]],"-","")),
     IF(
        LEN(_xlpm.p)=10,_xlfn.CONCAT("("&amp;LEFT(_xlpm.p,3)&amp;") "&amp;MID(_xlpm.p,4,3)&amp;"-"&amp;RIGHT(_xlpm.p,4),"")
       )
     )</f>
        <v>(115) 083-5353</v>
      </c>
      <c r="L149" t="str">
        <f>TRIM(Employee_dataset[[#This Row],[Performance_Score]])</f>
        <v>Good</v>
      </c>
      <c r="M149" t="str">
        <f>TRIM(Employee_dataset[[#This Row],[Remote_Work]])</f>
        <v>FALSE</v>
      </c>
    </row>
    <row r="150" spans="1:13" x14ac:dyDescent="0.3">
      <c r="A150" t="str">
        <f>TRIM(Employee_dataset[[#This Row],[Employee_ID]])</f>
        <v>EMP1148</v>
      </c>
      <c r="B150" t="str">
        <f>PROPER(TRIM(Employee_dataset[[#This Row],[First_Name]]))</f>
        <v>Grace</v>
      </c>
      <c r="C150" t="str">
        <f>PROPER(TRIM(Employee_dataset[[#This Row],[Last_Name]]))</f>
        <v>Smith</v>
      </c>
      <c r="D150" s="6" t="str">
        <f>_xlfn.LET(
     _xlpm.a, TRIM(Employee_dataset[[#This Row],[Age]]),
     IF(
        _xlpm.a="","",
        IF(
           AND(ISNUMBER(--_xlpm.a),LEN(_xlpm.a)=2),_xlpm.a,""
          )
       )
    )</f>
        <v/>
      </c>
      <c r="E150" t="str">
        <f>TRIM(_xlfn.TEXTBEFORE(Employee_dataset[[#This Row],[Department_Region]],"-"))</f>
        <v>HR</v>
      </c>
      <c r="F150" t="str">
        <f>TRIM(_xlfn.TEXTAFTER(Employee_dataset[[#This Row],[Department_Region]],"-"))</f>
        <v>Texas</v>
      </c>
      <c r="G150" t="str">
        <f>TRIM(Employee_dataset[[#This Row],[Status]])</f>
        <v>Inactive</v>
      </c>
      <c r="H150" s="1">
        <f>_xlfn.LET(
     _xlpm.d, Employee_dataset[[#This Row],[Join_Date]],
     IF(
        ISNUMBER(_xlpm.d),_xlpm.d,""
       )
    )</f>
        <v>43859</v>
      </c>
      <c r="I150" s="6">
        <f>_xlfn.LET(
     _xlpm.s, TRIM(Employee_dataset[[#This Row],[Salary]]),
     IF(
        UPPER(_xlpm.s)="N/A","",
        IF(
           ISNUMBER(--_xlpm.s),ROUND(_xlfn.NUMBERVALUE(_xlpm.s),2),""
          )
       )
    )</f>
        <v>68512.100000000006</v>
      </c>
      <c r="J150" t="str">
        <f>TRIM(Employee_dataset[[#This Row],[Email]])</f>
        <v>grace.smith@example.com</v>
      </c>
      <c r="K150" t="str">
        <f>_xlfn.LET(
     _xlpm.p,TRIM(SUBSTITUTE(Employee_dataset[[#This Row],[Phone]],"-","")),
     IF(
        LEN(_xlpm.p)=10,_xlfn.CONCAT("("&amp;LEFT(_xlpm.p,3)&amp;") "&amp;MID(_xlpm.p,4,3)&amp;"-"&amp;RIGHT(_xlpm.p,4),"")
       )
     )</f>
        <v>(443) 928-4043</v>
      </c>
      <c r="L150" t="str">
        <f>TRIM(Employee_dataset[[#This Row],[Performance_Score]])</f>
        <v>Average</v>
      </c>
      <c r="M150" t="str">
        <f>TRIM(Employee_dataset[[#This Row],[Remote_Work]])</f>
        <v>FALSE</v>
      </c>
    </row>
    <row r="151" spans="1:13" x14ac:dyDescent="0.3">
      <c r="A151" t="str">
        <f>TRIM(Employee_dataset[[#This Row],[Employee_ID]])</f>
        <v>EMP1149</v>
      </c>
      <c r="B151" t="str">
        <f>PROPER(TRIM(Employee_dataset[[#This Row],[First_Name]]))</f>
        <v>Frank</v>
      </c>
      <c r="C151" t="str">
        <f>PROPER(TRIM(Employee_dataset[[#This Row],[Last_Name]]))</f>
        <v>Garcia</v>
      </c>
      <c r="D151" s="6" t="str">
        <f>_xlfn.LET(
     _xlpm.a, TRIM(Employee_dataset[[#This Row],[Age]]),
     IF(
        _xlpm.a="","",
        IF(
           AND(ISNUMBER(--_xlpm.a),LEN(_xlpm.a)=2),_xlpm.a,""
          )
       )
    )</f>
        <v>35</v>
      </c>
      <c r="E151" t="str">
        <f>TRIM(_xlfn.TEXTBEFORE(Employee_dataset[[#This Row],[Department_Region]],"-"))</f>
        <v>Sales</v>
      </c>
      <c r="F151" t="str">
        <f>TRIM(_xlfn.TEXTAFTER(Employee_dataset[[#This Row],[Department_Region]],"-"))</f>
        <v>Florida</v>
      </c>
      <c r="G151" t="str">
        <f>TRIM(Employee_dataset[[#This Row],[Status]])</f>
        <v>Pending</v>
      </c>
      <c r="H151" s="1">
        <f>_xlfn.LET(
     _xlpm.d, Employee_dataset[[#This Row],[Join_Date]],
     IF(
        ISNUMBER(_xlpm.d),_xlpm.d,""
       )
    )</f>
        <v>44591</v>
      </c>
      <c r="I151" s="6">
        <f>_xlfn.LET(
     _xlpm.s, TRIM(Employee_dataset[[#This Row],[Salary]]),
     IF(
        UPPER(_xlpm.s)="N/A","",
        IF(
           ISNUMBER(--_xlpm.s),ROUND(_xlfn.NUMBERVALUE(_xlpm.s),2),""
          )
       )
    )</f>
        <v>57584.23</v>
      </c>
      <c r="J151" t="str">
        <f>TRIM(Employee_dataset[[#This Row],[Email]])</f>
        <v>frank.garcia@example.com</v>
      </c>
      <c r="K151" t="str">
        <f>_xlfn.LET(
     _xlpm.p,TRIM(SUBSTITUTE(Employee_dataset[[#This Row],[Phone]],"-","")),
     IF(
        LEN(_xlpm.p)=10,_xlfn.CONCAT("("&amp;LEFT(_xlpm.p,3)&amp;") "&amp;MID(_xlpm.p,4,3)&amp;"-"&amp;RIGHT(_xlpm.p,4),"")
       )
     )</f>
        <v>(566) 907-8262</v>
      </c>
      <c r="L151" t="str">
        <f>TRIM(Employee_dataset[[#This Row],[Performance_Score]])</f>
        <v>Average</v>
      </c>
      <c r="M151" t="str">
        <f>TRIM(Employee_dataset[[#This Row],[Remote_Work]])</f>
        <v>TRUE</v>
      </c>
    </row>
    <row r="152" spans="1:13" x14ac:dyDescent="0.3">
      <c r="A152" t="str">
        <f>TRIM(Employee_dataset[[#This Row],[Employee_ID]])</f>
        <v>EMP1150</v>
      </c>
      <c r="B152" t="str">
        <f>PROPER(TRIM(Employee_dataset[[#This Row],[First_Name]]))</f>
        <v>Alice</v>
      </c>
      <c r="C152" t="str">
        <f>PROPER(TRIM(Employee_dataset[[#This Row],[Last_Name]]))</f>
        <v>Williams</v>
      </c>
      <c r="D152" s="6" t="str">
        <f>_xlfn.LET(
     _xlpm.a, TRIM(Employee_dataset[[#This Row],[Age]]),
     IF(
        _xlpm.a="","",
        IF(
           AND(ISNUMBER(--_xlpm.a),LEN(_xlpm.a)=2),_xlpm.a,""
          )
       )
    )</f>
        <v/>
      </c>
      <c r="E152" t="str">
        <f>TRIM(_xlfn.TEXTBEFORE(Employee_dataset[[#This Row],[Department_Region]],"-"))</f>
        <v>Sales</v>
      </c>
      <c r="F152" t="str">
        <f>TRIM(_xlfn.TEXTAFTER(Employee_dataset[[#This Row],[Department_Region]],"-"))</f>
        <v>California</v>
      </c>
      <c r="G152" t="str">
        <f>TRIM(Employee_dataset[[#This Row],[Status]])</f>
        <v>Pending</v>
      </c>
      <c r="H152" s="1">
        <f>_xlfn.LET(
     _xlpm.d, Employee_dataset[[#This Row],[Join_Date]],
     IF(
        ISNUMBER(_xlpm.d),_xlpm.d,""
       )
    )</f>
        <v>44284</v>
      </c>
      <c r="I152" s="6">
        <f>_xlfn.LET(
     _xlpm.s, TRIM(Employee_dataset[[#This Row],[Salary]]),
     IF(
        UPPER(_xlpm.s)="N/A","",
        IF(
           ISNUMBER(--_xlpm.s),ROUND(_xlfn.NUMBERVALUE(_xlpm.s),2),""
          )
       )
    )</f>
        <v>95335.67</v>
      </c>
      <c r="J152" t="str">
        <f>TRIM(Employee_dataset[[#This Row],[Email]])</f>
        <v>alice.williams@example.com</v>
      </c>
      <c r="K152" t="str">
        <f>_xlfn.LET(
     _xlpm.p,TRIM(SUBSTITUTE(Employee_dataset[[#This Row],[Phone]],"-","")),
     IF(
        LEN(_xlpm.p)=10,_xlfn.CONCAT("("&amp;LEFT(_xlpm.p,3)&amp;") "&amp;MID(_xlpm.p,4,3)&amp;"-"&amp;RIGHT(_xlpm.p,4),"")
       )
     )</f>
        <v>(337) 389-8774</v>
      </c>
      <c r="L152" t="str">
        <f>TRIM(Employee_dataset[[#This Row],[Performance_Score]])</f>
        <v>Poor</v>
      </c>
      <c r="M152" t="str">
        <f>TRIM(Employee_dataset[[#This Row],[Remote_Work]])</f>
        <v>FALSE</v>
      </c>
    </row>
    <row r="153" spans="1:13" x14ac:dyDescent="0.3">
      <c r="A153" t="str">
        <f>TRIM(Employee_dataset[[#This Row],[Employee_ID]])</f>
        <v>EMP1151</v>
      </c>
      <c r="B153" t="str">
        <f>PROPER(TRIM(Employee_dataset[[#This Row],[First_Name]]))</f>
        <v>Heidi</v>
      </c>
      <c r="C153" t="str">
        <f>PROPER(TRIM(Employee_dataset[[#This Row],[Last_Name]]))</f>
        <v>Williams</v>
      </c>
      <c r="D153" s="6" t="str">
        <f>_xlfn.LET(
     _xlpm.a, TRIM(Employee_dataset[[#This Row],[Age]]),
     IF(
        _xlpm.a="","",
        IF(
           AND(ISNUMBER(--_xlpm.a),LEN(_xlpm.a)=2),_xlpm.a,""
          )
       )
    )</f>
        <v>35</v>
      </c>
      <c r="E153" t="str">
        <f>TRIM(_xlfn.TEXTBEFORE(Employee_dataset[[#This Row],[Department_Region]],"-"))</f>
        <v>DevOps</v>
      </c>
      <c r="F153" t="str">
        <f>TRIM(_xlfn.TEXTAFTER(Employee_dataset[[#This Row],[Department_Region]],"-"))</f>
        <v>Florida</v>
      </c>
      <c r="G153" t="str">
        <f>TRIM(Employee_dataset[[#This Row],[Status]])</f>
        <v>Active</v>
      </c>
      <c r="H153" s="1">
        <f>_xlfn.LET(
     _xlpm.d, Employee_dataset[[#This Row],[Join_Date]],
     IF(
        ISNUMBER(_xlpm.d),_xlpm.d,""
       )
    )</f>
        <v>44117</v>
      </c>
      <c r="I153" s="6">
        <f>_xlfn.LET(
     _xlpm.s, TRIM(Employee_dataset[[#This Row],[Salary]]),
     IF(
        UPPER(_xlpm.s)="N/A","",
        IF(
           ISNUMBER(--_xlpm.s),ROUND(_xlfn.NUMBERVALUE(_xlpm.s),2),""
          )
       )
    )</f>
        <v>53174.28</v>
      </c>
      <c r="J153" t="str">
        <f>TRIM(Employee_dataset[[#This Row],[Email]])</f>
        <v>heidi.williams@example.com</v>
      </c>
      <c r="K153" t="str">
        <f>_xlfn.LET(
     _xlpm.p,TRIM(SUBSTITUTE(Employee_dataset[[#This Row],[Phone]],"-","")),
     IF(
        LEN(_xlpm.p)=10,_xlfn.CONCAT("("&amp;LEFT(_xlpm.p,3)&amp;") "&amp;MID(_xlpm.p,4,3)&amp;"-"&amp;RIGHT(_xlpm.p,4),"")
       )
     )</f>
        <v>(153) 663-7779</v>
      </c>
      <c r="L153" t="str">
        <f>TRIM(Employee_dataset[[#This Row],[Performance_Score]])</f>
        <v>Average</v>
      </c>
      <c r="M153" t="str">
        <f>TRIM(Employee_dataset[[#This Row],[Remote_Work]])</f>
        <v>TRUE</v>
      </c>
    </row>
    <row r="154" spans="1:13" x14ac:dyDescent="0.3">
      <c r="A154" t="str">
        <f>TRIM(Employee_dataset[[#This Row],[Employee_ID]])</f>
        <v>EMP1152</v>
      </c>
      <c r="B154" t="str">
        <f>PROPER(TRIM(Employee_dataset[[#This Row],[First_Name]]))</f>
        <v>Heidi</v>
      </c>
      <c r="C154" t="str">
        <f>PROPER(TRIM(Employee_dataset[[#This Row],[Last_Name]]))</f>
        <v>Smith</v>
      </c>
      <c r="D154" s="6" t="str">
        <f>_xlfn.LET(
     _xlpm.a, TRIM(Employee_dataset[[#This Row],[Age]]),
     IF(
        _xlpm.a="","",
        IF(
           AND(ISNUMBER(--_xlpm.a),LEN(_xlpm.a)=2),_xlpm.a,""
          )
       )
    )</f>
        <v>25</v>
      </c>
      <c r="E154" t="str">
        <f>TRIM(_xlfn.TEXTBEFORE(Employee_dataset[[#This Row],[Department_Region]],"-"))</f>
        <v>Cloud Tech</v>
      </c>
      <c r="F154" t="str">
        <f>TRIM(_xlfn.TEXTAFTER(Employee_dataset[[#This Row],[Department_Region]],"-"))</f>
        <v>New York</v>
      </c>
      <c r="G154" t="str">
        <f>TRIM(Employee_dataset[[#This Row],[Status]])</f>
        <v>Pending</v>
      </c>
      <c r="H154" s="1">
        <f>_xlfn.LET(
     _xlpm.d, Employee_dataset[[#This Row],[Join_Date]],
     IF(
        ISNUMBER(_xlpm.d),_xlpm.d,""
       )
    )</f>
        <v>44108</v>
      </c>
      <c r="I154" s="6">
        <f>_xlfn.LET(
     _xlpm.s, TRIM(Employee_dataset[[#This Row],[Salary]]),
     IF(
        UPPER(_xlpm.s)="N/A","",
        IF(
           ISNUMBER(--_xlpm.s),ROUND(_xlfn.NUMBERVALUE(_xlpm.s),2),""
          )
       )
    )</f>
        <v>77205.210000000006</v>
      </c>
      <c r="J154" t="str">
        <f>TRIM(Employee_dataset[[#This Row],[Email]])</f>
        <v>heidi.smith@example.com</v>
      </c>
      <c r="K154" t="str">
        <f>_xlfn.LET(
     _xlpm.p,TRIM(SUBSTITUTE(Employee_dataset[[#This Row],[Phone]],"-","")),
     IF(
        LEN(_xlpm.p)=10,_xlfn.CONCAT("("&amp;LEFT(_xlpm.p,3)&amp;") "&amp;MID(_xlpm.p,4,3)&amp;"-"&amp;RIGHT(_xlpm.p,4),"")
       )
     )</f>
        <v>(529) 240-7552</v>
      </c>
      <c r="L154" t="str">
        <f>TRIM(Employee_dataset[[#This Row],[Performance_Score]])</f>
        <v>Average</v>
      </c>
      <c r="M154" t="str">
        <f>TRIM(Employee_dataset[[#This Row],[Remote_Work]])</f>
        <v>FALSE</v>
      </c>
    </row>
    <row r="155" spans="1:13" x14ac:dyDescent="0.3">
      <c r="A155" t="str">
        <f>TRIM(Employee_dataset[[#This Row],[Employee_ID]])</f>
        <v>EMP1153</v>
      </c>
      <c r="B155" t="str">
        <f>PROPER(TRIM(Employee_dataset[[#This Row],[First_Name]]))</f>
        <v>Grace</v>
      </c>
      <c r="C155" t="str">
        <f>PROPER(TRIM(Employee_dataset[[#This Row],[Last_Name]]))</f>
        <v>Williams</v>
      </c>
      <c r="D155" s="6" t="str">
        <f>_xlfn.LET(
     _xlpm.a, TRIM(Employee_dataset[[#This Row],[Age]]),
     IF(
        _xlpm.a="","",
        IF(
           AND(ISNUMBER(--_xlpm.a),LEN(_xlpm.a)=2),_xlpm.a,""
          )
       )
    )</f>
        <v/>
      </c>
      <c r="E155" t="str">
        <f>TRIM(_xlfn.TEXTBEFORE(Employee_dataset[[#This Row],[Department_Region]],"-"))</f>
        <v>DevOps</v>
      </c>
      <c r="F155" t="str">
        <f>TRIM(_xlfn.TEXTAFTER(Employee_dataset[[#This Row],[Department_Region]],"-"))</f>
        <v>Nevada</v>
      </c>
      <c r="G155" t="str">
        <f>TRIM(Employee_dataset[[#This Row],[Status]])</f>
        <v>Active</v>
      </c>
      <c r="H155" s="1">
        <f>_xlfn.LET(
     _xlpm.d, Employee_dataset[[#This Row],[Join_Date]],
     IF(
        ISNUMBER(_xlpm.d),_xlpm.d,""
       )
    )</f>
        <v>45644</v>
      </c>
      <c r="I155" s="6">
        <f>_xlfn.LET(
     _xlpm.s, TRIM(Employee_dataset[[#This Row],[Salary]]),
     IF(
        UPPER(_xlpm.s)="N/A","",
        IF(
           ISNUMBER(--_xlpm.s),ROUND(_xlfn.NUMBERVALUE(_xlpm.s),2),""
          )
       )
    )</f>
        <v>79041.919999999998</v>
      </c>
      <c r="J155" t="str">
        <f>TRIM(Employee_dataset[[#This Row],[Email]])</f>
        <v>grace.williams@example.com</v>
      </c>
      <c r="K155" t="str">
        <f>_xlfn.LET(
     _xlpm.p,TRIM(SUBSTITUTE(Employee_dataset[[#This Row],[Phone]],"-","")),
     IF(
        LEN(_xlpm.p)=10,_xlfn.CONCAT("("&amp;LEFT(_xlpm.p,3)&amp;") "&amp;MID(_xlpm.p,4,3)&amp;"-"&amp;RIGHT(_xlpm.p,4),"")
       )
     )</f>
        <v>(666) 845-9089</v>
      </c>
      <c r="L155" t="str">
        <f>TRIM(Employee_dataset[[#This Row],[Performance_Score]])</f>
        <v>Average</v>
      </c>
      <c r="M155" t="str">
        <f>TRIM(Employee_dataset[[#This Row],[Remote_Work]])</f>
        <v>TRUE</v>
      </c>
    </row>
    <row r="156" spans="1:13" x14ac:dyDescent="0.3">
      <c r="A156" t="str">
        <f>TRIM(Employee_dataset[[#This Row],[Employee_ID]])</f>
        <v>EMP1154</v>
      </c>
      <c r="B156" t="str">
        <f>PROPER(TRIM(Employee_dataset[[#This Row],[First_Name]]))</f>
        <v>Heidi</v>
      </c>
      <c r="C156" t="str">
        <f>PROPER(TRIM(Employee_dataset[[#This Row],[Last_Name]]))</f>
        <v>Jones</v>
      </c>
      <c r="D156" s="6" t="str">
        <f>_xlfn.LET(
     _xlpm.a, TRIM(Employee_dataset[[#This Row],[Age]]),
     IF(
        _xlpm.a="","",
        IF(
           AND(ISNUMBER(--_xlpm.a),LEN(_xlpm.a)=2),_xlpm.a,""
          )
       )
    )</f>
        <v/>
      </c>
      <c r="E156" t="str">
        <f>TRIM(_xlfn.TEXTBEFORE(Employee_dataset[[#This Row],[Department_Region]],"-"))</f>
        <v>Finance</v>
      </c>
      <c r="F156" t="str">
        <f>TRIM(_xlfn.TEXTAFTER(Employee_dataset[[#This Row],[Department_Region]],"-"))</f>
        <v>California</v>
      </c>
      <c r="G156" t="str">
        <f>TRIM(Employee_dataset[[#This Row],[Status]])</f>
        <v>Active</v>
      </c>
      <c r="H156" s="1">
        <f>_xlfn.LET(
     _xlpm.d, Employee_dataset[[#This Row],[Join_Date]],
     IF(
        ISNUMBER(_xlpm.d),_xlpm.d,""
       )
    )</f>
        <v>45244</v>
      </c>
      <c r="I156" s="6">
        <f>_xlfn.LET(
     _xlpm.s, TRIM(Employee_dataset[[#This Row],[Salary]]),
     IF(
        UPPER(_xlpm.s)="N/A","",
        IF(
           ISNUMBER(--_xlpm.s),ROUND(_xlfn.NUMBERVALUE(_xlpm.s),2),""
          )
       )
    )</f>
        <v>75937.100000000006</v>
      </c>
      <c r="J156" t="str">
        <f>TRIM(Employee_dataset[[#This Row],[Email]])</f>
        <v>heidi.jones@example.com</v>
      </c>
      <c r="K156" t="str">
        <f>_xlfn.LET(
     _xlpm.p,TRIM(SUBSTITUTE(Employee_dataset[[#This Row],[Phone]],"-","")),
     IF(
        LEN(_xlpm.p)=10,_xlfn.CONCAT("("&amp;LEFT(_xlpm.p,3)&amp;") "&amp;MID(_xlpm.p,4,3)&amp;"-"&amp;RIGHT(_xlpm.p,4),"")
       )
     )</f>
        <v>(225) 999-9662</v>
      </c>
      <c r="L156" t="str">
        <f>TRIM(Employee_dataset[[#This Row],[Performance_Score]])</f>
        <v>Excellent</v>
      </c>
      <c r="M156" t="str">
        <f>TRIM(Employee_dataset[[#This Row],[Remote_Work]])</f>
        <v>TRUE</v>
      </c>
    </row>
    <row r="157" spans="1:13" x14ac:dyDescent="0.3">
      <c r="A157" t="str">
        <f>TRIM(Employee_dataset[[#This Row],[Employee_ID]])</f>
        <v>EMP1155</v>
      </c>
      <c r="B157" t="str">
        <f>PROPER(TRIM(Employee_dataset[[#This Row],[First_Name]]))</f>
        <v>David</v>
      </c>
      <c r="C157" t="str">
        <f>PROPER(TRIM(Employee_dataset[[#This Row],[Last_Name]]))</f>
        <v>Johnson</v>
      </c>
      <c r="D157" s="6" t="str">
        <f>_xlfn.LET(
     _xlpm.a, TRIM(Employee_dataset[[#This Row],[Age]]),
     IF(
        _xlpm.a="","",
        IF(
           AND(ISNUMBER(--_xlpm.a),LEN(_xlpm.a)=2),_xlpm.a,""
          )
       )
    )</f>
        <v>35</v>
      </c>
      <c r="E157" t="str">
        <f>TRIM(_xlfn.TEXTBEFORE(Employee_dataset[[#This Row],[Department_Region]],"-"))</f>
        <v>Cloud Tech</v>
      </c>
      <c r="F157" t="str">
        <f>TRIM(_xlfn.TEXTAFTER(Employee_dataset[[#This Row],[Department_Region]],"-"))</f>
        <v>Nevada</v>
      </c>
      <c r="G157" t="str">
        <f>TRIM(Employee_dataset[[#This Row],[Status]])</f>
        <v>Inactive</v>
      </c>
      <c r="H157" s="1">
        <f>_xlfn.LET(
     _xlpm.d, Employee_dataset[[#This Row],[Join_Date]],
     IF(
        ISNUMBER(_xlpm.d),_xlpm.d,""
       )
    )</f>
        <v>44946</v>
      </c>
      <c r="I157" s="6">
        <f>_xlfn.LET(
     _xlpm.s, TRIM(Employee_dataset[[#This Row],[Salary]]),
     IF(
        UPPER(_xlpm.s)="N/A","",
        IF(
           ISNUMBER(--_xlpm.s),ROUND(_xlfn.NUMBERVALUE(_xlpm.s),2),""
          )
       )
    )</f>
        <v>113118.73</v>
      </c>
      <c r="J157" t="str">
        <f>TRIM(Employee_dataset[[#This Row],[Email]])</f>
        <v>david.johnson@example.com</v>
      </c>
      <c r="K157" t="str">
        <f>_xlfn.LET(
     _xlpm.p,TRIM(SUBSTITUTE(Employee_dataset[[#This Row],[Phone]],"-","")),
     IF(
        LEN(_xlpm.p)=10,_xlfn.CONCAT("("&amp;LEFT(_xlpm.p,3)&amp;") "&amp;MID(_xlpm.p,4,3)&amp;"-"&amp;RIGHT(_xlpm.p,4),"")
       )
     )</f>
        <v>(618) 637-1596</v>
      </c>
      <c r="L157" t="str">
        <f>TRIM(Employee_dataset[[#This Row],[Performance_Score]])</f>
        <v>Average</v>
      </c>
      <c r="M157" t="str">
        <f>TRIM(Employee_dataset[[#This Row],[Remote_Work]])</f>
        <v>FALSE</v>
      </c>
    </row>
    <row r="158" spans="1:13" x14ac:dyDescent="0.3">
      <c r="A158" t="str">
        <f>TRIM(Employee_dataset[[#This Row],[Employee_ID]])</f>
        <v>EMP1156</v>
      </c>
      <c r="B158" t="str">
        <f>PROPER(TRIM(Employee_dataset[[#This Row],[First_Name]]))</f>
        <v>Alice</v>
      </c>
      <c r="C158" t="str">
        <f>PROPER(TRIM(Employee_dataset[[#This Row],[Last_Name]]))</f>
        <v>Davis</v>
      </c>
      <c r="D158" s="6" t="str">
        <f>_xlfn.LET(
     _xlpm.a, TRIM(Employee_dataset[[#This Row],[Age]]),
     IF(
        _xlpm.a="","",
        IF(
           AND(ISNUMBER(--_xlpm.a),LEN(_xlpm.a)=2),_xlpm.a,""
          )
       )
    )</f>
        <v>40</v>
      </c>
      <c r="E158" t="str">
        <f>TRIM(_xlfn.TEXTBEFORE(Employee_dataset[[#This Row],[Department_Region]],"-"))</f>
        <v>HR</v>
      </c>
      <c r="F158" t="str">
        <f>TRIM(_xlfn.TEXTAFTER(Employee_dataset[[#This Row],[Department_Region]],"-"))</f>
        <v>New York</v>
      </c>
      <c r="G158" t="str">
        <f>TRIM(Employee_dataset[[#This Row],[Status]])</f>
        <v>Active</v>
      </c>
      <c r="H158" s="1">
        <f>_xlfn.LET(
     _xlpm.d, Employee_dataset[[#This Row],[Join_Date]],
     IF(
        ISNUMBER(_xlpm.d),_xlpm.d,""
       )
    )</f>
        <v>45567</v>
      </c>
      <c r="I158" s="6">
        <f>_xlfn.LET(
     _xlpm.s, TRIM(Employee_dataset[[#This Row],[Salary]]),
     IF(
        UPPER(_xlpm.s)="N/A","",
        IF(
           ISNUMBER(--_xlpm.s),ROUND(_xlfn.NUMBERVALUE(_xlpm.s),2),""
          )
       )
    )</f>
        <v>107693.38</v>
      </c>
      <c r="J158" t="str">
        <f>TRIM(Employee_dataset[[#This Row],[Email]])</f>
        <v>alice.davis@example.com</v>
      </c>
      <c r="K158" t="str">
        <f>_xlfn.LET(
     _xlpm.p,TRIM(SUBSTITUTE(Employee_dataset[[#This Row],[Phone]],"-","")),
     IF(
        LEN(_xlpm.p)=10,_xlfn.CONCAT("("&amp;LEFT(_xlpm.p,3)&amp;") "&amp;MID(_xlpm.p,4,3)&amp;"-"&amp;RIGHT(_xlpm.p,4),"")
       )
     )</f>
        <v>(412) 182-0969</v>
      </c>
      <c r="L158" t="str">
        <f>TRIM(Employee_dataset[[#This Row],[Performance_Score]])</f>
        <v>Average</v>
      </c>
      <c r="M158" t="str">
        <f>TRIM(Employee_dataset[[#This Row],[Remote_Work]])</f>
        <v>TRUE</v>
      </c>
    </row>
    <row r="159" spans="1:13" x14ac:dyDescent="0.3">
      <c r="A159" t="str">
        <f>TRIM(Employee_dataset[[#This Row],[Employee_ID]])</f>
        <v>EMP1157</v>
      </c>
      <c r="B159" t="str">
        <f>PROPER(TRIM(Employee_dataset[[#This Row],[First_Name]]))</f>
        <v>David</v>
      </c>
      <c r="C159" t="str">
        <f>PROPER(TRIM(Employee_dataset[[#This Row],[Last_Name]]))</f>
        <v>Johnson</v>
      </c>
      <c r="D159" s="6" t="str">
        <f>_xlfn.LET(
     _xlpm.a, TRIM(Employee_dataset[[#This Row],[Age]]),
     IF(
        _xlpm.a="","",
        IF(
           AND(ISNUMBER(--_xlpm.a),LEN(_xlpm.a)=2),_xlpm.a,""
          )
       )
    )</f>
        <v/>
      </c>
      <c r="E159" t="str">
        <f>TRIM(_xlfn.TEXTBEFORE(Employee_dataset[[#This Row],[Department_Region]],"-"))</f>
        <v>Cloud Tech</v>
      </c>
      <c r="F159" t="str">
        <f>TRIM(_xlfn.TEXTAFTER(Employee_dataset[[#This Row],[Department_Region]],"-"))</f>
        <v>Texas</v>
      </c>
      <c r="G159" t="str">
        <f>TRIM(Employee_dataset[[#This Row],[Status]])</f>
        <v>Inactive</v>
      </c>
      <c r="H159" s="1">
        <f>_xlfn.LET(
     _xlpm.d, Employee_dataset[[#This Row],[Join_Date]],
     IF(
        ISNUMBER(_xlpm.d),_xlpm.d,""
       )
    )</f>
        <v>44329</v>
      </c>
      <c r="I159" s="6">
        <f>_xlfn.LET(
     _xlpm.s, TRIM(Employee_dataset[[#This Row],[Salary]]),
     IF(
        UPPER(_xlpm.s)="N/A","",
        IF(
           ISNUMBER(--_xlpm.s),ROUND(_xlfn.NUMBERVALUE(_xlpm.s),2),""
          )
       )
    )</f>
        <v>119217.46</v>
      </c>
      <c r="J159" t="str">
        <f>TRIM(Employee_dataset[[#This Row],[Email]])</f>
        <v>david.johnson@example.com</v>
      </c>
      <c r="K159" t="str">
        <f>_xlfn.LET(
     _xlpm.p,TRIM(SUBSTITUTE(Employee_dataset[[#This Row],[Phone]],"-","")),
     IF(
        LEN(_xlpm.p)=10,_xlfn.CONCAT("("&amp;LEFT(_xlpm.p,3)&amp;") "&amp;MID(_xlpm.p,4,3)&amp;"-"&amp;RIGHT(_xlpm.p,4),"")
       )
     )</f>
        <v>(231) 643-3480</v>
      </c>
      <c r="L159" t="str">
        <f>TRIM(Employee_dataset[[#This Row],[Performance_Score]])</f>
        <v>Poor</v>
      </c>
      <c r="M159" t="str">
        <f>TRIM(Employee_dataset[[#This Row],[Remote_Work]])</f>
        <v>FALSE</v>
      </c>
    </row>
    <row r="160" spans="1:13" x14ac:dyDescent="0.3">
      <c r="A160" t="str">
        <f>TRIM(Employee_dataset[[#This Row],[Employee_ID]])</f>
        <v>EMP1158</v>
      </c>
      <c r="B160" t="str">
        <f>PROPER(TRIM(Employee_dataset[[#This Row],[First_Name]]))</f>
        <v>David</v>
      </c>
      <c r="C160" t="str">
        <f>PROPER(TRIM(Employee_dataset[[#This Row],[Last_Name]]))</f>
        <v>Smith</v>
      </c>
      <c r="D160" s="6" t="str">
        <f>_xlfn.LET(
     _xlpm.a, TRIM(Employee_dataset[[#This Row],[Age]]),
     IF(
        _xlpm.a="","",
        IF(
           AND(ISNUMBER(--_xlpm.a),LEN(_xlpm.a)=2),_xlpm.a,""
          )
       )
    )</f>
        <v>25</v>
      </c>
      <c r="E160" t="str">
        <f>TRIM(_xlfn.TEXTBEFORE(Employee_dataset[[#This Row],[Department_Region]],"-"))</f>
        <v>Sales</v>
      </c>
      <c r="F160" t="str">
        <f>TRIM(_xlfn.TEXTAFTER(Employee_dataset[[#This Row],[Department_Region]],"-"))</f>
        <v>New York</v>
      </c>
      <c r="G160" t="str">
        <f>TRIM(Employee_dataset[[#This Row],[Status]])</f>
        <v>Pending</v>
      </c>
      <c r="H160" s="1">
        <f>_xlfn.LET(
     _xlpm.d, Employee_dataset[[#This Row],[Join_Date]],
     IF(
        ISNUMBER(_xlpm.d),_xlpm.d,""
       )
    )</f>
        <v>44273</v>
      </c>
      <c r="I160" s="6">
        <f>_xlfn.LET(
     _xlpm.s, TRIM(Employee_dataset[[#This Row],[Salary]]),
     IF(
        UPPER(_xlpm.s)="N/A","",
        IF(
           ISNUMBER(--_xlpm.s),ROUND(_xlfn.NUMBERVALUE(_xlpm.s),2),""
          )
       )
    )</f>
        <v>106913.71</v>
      </c>
      <c r="J160" t="str">
        <f>TRIM(Employee_dataset[[#This Row],[Email]])</f>
        <v>david.smith@example.com</v>
      </c>
      <c r="K160" t="str">
        <f>_xlfn.LET(
     _xlpm.p,TRIM(SUBSTITUTE(Employee_dataset[[#This Row],[Phone]],"-","")),
     IF(
        LEN(_xlpm.p)=10,_xlfn.CONCAT("("&amp;LEFT(_xlpm.p,3)&amp;") "&amp;MID(_xlpm.p,4,3)&amp;"-"&amp;RIGHT(_xlpm.p,4),"")
       )
     )</f>
        <v>(705) 802-5661</v>
      </c>
      <c r="L160" t="str">
        <f>TRIM(Employee_dataset[[#This Row],[Performance_Score]])</f>
        <v>Average</v>
      </c>
      <c r="M160" t="str">
        <f>TRIM(Employee_dataset[[#This Row],[Remote_Work]])</f>
        <v>FALSE</v>
      </c>
    </row>
    <row r="161" spans="1:13" x14ac:dyDescent="0.3">
      <c r="A161" t="str">
        <f>TRIM(Employee_dataset[[#This Row],[Employee_ID]])</f>
        <v>EMP1159</v>
      </c>
      <c r="B161" t="str">
        <f>PROPER(TRIM(Employee_dataset[[#This Row],[First_Name]]))</f>
        <v>Charlie</v>
      </c>
      <c r="C161" t="str">
        <f>PROPER(TRIM(Employee_dataset[[#This Row],[Last_Name]]))</f>
        <v>Brown</v>
      </c>
      <c r="D161" s="6" t="str">
        <f>_xlfn.LET(
     _xlpm.a, TRIM(Employee_dataset[[#This Row],[Age]]),
     IF(
        _xlpm.a="","",
        IF(
           AND(ISNUMBER(--_xlpm.a),LEN(_xlpm.a)=2),_xlpm.a,""
          )
       )
    )</f>
        <v/>
      </c>
      <c r="E161" t="str">
        <f>TRIM(_xlfn.TEXTBEFORE(Employee_dataset[[#This Row],[Department_Region]],"-"))</f>
        <v>Cloud Tech</v>
      </c>
      <c r="F161" t="str">
        <f>TRIM(_xlfn.TEXTAFTER(Employee_dataset[[#This Row],[Department_Region]],"-"))</f>
        <v>California</v>
      </c>
      <c r="G161" t="str">
        <f>TRIM(Employee_dataset[[#This Row],[Status]])</f>
        <v>Active</v>
      </c>
      <c r="H161" s="1">
        <f>_xlfn.LET(
     _xlpm.d, Employee_dataset[[#This Row],[Join_Date]],
     IF(
        ISNUMBER(_xlpm.d),_xlpm.d,""
       )
    )</f>
        <v>44097</v>
      </c>
      <c r="I161" s="6">
        <f>_xlfn.LET(
     _xlpm.s, TRIM(Employee_dataset[[#This Row],[Salary]]),
     IF(
        UPPER(_xlpm.s)="N/A","",
        IF(
           ISNUMBER(--_xlpm.s),ROUND(_xlfn.NUMBERVALUE(_xlpm.s),2),""
          )
       )
    )</f>
        <v>87815.08</v>
      </c>
      <c r="J161" t="str">
        <f>TRIM(Employee_dataset[[#This Row],[Email]])</f>
        <v>charlie.brown@example.com</v>
      </c>
      <c r="K161" t="str">
        <f>_xlfn.LET(
     _xlpm.p,TRIM(SUBSTITUTE(Employee_dataset[[#This Row],[Phone]],"-","")),
     IF(
        LEN(_xlpm.p)=10,_xlfn.CONCAT("("&amp;LEFT(_xlpm.p,3)&amp;") "&amp;MID(_xlpm.p,4,3)&amp;"-"&amp;RIGHT(_xlpm.p,4),"")
       )
     )</f>
        <v>(128) 671-6322</v>
      </c>
      <c r="L161" t="str">
        <f>TRIM(Employee_dataset[[#This Row],[Performance_Score]])</f>
        <v>Average</v>
      </c>
      <c r="M161" t="str">
        <f>TRIM(Employee_dataset[[#This Row],[Remote_Work]])</f>
        <v>TRUE</v>
      </c>
    </row>
    <row r="162" spans="1:13" x14ac:dyDescent="0.3">
      <c r="A162" t="str">
        <f>TRIM(Employee_dataset[[#This Row],[Employee_ID]])</f>
        <v>EMP1160</v>
      </c>
      <c r="B162" t="str">
        <f>PROPER(TRIM(Employee_dataset[[#This Row],[First_Name]]))</f>
        <v>Bob</v>
      </c>
      <c r="C162" t="str">
        <f>PROPER(TRIM(Employee_dataset[[#This Row],[Last_Name]]))</f>
        <v>Davis</v>
      </c>
      <c r="D162" s="6" t="str">
        <f>_xlfn.LET(
     _xlpm.a, TRIM(Employee_dataset[[#This Row],[Age]]),
     IF(
        _xlpm.a="","",
        IF(
           AND(ISNUMBER(--_xlpm.a),LEN(_xlpm.a)=2),_xlpm.a,""
          )
       )
    )</f>
        <v>25</v>
      </c>
      <c r="E162" t="str">
        <f>TRIM(_xlfn.TEXTBEFORE(Employee_dataset[[#This Row],[Department_Region]],"-"))</f>
        <v>Admin</v>
      </c>
      <c r="F162" t="str">
        <f>TRIM(_xlfn.TEXTAFTER(Employee_dataset[[#This Row],[Department_Region]],"-"))</f>
        <v>Texas</v>
      </c>
      <c r="G162" t="str">
        <f>TRIM(Employee_dataset[[#This Row],[Status]])</f>
        <v>Inactive</v>
      </c>
      <c r="H162" s="1">
        <f>_xlfn.LET(
     _xlpm.d, Employee_dataset[[#This Row],[Join_Date]],
     IF(
        ISNUMBER(_xlpm.d),_xlpm.d,""
       )
    )</f>
        <v>45448</v>
      </c>
      <c r="I162" s="6">
        <f>_xlfn.LET(
     _xlpm.s, TRIM(Employee_dataset[[#This Row],[Salary]]),
     IF(
        UPPER(_xlpm.s)="N/A","",
        IF(
           ISNUMBER(--_xlpm.s),ROUND(_xlfn.NUMBERVALUE(_xlpm.s),2),""
          )
       )
    )</f>
        <v>105190.21</v>
      </c>
      <c r="J162" t="str">
        <f>TRIM(Employee_dataset[[#This Row],[Email]])</f>
        <v>bob.davis@example.com</v>
      </c>
      <c r="K162" t="str">
        <f>_xlfn.LET(
     _xlpm.p,TRIM(SUBSTITUTE(Employee_dataset[[#This Row],[Phone]],"-","")),
     IF(
        LEN(_xlpm.p)=10,_xlfn.CONCAT("("&amp;LEFT(_xlpm.p,3)&amp;") "&amp;MID(_xlpm.p,4,3)&amp;"-"&amp;RIGHT(_xlpm.p,4),"")
       )
     )</f>
        <v>(467) 299-4937</v>
      </c>
      <c r="L162" t="str">
        <f>TRIM(Employee_dataset[[#This Row],[Performance_Score]])</f>
        <v>Good</v>
      </c>
      <c r="M162" t="str">
        <f>TRIM(Employee_dataset[[#This Row],[Remote_Work]])</f>
        <v>TRUE</v>
      </c>
    </row>
    <row r="163" spans="1:13" x14ac:dyDescent="0.3">
      <c r="A163" t="str">
        <f>TRIM(Employee_dataset[[#This Row],[Employee_ID]])</f>
        <v>EMP1161</v>
      </c>
      <c r="B163" t="str">
        <f>PROPER(TRIM(Employee_dataset[[#This Row],[First_Name]]))</f>
        <v>Alice</v>
      </c>
      <c r="C163" t="str">
        <f>PROPER(TRIM(Employee_dataset[[#This Row],[Last_Name]]))</f>
        <v>Smith</v>
      </c>
      <c r="D163" s="6" t="str">
        <f>_xlfn.LET(
     _xlpm.a, TRIM(Employee_dataset[[#This Row],[Age]]),
     IF(
        _xlpm.a="","",
        IF(
           AND(ISNUMBER(--_xlpm.a),LEN(_xlpm.a)=2),_xlpm.a,""
          )
       )
    )</f>
        <v>30</v>
      </c>
      <c r="E163" t="str">
        <f>TRIM(_xlfn.TEXTBEFORE(Employee_dataset[[#This Row],[Department_Region]],"-"))</f>
        <v>HR</v>
      </c>
      <c r="F163" t="str">
        <f>TRIM(_xlfn.TEXTAFTER(Employee_dataset[[#This Row],[Department_Region]],"-"))</f>
        <v>Texas</v>
      </c>
      <c r="G163" t="str">
        <f>TRIM(Employee_dataset[[#This Row],[Status]])</f>
        <v>Active</v>
      </c>
      <c r="H163" s="1">
        <f>_xlfn.LET(
     _xlpm.d, Employee_dataset[[#This Row],[Join_Date]],
     IF(
        ISNUMBER(_xlpm.d),_xlpm.d,""
       )
    )</f>
        <v>45350</v>
      </c>
      <c r="I163" s="6">
        <f>_xlfn.LET(
     _xlpm.s, TRIM(Employee_dataset[[#This Row],[Salary]]),
     IF(
        UPPER(_xlpm.s)="N/A","",
        IF(
           ISNUMBER(--_xlpm.s),ROUND(_xlfn.NUMBERVALUE(_xlpm.s),2),""
          )
       )
    )</f>
        <v>79467.240000000005</v>
      </c>
      <c r="J163" t="str">
        <f>TRIM(Employee_dataset[[#This Row],[Email]])</f>
        <v>alice.smith@example.com</v>
      </c>
      <c r="K163" t="str">
        <f>_xlfn.LET(
     _xlpm.p,TRIM(SUBSTITUTE(Employee_dataset[[#This Row],[Phone]],"-","")),
     IF(
        LEN(_xlpm.p)=10,_xlfn.CONCAT("("&amp;LEFT(_xlpm.p,3)&amp;") "&amp;MID(_xlpm.p,4,3)&amp;"-"&amp;RIGHT(_xlpm.p,4),"")
       )
     )</f>
        <v>(743) 027-1692</v>
      </c>
      <c r="L163" t="str">
        <f>TRIM(Employee_dataset[[#This Row],[Performance_Score]])</f>
        <v>Poor</v>
      </c>
      <c r="M163" t="str">
        <f>TRIM(Employee_dataset[[#This Row],[Remote_Work]])</f>
        <v>FALSE</v>
      </c>
    </row>
    <row r="164" spans="1:13" x14ac:dyDescent="0.3">
      <c r="A164" t="str">
        <f>TRIM(Employee_dataset[[#This Row],[Employee_ID]])</f>
        <v>EMP1162</v>
      </c>
      <c r="B164" t="str">
        <f>PROPER(TRIM(Employee_dataset[[#This Row],[First_Name]]))</f>
        <v>Bob</v>
      </c>
      <c r="C164" t="str">
        <f>PROPER(TRIM(Employee_dataset[[#This Row],[Last_Name]]))</f>
        <v>Garcia</v>
      </c>
      <c r="D164" s="6" t="str">
        <f>_xlfn.LET(
     _xlpm.a, TRIM(Employee_dataset[[#This Row],[Age]]),
     IF(
        _xlpm.a="","",
        IF(
           AND(ISNUMBER(--_xlpm.a),LEN(_xlpm.a)=2),_xlpm.a,""
          )
       )
    )</f>
        <v>40</v>
      </c>
      <c r="E164" t="str">
        <f>TRIM(_xlfn.TEXTBEFORE(Employee_dataset[[#This Row],[Department_Region]],"-"))</f>
        <v>Finance</v>
      </c>
      <c r="F164" t="str">
        <f>TRIM(_xlfn.TEXTAFTER(Employee_dataset[[#This Row],[Department_Region]],"-"))</f>
        <v>California</v>
      </c>
      <c r="G164" t="str">
        <f>TRIM(Employee_dataset[[#This Row],[Status]])</f>
        <v>Pending</v>
      </c>
      <c r="H164" s="1">
        <f>_xlfn.LET(
     _xlpm.d, Employee_dataset[[#This Row],[Join_Date]],
     IF(
        ISNUMBER(_xlpm.d),_xlpm.d,""
       )
    )</f>
        <v>45046</v>
      </c>
      <c r="I164" s="6">
        <f>_xlfn.LET(
     _xlpm.s, TRIM(Employee_dataset[[#This Row],[Salary]]),
     IF(
        UPPER(_xlpm.s)="N/A","",
        IF(
           ISNUMBER(--_xlpm.s),ROUND(_xlfn.NUMBERVALUE(_xlpm.s),2),""
          )
       )
    )</f>
        <v>57633.78</v>
      </c>
      <c r="J164" t="str">
        <f>TRIM(Employee_dataset[[#This Row],[Email]])</f>
        <v>bob.garcia@example.com</v>
      </c>
      <c r="K164" t="str">
        <f>_xlfn.LET(
     _xlpm.p,TRIM(SUBSTITUTE(Employee_dataset[[#This Row],[Phone]],"-","")),
     IF(
        LEN(_xlpm.p)=10,_xlfn.CONCAT("("&amp;LEFT(_xlpm.p,3)&amp;") "&amp;MID(_xlpm.p,4,3)&amp;"-"&amp;RIGHT(_xlpm.p,4),"")
       )
     )</f>
        <v>(859) 777-9013</v>
      </c>
      <c r="L164" t="str">
        <f>TRIM(Employee_dataset[[#This Row],[Performance_Score]])</f>
        <v>Poor</v>
      </c>
      <c r="M164" t="str">
        <f>TRIM(Employee_dataset[[#This Row],[Remote_Work]])</f>
        <v>TRUE</v>
      </c>
    </row>
    <row r="165" spans="1:13" x14ac:dyDescent="0.3">
      <c r="A165" t="str">
        <f>TRIM(Employee_dataset[[#This Row],[Employee_ID]])</f>
        <v>EMP1163</v>
      </c>
      <c r="B165" t="str">
        <f>PROPER(TRIM(Employee_dataset[[#This Row],[First_Name]]))</f>
        <v>Alice</v>
      </c>
      <c r="C165" t="str">
        <f>PROPER(TRIM(Employee_dataset[[#This Row],[Last_Name]]))</f>
        <v>Brown</v>
      </c>
      <c r="D165" s="6" t="str">
        <f>_xlfn.LET(
     _xlpm.a, TRIM(Employee_dataset[[#This Row],[Age]]),
     IF(
        _xlpm.a="","",
        IF(
           AND(ISNUMBER(--_xlpm.a),LEN(_xlpm.a)=2),_xlpm.a,""
          )
       )
    )</f>
        <v/>
      </c>
      <c r="E165" t="str">
        <f>TRIM(_xlfn.TEXTBEFORE(Employee_dataset[[#This Row],[Department_Region]],"-"))</f>
        <v>HR</v>
      </c>
      <c r="F165" t="str">
        <f>TRIM(_xlfn.TEXTAFTER(Employee_dataset[[#This Row],[Department_Region]],"-"))</f>
        <v>Florida</v>
      </c>
      <c r="G165" t="str">
        <f>TRIM(Employee_dataset[[#This Row],[Status]])</f>
        <v>Pending</v>
      </c>
      <c r="H165" s="1">
        <f>_xlfn.LET(
     _xlpm.d, Employee_dataset[[#This Row],[Join_Date]],
     IF(
        ISNUMBER(_xlpm.d),_xlpm.d,""
       )
    )</f>
        <v>43894</v>
      </c>
      <c r="I165" s="6">
        <f>_xlfn.LET(
     _xlpm.s, TRIM(Employee_dataset[[#This Row],[Salary]]),
     IF(
        UPPER(_xlpm.s)="N/A","",
        IF(
           ISNUMBER(--_xlpm.s),ROUND(_xlfn.NUMBERVALUE(_xlpm.s),2),""
          )
       )
    )</f>
        <v>54257.78</v>
      </c>
      <c r="J165" t="str">
        <f>TRIM(Employee_dataset[[#This Row],[Email]])</f>
        <v>alice.brown@example.com</v>
      </c>
      <c r="K165" t="str">
        <f>_xlfn.LET(
     _xlpm.p,TRIM(SUBSTITUTE(Employee_dataset[[#This Row],[Phone]],"-","")),
     IF(
        LEN(_xlpm.p)=10,_xlfn.CONCAT("("&amp;LEFT(_xlpm.p,3)&amp;") "&amp;MID(_xlpm.p,4,3)&amp;"-"&amp;RIGHT(_xlpm.p,4),"")
       )
     )</f>
        <v>(754) 692-6328</v>
      </c>
      <c r="L165" t="str">
        <f>TRIM(Employee_dataset[[#This Row],[Performance_Score]])</f>
        <v>Poor</v>
      </c>
      <c r="M165" t="str">
        <f>TRIM(Employee_dataset[[#This Row],[Remote_Work]])</f>
        <v>TRUE</v>
      </c>
    </row>
    <row r="166" spans="1:13" x14ac:dyDescent="0.3">
      <c r="A166" t="str">
        <f>TRIM(Employee_dataset[[#This Row],[Employee_ID]])</f>
        <v>EMP1164</v>
      </c>
      <c r="B166" t="str">
        <f>PROPER(TRIM(Employee_dataset[[#This Row],[First_Name]]))</f>
        <v>Grace</v>
      </c>
      <c r="C166" t="str">
        <f>PROPER(TRIM(Employee_dataset[[#This Row],[Last_Name]]))</f>
        <v>Johnson</v>
      </c>
      <c r="D166" s="6" t="str">
        <f>_xlfn.LET(
     _xlpm.a, TRIM(Employee_dataset[[#This Row],[Age]]),
     IF(
        _xlpm.a="","",
        IF(
           AND(ISNUMBER(--_xlpm.a),LEN(_xlpm.a)=2),_xlpm.a,""
          )
       )
    )</f>
        <v>40</v>
      </c>
      <c r="E166" t="str">
        <f>TRIM(_xlfn.TEXTBEFORE(Employee_dataset[[#This Row],[Department_Region]],"-"))</f>
        <v>DevOps</v>
      </c>
      <c r="F166" t="str">
        <f>TRIM(_xlfn.TEXTAFTER(Employee_dataset[[#This Row],[Department_Region]],"-"))</f>
        <v>Texas</v>
      </c>
      <c r="G166" t="str">
        <f>TRIM(Employee_dataset[[#This Row],[Status]])</f>
        <v>Inactive</v>
      </c>
      <c r="H166" s="1">
        <f>_xlfn.LET(
     _xlpm.d, Employee_dataset[[#This Row],[Join_Date]],
     IF(
        ISNUMBER(_xlpm.d),_xlpm.d,""
       )
    )</f>
        <v>45289</v>
      </c>
      <c r="I166" s="6">
        <f>_xlfn.LET(
     _xlpm.s, TRIM(Employee_dataset[[#This Row],[Salary]]),
     IF(
        UPPER(_xlpm.s)="N/A","",
        IF(
           ISNUMBER(--_xlpm.s),ROUND(_xlfn.NUMBERVALUE(_xlpm.s),2),""
          )
       )
    )</f>
        <v>113679.06</v>
      </c>
      <c r="J166" t="str">
        <f>TRIM(Employee_dataset[[#This Row],[Email]])</f>
        <v>grace.johnson@example.com</v>
      </c>
      <c r="K166" t="str">
        <f>_xlfn.LET(
     _xlpm.p,TRIM(SUBSTITUTE(Employee_dataset[[#This Row],[Phone]],"-","")),
     IF(
        LEN(_xlpm.p)=10,_xlfn.CONCAT("("&amp;LEFT(_xlpm.p,3)&amp;") "&amp;MID(_xlpm.p,4,3)&amp;"-"&amp;RIGHT(_xlpm.p,4),"")
       )
     )</f>
        <v>(676) 291-6031</v>
      </c>
      <c r="L166" t="str">
        <f>TRIM(Employee_dataset[[#This Row],[Performance_Score]])</f>
        <v>Poor</v>
      </c>
      <c r="M166" t="str">
        <f>TRIM(Employee_dataset[[#This Row],[Remote_Work]])</f>
        <v>TRUE</v>
      </c>
    </row>
    <row r="167" spans="1:13" x14ac:dyDescent="0.3">
      <c r="A167" t="str">
        <f>TRIM(Employee_dataset[[#This Row],[Employee_ID]])</f>
        <v>EMP1165</v>
      </c>
      <c r="B167" t="str">
        <f>PROPER(TRIM(Employee_dataset[[#This Row],[First_Name]]))</f>
        <v>Bob</v>
      </c>
      <c r="C167" t="str">
        <f>PROPER(TRIM(Employee_dataset[[#This Row],[Last_Name]]))</f>
        <v>Smith</v>
      </c>
      <c r="D167" s="6" t="str">
        <f>_xlfn.LET(
     _xlpm.a, TRIM(Employee_dataset[[#This Row],[Age]]),
     IF(
        _xlpm.a="","",
        IF(
           AND(ISNUMBER(--_xlpm.a),LEN(_xlpm.a)=2),_xlpm.a,""
          )
       )
    )</f>
        <v>35</v>
      </c>
      <c r="E167" t="str">
        <f>TRIM(_xlfn.TEXTBEFORE(Employee_dataset[[#This Row],[Department_Region]],"-"))</f>
        <v>Sales</v>
      </c>
      <c r="F167" t="str">
        <f>TRIM(_xlfn.TEXTAFTER(Employee_dataset[[#This Row],[Department_Region]],"-"))</f>
        <v>New York</v>
      </c>
      <c r="G167" t="str">
        <f>TRIM(Employee_dataset[[#This Row],[Status]])</f>
        <v>Active</v>
      </c>
      <c r="H167" s="1">
        <f>_xlfn.LET(
     _xlpm.d, Employee_dataset[[#This Row],[Join_Date]],
     IF(
        ISNUMBER(_xlpm.d),_xlpm.d,""
       )
    )</f>
        <v>44089</v>
      </c>
      <c r="I167" s="6">
        <f>_xlfn.LET(
     _xlpm.s, TRIM(Employee_dataset[[#This Row],[Salary]]),
     IF(
        UPPER(_xlpm.s)="N/A","",
        IF(
           ISNUMBER(--_xlpm.s),ROUND(_xlfn.NUMBERVALUE(_xlpm.s),2),""
          )
       )
    )</f>
        <v>69251.12</v>
      </c>
      <c r="J167" t="str">
        <f>TRIM(Employee_dataset[[#This Row],[Email]])</f>
        <v>bob.smith@example.com</v>
      </c>
      <c r="K167" t="str">
        <f>_xlfn.LET(
     _xlpm.p,TRIM(SUBSTITUTE(Employee_dataset[[#This Row],[Phone]],"-","")),
     IF(
        LEN(_xlpm.p)=10,_xlfn.CONCAT("("&amp;LEFT(_xlpm.p,3)&amp;") "&amp;MID(_xlpm.p,4,3)&amp;"-"&amp;RIGHT(_xlpm.p,4),"")
       )
     )</f>
        <v>(484) 137-6814</v>
      </c>
      <c r="L167" t="str">
        <f>TRIM(Employee_dataset[[#This Row],[Performance_Score]])</f>
        <v>Poor</v>
      </c>
      <c r="M167" t="str">
        <f>TRIM(Employee_dataset[[#This Row],[Remote_Work]])</f>
        <v>TRUE</v>
      </c>
    </row>
    <row r="168" spans="1:13" x14ac:dyDescent="0.3">
      <c r="A168" t="str">
        <f>TRIM(Employee_dataset[[#This Row],[Employee_ID]])</f>
        <v>EMP1166</v>
      </c>
      <c r="B168" t="str">
        <f>PROPER(TRIM(Employee_dataset[[#This Row],[First_Name]]))</f>
        <v>Frank</v>
      </c>
      <c r="C168" t="str">
        <f>PROPER(TRIM(Employee_dataset[[#This Row],[Last_Name]]))</f>
        <v>Garcia</v>
      </c>
      <c r="D168" s="6" t="str">
        <f>_xlfn.LET(
     _xlpm.a, TRIM(Employee_dataset[[#This Row],[Age]]),
     IF(
        _xlpm.a="","",
        IF(
           AND(ISNUMBER(--_xlpm.a),LEN(_xlpm.a)=2),_xlpm.a,""
          )
       )
    )</f>
        <v>40</v>
      </c>
      <c r="E168" t="str">
        <f>TRIM(_xlfn.TEXTBEFORE(Employee_dataset[[#This Row],[Department_Region]],"-"))</f>
        <v>Sales</v>
      </c>
      <c r="F168" t="str">
        <f>TRIM(_xlfn.TEXTAFTER(Employee_dataset[[#This Row],[Department_Region]],"-"))</f>
        <v>Illinois</v>
      </c>
      <c r="G168" t="str">
        <f>TRIM(Employee_dataset[[#This Row],[Status]])</f>
        <v>Inactive</v>
      </c>
      <c r="H168" s="1">
        <f>_xlfn.LET(
     _xlpm.d, Employee_dataset[[#This Row],[Join_Date]],
     IF(
        ISNUMBER(_xlpm.d),_xlpm.d,""
       )
    )</f>
        <v>44760</v>
      </c>
      <c r="I168" s="6">
        <f>_xlfn.LET(
     _xlpm.s, TRIM(Employee_dataset[[#This Row],[Salary]]),
     IF(
        UPPER(_xlpm.s)="N/A","",
        IF(
           ISNUMBER(--_xlpm.s),ROUND(_xlfn.NUMBERVALUE(_xlpm.s),2),""
          )
       )
    )</f>
        <v>85388.58</v>
      </c>
      <c r="J168" t="str">
        <f>TRIM(Employee_dataset[[#This Row],[Email]])</f>
        <v>frank.garcia@example.com</v>
      </c>
      <c r="K168" t="str">
        <f>_xlfn.LET(
     _xlpm.p,TRIM(SUBSTITUTE(Employee_dataset[[#This Row],[Phone]],"-","")),
     IF(
        LEN(_xlpm.p)=10,_xlfn.CONCAT("("&amp;LEFT(_xlpm.p,3)&amp;") "&amp;MID(_xlpm.p,4,3)&amp;"-"&amp;RIGHT(_xlpm.p,4),"")
       )
     )</f>
        <v>(118) 567-2437</v>
      </c>
      <c r="L168" t="str">
        <f>TRIM(Employee_dataset[[#This Row],[Performance_Score]])</f>
        <v>Poor</v>
      </c>
      <c r="M168" t="str">
        <f>TRIM(Employee_dataset[[#This Row],[Remote_Work]])</f>
        <v>TRUE</v>
      </c>
    </row>
    <row r="169" spans="1:13" x14ac:dyDescent="0.3">
      <c r="A169" t="str">
        <f>TRIM(Employee_dataset[[#This Row],[Employee_ID]])</f>
        <v>EMP1167</v>
      </c>
      <c r="B169" t="str">
        <f>PROPER(TRIM(Employee_dataset[[#This Row],[First_Name]]))</f>
        <v>Bob</v>
      </c>
      <c r="C169" t="str">
        <f>PROPER(TRIM(Employee_dataset[[#This Row],[Last_Name]]))</f>
        <v>Davis</v>
      </c>
      <c r="D169" s="6" t="str">
        <f>_xlfn.LET(
     _xlpm.a, TRIM(Employee_dataset[[#This Row],[Age]]),
     IF(
        _xlpm.a="","",
        IF(
           AND(ISNUMBER(--_xlpm.a),LEN(_xlpm.a)=2),_xlpm.a,""
          )
       )
    )</f>
        <v/>
      </c>
      <c r="E169" t="str">
        <f>TRIM(_xlfn.TEXTBEFORE(Employee_dataset[[#This Row],[Department_Region]],"-"))</f>
        <v>DevOps</v>
      </c>
      <c r="F169" t="str">
        <f>TRIM(_xlfn.TEXTAFTER(Employee_dataset[[#This Row],[Department_Region]],"-"))</f>
        <v>New York</v>
      </c>
      <c r="G169" t="str">
        <f>TRIM(Employee_dataset[[#This Row],[Status]])</f>
        <v>Inactive</v>
      </c>
      <c r="H169" s="1">
        <f>_xlfn.LET(
     _xlpm.d, Employee_dataset[[#This Row],[Join_Date]],
     IF(
        ISNUMBER(_xlpm.d),_xlpm.d,""
       )
    )</f>
        <v>44755</v>
      </c>
      <c r="I169" s="6">
        <f>_xlfn.LET(
     _xlpm.s, TRIM(Employee_dataset[[#This Row],[Salary]]),
     IF(
        UPPER(_xlpm.s)="N/A","",
        IF(
           ISNUMBER(--_xlpm.s),ROUND(_xlfn.NUMBERVALUE(_xlpm.s),2),""
          )
       )
    )</f>
        <v>112166.37</v>
      </c>
      <c r="J169" t="str">
        <f>TRIM(Employee_dataset[[#This Row],[Email]])</f>
        <v>bob.davis@example.com</v>
      </c>
      <c r="K169" t="b">
        <f>_xlfn.LET(
     _xlpm.p,TRIM(SUBSTITUTE(Employee_dataset[[#This Row],[Phone]],"-","")),
     IF(
        LEN(_xlpm.p)=10,_xlfn.CONCAT("("&amp;LEFT(_xlpm.p,3)&amp;") "&amp;MID(_xlpm.p,4,3)&amp;"-"&amp;RIGHT(_xlpm.p,4),"")
       )
     )</f>
        <v>0</v>
      </c>
      <c r="L169" t="str">
        <f>TRIM(Employee_dataset[[#This Row],[Performance_Score]])</f>
        <v>Excellent</v>
      </c>
      <c r="M169" t="str">
        <f>TRIM(Employee_dataset[[#This Row],[Remote_Work]])</f>
        <v>FALSE</v>
      </c>
    </row>
    <row r="170" spans="1:13" x14ac:dyDescent="0.3">
      <c r="A170" t="str">
        <f>TRIM(Employee_dataset[[#This Row],[Employee_ID]])</f>
        <v>EMP1168</v>
      </c>
      <c r="B170" t="str">
        <f>PROPER(TRIM(Employee_dataset[[#This Row],[First_Name]]))</f>
        <v>Heidi</v>
      </c>
      <c r="C170" t="str">
        <f>PROPER(TRIM(Employee_dataset[[#This Row],[Last_Name]]))</f>
        <v>Davis</v>
      </c>
      <c r="D170" s="6" t="str">
        <f>_xlfn.LET(
     _xlpm.a, TRIM(Employee_dataset[[#This Row],[Age]]),
     IF(
        _xlpm.a="","",
        IF(
           AND(ISNUMBER(--_xlpm.a),LEN(_xlpm.a)=2),_xlpm.a,""
          )
       )
    )</f>
        <v>40</v>
      </c>
      <c r="E170" t="str">
        <f>TRIM(_xlfn.TEXTBEFORE(Employee_dataset[[#This Row],[Department_Region]],"-"))</f>
        <v>Finance</v>
      </c>
      <c r="F170" t="str">
        <f>TRIM(_xlfn.TEXTAFTER(Employee_dataset[[#This Row],[Department_Region]],"-"))</f>
        <v>Nevada</v>
      </c>
      <c r="G170" t="str">
        <f>TRIM(Employee_dataset[[#This Row],[Status]])</f>
        <v>Active</v>
      </c>
      <c r="H170" s="1">
        <f>_xlfn.LET(
     _xlpm.d, Employee_dataset[[#This Row],[Join_Date]],
     IF(
        ISNUMBER(_xlpm.d),_xlpm.d,""
       )
    )</f>
        <v>44471</v>
      </c>
      <c r="I170" s="6">
        <f>_xlfn.LET(
     _xlpm.s, TRIM(Employee_dataset[[#This Row],[Salary]]),
     IF(
        UPPER(_xlpm.s)="N/A","",
        IF(
           ISNUMBER(--_xlpm.s),ROUND(_xlfn.NUMBERVALUE(_xlpm.s),2),""
          )
       )
    )</f>
        <v>79873.48</v>
      </c>
      <c r="J170" t="str">
        <f>TRIM(Employee_dataset[[#This Row],[Email]])</f>
        <v>heidi.davis@example.com</v>
      </c>
      <c r="K170" t="b">
        <f>_xlfn.LET(
     _xlpm.p,TRIM(SUBSTITUTE(Employee_dataset[[#This Row],[Phone]],"-","")),
     IF(
        LEN(_xlpm.p)=10,_xlfn.CONCAT("("&amp;LEFT(_xlpm.p,3)&amp;") "&amp;MID(_xlpm.p,4,3)&amp;"-"&amp;RIGHT(_xlpm.p,4),"")
       )
     )</f>
        <v>0</v>
      </c>
      <c r="L170" t="str">
        <f>TRIM(Employee_dataset[[#This Row],[Performance_Score]])</f>
        <v>Average</v>
      </c>
      <c r="M170" t="str">
        <f>TRIM(Employee_dataset[[#This Row],[Remote_Work]])</f>
        <v>FALSE</v>
      </c>
    </row>
    <row r="171" spans="1:13" x14ac:dyDescent="0.3">
      <c r="A171" t="str">
        <f>TRIM(Employee_dataset[[#This Row],[Employee_ID]])</f>
        <v>EMP1169</v>
      </c>
      <c r="B171" t="str">
        <f>PROPER(TRIM(Employee_dataset[[#This Row],[First_Name]]))</f>
        <v>Frank</v>
      </c>
      <c r="C171" t="str">
        <f>PROPER(TRIM(Employee_dataset[[#This Row],[Last_Name]]))</f>
        <v>Miller</v>
      </c>
      <c r="D171" s="6" t="str">
        <f>_xlfn.LET(
     _xlpm.a, TRIM(Employee_dataset[[#This Row],[Age]]),
     IF(
        _xlpm.a="","",
        IF(
           AND(ISNUMBER(--_xlpm.a),LEN(_xlpm.a)=2),_xlpm.a,""
          )
       )
    )</f>
        <v>30</v>
      </c>
      <c r="E171" t="str">
        <f>TRIM(_xlfn.TEXTBEFORE(Employee_dataset[[#This Row],[Department_Region]],"-"))</f>
        <v>DevOps</v>
      </c>
      <c r="F171" t="str">
        <f>TRIM(_xlfn.TEXTAFTER(Employee_dataset[[#This Row],[Department_Region]],"-"))</f>
        <v>Florida</v>
      </c>
      <c r="G171" t="str">
        <f>TRIM(Employee_dataset[[#This Row],[Status]])</f>
        <v>Active</v>
      </c>
      <c r="H171" s="1">
        <f>_xlfn.LET(
     _xlpm.d, Employee_dataset[[#This Row],[Join_Date]],
     IF(
        ISNUMBER(_xlpm.d),_xlpm.d,""
       )
    )</f>
        <v>44017</v>
      </c>
      <c r="I171" s="6">
        <f>_xlfn.LET(
     _xlpm.s, TRIM(Employee_dataset[[#This Row],[Salary]]),
     IF(
        UPPER(_xlpm.s)="N/A","",
        IF(
           ISNUMBER(--_xlpm.s),ROUND(_xlfn.NUMBERVALUE(_xlpm.s),2),""
          )
       )
    )</f>
        <v>108224.03</v>
      </c>
      <c r="J171" t="str">
        <f>TRIM(Employee_dataset[[#This Row],[Email]])</f>
        <v>frank.miller@example.com</v>
      </c>
      <c r="K171" t="str">
        <f>_xlfn.LET(
     _xlpm.p,TRIM(SUBSTITUTE(Employee_dataset[[#This Row],[Phone]],"-","")),
     IF(
        LEN(_xlpm.p)=10,_xlfn.CONCAT("("&amp;LEFT(_xlpm.p,3)&amp;") "&amp;MID(_xlpm.p,4,3)&amp;"-"&amp;RIGHT(_xlpm.p,4),"")
       )
     )</f>
        <v>(183) 727-4219</v>
      </c>
      <c r="L171" t="str">
        <f>TRIM(Employee_dataset[[#This Row],[Performance_Score]])</f>
        <v>Poor</v>
      </c>
      <c r="M171" t="str">
        <f>TRIM(Employee_dataset[[#This Row],[Remote_Work]])</f>
        <v>TRUE</v>
      </c>
    </row>
    <row r="172" spans="1:13" x14ac:dyDescent="0.3">
      <c r="A172" t="str">
        <f>TRIM(Employee_dataset[[#This Row],[Employee_ID]])</f>
        <v>EMP1170</v>
      </c>
      <c r="B172" t="str">
        <f>PROPER(TRIM(Employee_dataset[[#This Row],[First_Name]]))</f>
        <v>Bob</v>
      </c>
      <c r="C172" t="str">
        <f>PROPER(TRIM(Employee_dataset[[#This Row],[Last_Name]]))</f>
        <v>Garcia</v>
      </c>
      <c r="D172" s="6" t="str">
        <f>_xlfn.LET(
     _xlpm.a, TRIM(Employee_dataset[[#This Row],[Age]]),
     IF(
        _xlpm.a="","",
        IF(
           AND(ISNUMBER(--_xlpm.a),LEN(_xlpm.a)=2),_xlpm.a,""
          )
       )
    )</f>
        <v>35</v>
      </c>
      <c r="E172" t="str">
        <f>TRIM(_xlfn.TEXTBEFORE(Employee_dataset[[#This Row],[Department_Region]],"-"))</f>
        <v>Admin</v>
      </c>
      <c r="F172" t="str">
        <f>TRIM(_xlfn.TEXTAFTER(Employee_dataset[[#This Row],[Department_Region]],"-"))</f>
        <v>Illinois</v>
      </c>
      <c r="G172" t="str">
        <f>TRIM(Employee_dataset[[#This Row],[Status]])</f>
        <v>Active</v>
      </c>
      <c r="H172" s="1">
        <f>_xlfn.LET(
     _xlpm.d, Employee_dataset[[#This Row],[Join_Date]],
     IF(
        ISNUMBER(_xlpm.d),_xlpm.d,""
       )
    )</f>
        <v>45032</v>
      </c>
      <c r="I172" s="6">
        <f>_xlfn.LET(
     _xlpm.s, TRIM(Employee_dataset[[#This Row],[Salary]]),
     IF(
        UPPER(_xlpm.s)="N/A","",
        IF(
           ISNUMBER(--_xlpm.s),ROUND(_xlfn.NUMBERVALUE(_xlpm.s),2),""
          )
       )
    )</f>
        <v>116963.72</v>
      </c>
      <c r="J172" t="str">
        <f>TRIM(Employee_dataset[[#This Row],[Email]])</f>
        <v>bob.garcia@example.com</v>
      </c>
      <c r="K172" t="str">
        <f>_xlfn.LET(
     _xlpm.p,TRIM(SUBSTITUTE(Employee_dataset[[#This Row],[Phone]],"-","")),
     IF(
        LEN(_xlpm.p)=10,_xlfn.CONCAT("("&amp;LEFT(_xlpm.p,3)&amp;") "&amp;MID(_xlpm.p,4,3)&amp;"-"&amp;RIGHT(_xlpm.p,4),"")
       )
     )</f>
        <v>(912) 418-6209</v>
      </c>
      <c r="L172" t="str">
        <f>TRIM(Employee_dataset[[#This Row],[Performance_Score]])</f>
        <v>Average</v>
      </c>
      <c r="M172" t="str">
        <f>TRIM(Employee_dataset[[#This Row],[Remote_Work]])</f>
        <v>TRUE</v>
      </c>
    </row>
    <row r="173" spans="1:13" x14ac:dyDescent="0.3">
      <c r="A173" t="str">
        <f>TRIM(Employee_dataset[[#This Row],[Employee_ID]])</f>
        <v>EMP1171</v>
      </c>
      <c r="B173" t="str">
        <f>PROPER(TRIM(Employee_dataset[[#This Row],[First_Name]]))</f>
        <v>Bob</v>
      </c>
      <c r="C173" t="str">
        <f>PROPER(TRIM(Employee_dataset[[#This Row],[Last_Name]]))</f>
        <v>Jones</v>
      </c>
      <c r="D173" s="6" t="str">
        <f>_xlfn.LET(
     _xlpm.a, TRIM(Employee_dataset[[#This Row],[Age]]),
     IF(
        _xlpm.a="","",
        IF(
           AND(ISNUMBER(--_xlpm.a),LEN(_xlpm.a)=2),_xlpm.a,""
          )
       )
    )</f>
        <v>40</v>
      </c>
      <c r="E173" t="str">
        <f>TRIM(_xlfn.TEXTBEFORE(Employee_dataset[[#This Row],[Department_Region]],"-"))</f>
        <v>HR</v>
      </c>
      <c r="F173" t="str">
        <f>TRIM(_xlfn.TEXTAFTER(Employee_dataset[[#This Row],[Department_Region]],"-"))</f>
        <v>Nevada</v>
      </c>
      <c r="G173" t="str">
        <f>TRIM(Employee_dataset[[#This Row],[Status]])</f>
        <v>Inactive</v>
      </c>
      <c r="H173" s="1">
        <f>_xlfn.LET(
     _xlpm.d, Employee_dataset[[#This Row],[Join_Date]],
     IF(
        ISNUMBER(_xlpm.d),_xlpm.d,""
       )
    )</f>
        <v>45608</v>
      </c>
      <c r="I173" s="6">
        <f>_xlfn.LET(
     _xlpm.s, TRIM(Employee_dataset[[#This Row],[Salary]]),
     IF(
        UPPER(_xlpm.s)="N/A","",
        IF(
           ISNUMBER(--_xlpm.s),ROUND(_xlfn.NUMBERVALUE(_xlpm.s),2),""
          )
       )
    )</f>
        <v>114109.06</v>
      </c>
      <c r="J173" t="str">
        <f>TRIM(Employee_dataset[[#This Row],[Email]])</f>
        <v>bob.jones@example.com</v>
      </c>
      <c r="K173" t="str">
        <f>_xlfn.LET(
     _xlpm.p,TRIM(SUBSTITUTE(Employee_dataset[[#This Row],[Phone]],"-","")),
     IF(
        LEN(_xlpm.p)=10,_xlfn.CONCAT("("&amp;LEFT(_xlpm.p,3)&amp;") "&amp;MID(_xlpm.p,4,3)&amp;"-"&amp;RIGHT(_xlpm.p,4),"")
       )
     )</f>
        <v>(427) 523-0836</v>
      </c>
      <c r="L173" t="str">
        <f>TRIM(Employee_dataset[[#This Row],[Performance_Score]])</f>
        <v>Average</v>
      </c>
      <c r="M173" t="str">
        <f>TRIM(Employee_dataset[[#This Row],[Remote_Work]])</f>
        <v>TRUE</v>
      </c>
    </row>
    <row r="174" spans="1:13" x14ac:dyDescent="0.3">
      <c r="A174" t="str">
        <f>TRIM(Employee_dataset[[#This Row],[Employee_ID]])</f>
        <v>EMP1172</v>
      </c>
      <c r="B174" t="str">
        <f>PROPER(TRIM(Employee_dataset[[#This Row],[First_Name]]))</f>
        <v>Eva</v>
      </c>
      <c r="C174" t="str">
        <f>PROPER(TRIM(Employee_dataset[[#This Row],[Last_Name]]))</f>
        <v>Williams</v>
      </c>
      <c r="D174" s="6" t="str">
        <f>_xlfn.LET(
     _xlpm.a, TRIM(Employee_dataset[[#This Row],[Age]]),
     IF(
        _xlpm.a="","",
        IF(
           AND(ISNUMBER(--_xlpm.a),LEN(_xlpm.a)=2),_xlpm.a,""
          )
       )
    )</f>
        <v/>
      </c>
      <c r="E174" t="str">
        <f>TRIM(_xlfn.TEXTBEFORE(Employee_dataset[[#This Row],[Department_Region]],"-"))</f>
        <v>HR</v>
      </c>
      <c r="F174" t="str">
        <f>TRIM(_xlfn.TEXTAFTER(Employee_dataset[[#This Row],[Department_Region]],"-"))</f>
        <v>California</v>
      </c>
      <c r="G174" t="str">
        <f>TRIM(Employee_dataset[[#This Row],[Status]])</f>
        <v>Active</v>
      </c>
      <c r="H174" s="1">
        <f>_xlfn.LET(
     _xlpm.d, Employee_dataset[[#This Row],[Join_Date]],
     IF(
        ISNUMBER(_xlpm.d),_xlpm.d,""
       )
    )</f>
        <v>45014</v>
      </c>
      <c r="I174" s="6">
        <f>_xlfn.LET(
     _xlpm.s, TRIM(Employee_dataset[[#This Row],[Salary]]),
     IF(
        UPPER(_xlpm.s)="N/A","",
        IF(
           ISNUMBER(--_xlpm.s),ROUND(_xlfn.NUMBERVALUE(_xlpm.s),2),""
          )
       )
    )</f>
        <v>85518.88</v>
      </c>
      <c r="J174" t="str">
        <f>TRIM(Employee_dataset[[#This Row],[Email]])</f>
        <v>eva.williams@example.com</v>
      </c>
      <c r="K174" t="b">
        <f>_xlfn.LET(
     _xlpm.p,TRIM(SUBSTITUTE(Employee_dataset[[#This Row],[Phone]],"-","")),
     IF(
        LEN(_xlpm.p)=10,_xlfn.CONCAT("("&amp;LEFT(_xlpm.p,3)&amp;") "&amp;MID(_xlpm.p,4,3)&amp;"-"&amp;RIGHT(_xlpm.p,4),"")
       )
     )</f>
        <v>0</v>
      </c>
      <c r="L174" t="str">
        <f>TRIM(Employee_dataset[[#This Row],[Performance_Score]])</f>
        <v>Excellent</v>
      </c>
      <c r="M174" t="str">
        <f>TRIM(Employee_dataset[[#This Row],[Remote_Work]])</f>
        <v>FALSE</v>
      </c>
    </row>
    <row r="175" spans="1:13" x14ac:dyDescent="0.3">
      <c r="A175" t="str">
        <f>TRIM(Employee_dataset[[#This Row],[Employee_ID]])</f>
        <v>EMP1173</v>
      </c>
      <c r="B175" t="str">
        <f>PROPER(TRIM(Employee_dataset[[#This Row],[First_Name]]))</f>
        <v>Heidi</v>
      </c>
      <c r="C175" t="str">
        <f>PROPER(TRIM(Employee_dataset[[#This Row],[Last_Name]]))</f>
        <v>Brown</v>
      </c>
      <c r="D175" s="6" t="str">
        <f>_xlfn.LET(
     _xlpm.a, TRIM(Employee_dataset[[#This Row],[Age]]),
     IF(
        _xlpm.a="","",
        IF(
           AND(ISNUMBER(--_xlpm.a),LEN(_xlpm.a)=2),_xlpm.a,""
          )
       )
    )</f>
        <v>30</v>
      </c>
      <c r="E175" t="str">
        <f>TRIM(_xlfn.TEXTBEFORE(Employee_dataset[[#This Row],[Department_Region]],"-"))</f>
        <v>Cloud Tech</v>
      </c>
      <c r="F175" t="str">
        <f>TRIM(_xlfn.TEXTAFTER(Employee_dataset[[#This Row],[Department_Region]],"-"))</f>
        <v>California</v>
      </c>
      <c r="G175" t="str">
        <f>TRIM(Employee_dataset[[#This Row],[Status]])</f>
        <v>Pending</v>
      </c>
      <c r="H175" s="1">
        <f>_xlfn.LET(
     _xlpm.d, Employee_dataset[[#This Row],[Join_Date]],
     IF(
        ISNUMBER(_xlpm.d),_xlpm.d,""
       )
    )</f>
        <v>44583</v>
      </c>
      <c r="I175" s="6">
        <f>_xlfn.LET(
     _xlpm.s, TRIM(Employee_dataset[[#This Row],[Salary]]),
     IF(
        UPPER(_xlpm.s)="N/A","",
        IF(
           ISNUMBER(--_xlpm.s),ROUND(_xlfn.NUMBERVALUE(_xlpm.s),2),""
          )
       )
    )</f>
        <v>58041.97</v>
      </c>
      <c r="J175" t="str">
        <f>TRIM(Employee_dataset[[#This Row],[Email]])</f>
        <v>heidi.brown@example.com</v>
      </c>
      <c r="K175" t="str">
        <f>_xlfn.LET(
     _xlpm.p,TRIM(SUBSTITUTE(Employee_dataset[[#This Row],[Phone]],"-","")),
     IF(
        LEN(_xlpm.p)=10,_xlfn.CONCAT("("&amp;LEFT(_xlpm.p,3)&amp;") "&amp;MID(_xlpm.p,4,3)&amp;"-"&amp;RIGHT(_xlpm.p,4),"")
       )
     )</f>
        <v>(633) 533-1059</v>
      </c>
      <c r="L175" t="str">
        <f>TRIM(Employee_dataset[[#This Row],[Performance_Score]])</f>
        <v>Poor</v>
      </c>
      <c r="M175" t="str">
        <f>TRIM(Employee_dataset[[#This Row],[Remote_Work]])</f>
        <v>TRUE</v>
      </c>
    </row>
    <row r="176" spans="1:13" x14ac:dyDescent="0.3">
      <c r="A176" t="str">
        <f>TRIM(Employee_dataset[[#This Row],[Employee_ID]])</f>
        <v>EMP1174</v>
      </c>
      <c r="B176" t="str">
        <f>PROPER(TRIM(Employee_dataset[[#This Row],[First_Name]]))</f>
        <v>David</v>
      </c>
      <c r="C176" t="str">
        <f>PROPER(TRIM(Employee_dataset[[#This Row],[Last_Name]]))</f>
        <v>Garcia</v>
      </c>
      <c r="D176" s="6" t="str">
        <f>_xlfn.LET(
     _xlpm.a, TRIM(Employee_dataset[[#This Row],[Age]]),
     IF(
        _xlpm.a="","",
        IF(
           AND(ISNUMBER(--_xlpm.a),LEN(_xlpm.a)=2),_xlpm.a,""
          )
       )
    )</f>
        <v>40</v>
      </c>
      <c r="E176" t="str">
        <f>TRIM(_xlfn.TEXTBEFORE(Employee_dataset[[#This Row],[Department_Region]],"-"))</f>
        <v>Sales</v>
      </c>
      <c r="F176" t="str">
        <f>TRIM(_xlfn.TEXTAFTER(Employee_dataset[[#This Row],[Department_Region]],"-"))</f>
        <v>Illinois</v>
      </c>
      <c r="G176" t="str">
        <f>TRIM(Employee_dataset[[#This Row],[Status]])</f>
        <v>Pending</v>
      </c>
      <c r="H176" s="1">
        <f>_xlfn.LET(
     _xlpm.d, Employee_dataset[[#This Row],[Join_Date]],
     IF(
        ISNUMBER(_xlpm.d),_xlpm.d,""
       )
    )</f>
        <v>45213</v>
      </c>
      <c r="I176" s="6">
        <f>_xlfn.LET(
     _xlpm.s, TRIM(Employee_dataset[[#This Row],[Salary]]),
     IF(
        UPPER(_xlpm.s)="N/A","",
        IF(
           ISNUMBER(--_xlpm.s),ROUND(_xlfn.NUMBERVALUE(_xlpm.s),2),""
          )
       )
    )</f>
        <v>94988.94</v>
      </c>
      <c r="J176" t="str">
        <f>TRIM(Employee_dataset[[#This Row],[Email]])</f>
        <v>david.garcia@example.com</v>
      </c>
      <c r="K176" t="b">
        <f>_xlfn.LET(
     _xlpm.p,TRIM(SUBSTITUTE(Employee_dataset[[#This Row],[Phone]],"-","")),
     IF(
        LEN(_xlpm.p)=10,_xlfn.CONCAT("("&amp;LEFT(_xlpm.p,3)&amp;") "&amp;MID(_xlpm.p,4,3)&amp;"-"&amp;RIGHT(_xlpm.p,4),"")
       )
     )</f>
        <v>0</v>
      </c>
      <c r="L176" t="str">
        <f>TRIM(Employee_dataset[[#This Row],[Performance_Score]])</f>
        <v>Good</v>
      </c>
      <c r="M176" t="str">
        <f>TRIM(Employee_dataset[[#This Row],[Remote_Work]])</f>
        <v>FALSE</v>
      </c>
    </row>
    <row r="177" spans="1:13" x14ac:dyDescent="0.3">
      <c r="A177" t="str">
        <f>TRIM(Employee_dataset[[#This Row],[Employee_ID]])</f>
        <v>EMP1175</v>
      </c>
      <c r="B177" t="str">
        <f>PROPER(TRIM(Employee_dataset[[#This Row],[First_Name]]))</f>
        <v>Eva</v>
      </c>
      <c r="C177" t="str">
        <f>PROPER(TRIM(Employee_dataset[[#This Row],[Last_Name]]))</f>
        <v>Miller</v>
      </c>
      <c r="D177" s="6" t="str">
        <f>_xlfn.LET(
     _xlpm.a, TRIM(Employee_dataset[[#This Row],[Age]]),
     IF(
        _xlpm.a="","",
        IF(
           AND(ISNUMBER(--_xlpm.a),LEN(_xlpm.a)=2),_xlpm.a,""
          )
       )
    )</f>
        <v>25</v>
      </c>
      <c r="E177" t="str">
        <f>TRIM(_xlfn.TEXTBEFORE(Employee_dataset[[#This Row],[Department_Region]],"-"))</f>
        <v>Admin</v>
      </c>
      <c r="F177" t="str">
        <f>TRIM(_xlfn.TEXTAFTER(Employee_dataset[[#This Row],[Department_Region]],"-"))</f>
        <v>California</v>
      </c>
      <c r="G177" t="str">
        <f>TRIM(Employee_dataset[[#This Row],[Status]])</f>
        <v>Pending</v>
      </c>
      <c r="H177" s="1">
        <f>_xlfn.LET(
     _xlpm.d, Employee_dataset[[#This Row],[Join_Date]],
     IF(
        ISNUMBER(_xlpm.d),_xlpm.d,""
       )
    )</f>
        <v>45392</v>
      </c>
      <c r="I177" s="6">
        <f>_xlfn.LET(
     _xlpm.s, TRIM(Employee_dataset[[#This Row],[Salary]]),
     IF(
        UPPER(_xlpm.s)="N/A","",
        IF(
           ISNUMBER(--_xlpm.s),ROUND(_xlfn.NUMBERVALUE(_xlpm.s),2),""
          )
       )
    )</f>
        <v>71628.929999999993</v>
      </c>
      <c r="J177" t="str">
        <f>TRIM(Employee_dataset[[#This Row],[Email]])</f>
        <v>eva.miller@example.com</v>
      </c>
      <c r="K177" t="str">
        <f>_xlfn.LET(
     _xlpm.p,TRIM(SUBSTITUTE(Employee_dataset[[#This Row],[Phone]],"-","")),
     IF(
        LEN(_xlpm.p)=10,_xlfn.CONCAT("("&amp;LEFT(_xlpm.p,3)&amp;") "&amp;MID(_xlpm.p,4,3)&amp;"-"&amp;RIGHT(_xlpm.p,4),"")
       )
     )</f>
        <v>(815) 583-9385</v>
      </c>
      <c r="L177" t="str">
        <f>TRIM(Employee_dataset[[#This Row],[Performance_Score]])</f>
        <v>Excellent</v>
      </c>
      <c r="M177" t="str">
        <f>TRIM(Employee_dataset[[#This Row],[Remote_Work]])</f>
        <v>FALSE</v>
      </c>
    </row>
    <row r="178" spans="1:13" x14ac:dyDescent="0.3">
      <c r="A178" t="str">
        <f>TRIM(Employee_dataset[[#This Row],[Employee_ID]])</f>
        <v>EMP1176</v>
      </c>
      <c r="B178" t="str">
        <f>PROPER(TRIM(Employee_dataset[[#This Row],[First_Name]]))</f>
        <v>Alice</v>
      </c>
      <c r="C178" t="str">
        <f>PROPER(TRIM(Employee_dataset[[#This Row],[Last_Name]]))</f>
        <v>Williams</v>
      </c>
      <c r="D178" s="6" t="str">
        <f>_xlfn.LET(
     _xlpm.a, TRIM(Employee_dataset[[#This Row],[Age]]),
     IF(
        _xlpm.a="","",
        IF(
           AND(ISNUMBER(--_xlpm.a),LEN(_xlpm.a)=2),_xlpm.a,""
          )
       )
    )</f>
        <v>30</v>
      </c>
      <c r="E178" t="str">
        <f>TRIM(_xlfn.TEXTBEFORE(Employee_dataset[[#This Row],[Department_Region]],"-"))</f>
        <v>Admin</v>
      </c>
      <c r="F178" t="str">
        <f>TRIM(_xlfn.TEXTAFTER(Employee_dataset[[#This Row],[Department_Region]],"-"))</f>
        <v>Illinois</v>
      </c>
      <c r="G178" t="str">
        <f>TRIM(Employee_dataset[[#This Row],[Status]])</f>
        <v>Pending</v>
      </c>
      <c r="H178" s="1">
        <f>_xlfn.LET(
     _xlpm.d, Employee_dataset[[#This Row],[Join_Date]],
     IF(
        ISNUMBER(_xlpm.d),_xlpm.d,""
       )
    )</f>
        <v>44651</v>
      </c>
      <c r="I178" s="6">
        <f>_xlfn.LET(
     _xlpm.s, TRIM(Employee_dataset[[#This Row],[Salary]]),
     IF(
        UPPER(_xlpm.s)="N/A","",
        IF(
           ISNUMBER(--_xlpm.s),ROUND(_xlfn.NUMBERVALUE(_xlpm.s),2),""
          )
       )
    )</f>
        <v>54870.98</v>
      </c>
      <c r="J178" t="str">
        <f>TRIM(Employee_dataset[[#This Row],[Email]])</f>
        <v>alice.williams@example.com</v>
      </c>
      <c r="K178" t="str">
        <f>_xlfn.LET(
     _xlpm.p,TRIM(SUBSTITUTE(Employee_dataset[[#This Row],[Phone]],"-","")),
     IF(
        LEN(_xlpm.p)=10,_xlfn.CONCAT("("&amp;LEFT(_xlpm.p,3)&amp;") "&amp;MID(_xlpm.p,4,3)&amp;"-"&amp;RIGHT(_xlpm.p,4),"")
       )
     )</f>
        <v>(613) 315-5205</v>
      </c>
      <c r="L178" t="str">
        <f>TRIM(Employee_dataset[[#This Row],[Performance_Score]])</f>
        <v>Good</v>
      </c>
      <c r="M178" t="str">
        <f>TRIM(Employee_dataset[[#This Row],[Remote_Work]])</f>
        <v>FALSE</v>
      </c>
    </row>
    <row r="179" spans="1:13" x14ac:dyDescent="0.3">
      <c r="A179" t="str">
        <f>TRIM(Employee_dataset[[#This Row],[Employee_ID]])</f>
        <v>EMP1177</v>
      </c>
      <c r="B179" t="str">
        <f>PROPER(TRIM(Employee_dataset[[#This Row],[First_Name]]))</f>
        <v>Alice</v>
      </c>
      <c r="C179" t="str">
        <f>PROPER(TRIM(Employee_dataset[[#This Row],[Last_Name]]))</f>
        <v>Williams</v>
      </c>
      <c r="D179" s="6" t="str">
        <f>_xlfn.LET(
     _xlpm.a, TRIM(Employee_dataset[[#This Row],[Age]]),
     IF(
        _xlpm.a="","",
        IF(
           AND(ISNUMBER(--_xlpm.a),LEN(_xlpm.a)=2),_xlpm.a,""
          )
       )
    )</f>
        <v>25</v>
      </c>
      <c r="E179" t="str">
        <f>TRIM(_xlfn.TEXTBEFORE(Employee_dataset[[#This Row],[Department_Region]],"-"))</f>
        <v>DevOps</v>
      </c>
      <c r="F179" t="str">
        <f>TRIM(_xlfn.TEXTAFTER(Employee_dataset[[#This Row],[Department_Region]],"-"))</f>
        <v>Illinois</v>
      </c>
      <c r="G179" t="str">
        <f>TRIM(Employee_dataset[[#This Row],[Status]])</f>
        <v>Active</v>
      </c>
      <c r="H179" s="1">
        <f>_xlfn.LET(
     _xlpm.d, Employee_dataset[[#This Row],[Join_Date]],
     IF(
        ISNUMBER(_xlpm.d),_xlpm.d,""
       )
    )</f>
        <v>44601</v>
      </c>
      <c r="I179" s="6">
        <f>_xlfn.LET(
     _xlpm.s, TRIM(Employee_dataset[[#This Row],[Salary]]),
     IF(
        UPPER(_xlpm.s)="N/A","",
        IF(
           ISNUMBER(--_xlpm.s),ROUND(_xlfn.NUMBERVALUE(_xlpm.s),2),""
          )
       )
    )</f>
        <v>79388.27</v>
      </c>
      <c r="J179" t="str">
        <f>TRIM(Employee_dataset[[#This Row],[Email]])</f>
        <v>alice.williams@example.com</v>
      </c>
      <c r="K179" t="str">
        <f>_xlfn.LET(
     _xlpm.p,TRIM(SUBSTITUTE(Employee_dataset[[#This Row],[Phone]],"-","")),
     IF(
        LEN(_xlpm.p)=10,_xlfn.CONCAT("("&amp;LEFT(_xlpm.p,3)&amp;") "&amp;MID(_xlpm.p,4,3)&amp;"-"&amp;RIGHT(_xlpm.p,4),"")
       )
     )</f>
        <v>(506) 373-1494</v>
      </c>
      <c r="L179" t="str">
        <f>TRIM(Employee_dataset[[#This Row],[Performance_Score]])</f>
        <v>Average</v>
      </c>
      <c r="M179" t="str">
        <f>TRIM(Employee_dataset[[#This Row],[Remote_Work]])</f>
        <v>TRUE</v>
      </c>
    </row>
    <row r="180" spans="1:13" x14ac:dyDescent="0.3">
      <c r="A180" t="str">
        <f>TRIM(Employee_dataset[[#This Row],[Employee_ID]])</f>
        <v>EMP1178</v>
      </c>
      <c r="B180" t="str">
        <f>PROPER(TRIM(Employee_dataset[[#This Row],[First_Name]]))</f>
        <v>Frank</v>
      </c>
      <c r="C180" t="str">
        <f>PROPER(TRIM(Employee_dataset[[#This Row],[Last_Name]]))</f>
        <v>Smith</v>
      </c>
      <c r="D180" s="6" t="str">
        <f>_xlfn.LET(
     _xlpm.a, TRIM(Employee_dataset[[#This Row],[Age]]),
     IF(
        _xlpm.a="","",
        IF(
           AND(ISNUMBER(--_xlpm.a),LEN(_xlpm.a)=2),_xlpm.a,""
          )
       )
    )</f>
        <v>35</v>
      </c>
      <c r="E180" t="str">
        <f>TRIM(_xlfn.TEXTBEFORE(Employee_dataset[[#This Row],[Department_Region]],"-"))</f>
        <v>DevOps</v>
      </c>
      <c r="F180" t="str">
        <f>TRIM(_xlfn.TEXTAFTER(Employee_dataset[[#This Row],[Department_Region]],"-"))</f>
        <v>California</v>
      </c>
      <c r="G180" t="str">
        <f>TRIM(Employee_dataset[[#This Row],[Status]])</f>
        <v>Pending</v>
      </c>
      <c r="H180" s="1">
        <f>_xlfn.LET(
     _xlpm.d, Employee_dataset[[#This Row],[Join_Date]],
     IF(
        ISNUMBER(_xlpm.d),_xlpm.d,""
       )
    )</f>
        <v>45052</v>
      </c>
      <c r="I180" s="6">
        <f>_xlfn.LET(
     _xlpm.s, TRIM(Employee_dataset[[#This Row],[Salary]]),
     IF(
        UPPER(_xlpm.s)="N/A","",
        IF(
           ISNUMBER(--_xlpm.s),ROUND(_xlfn.NUMBERVALUE(_xlpm.s),2),""
          )
       )
    )</f>
        <v>55946.99</v>
      </c>
      <c r="J180" t="str">
        <f>TRIM(Employee_dataset[[#This Row],[Email]])</f>
        <v>frank.smith@example.com</v>
      </c>
      <c r="K180" t="b">
        <f>_xlfn.LET(
     _xlpm.p,TRIM(SUBSTITUTE(Employee_dataset[[#This Row],[Phone]],"-","")),
     IF(
        LEN(_xlpm.p)=10,_xlfn.CONCAT("("&amp;LEFT(_xlpm.p,3)&amp;") "&amp;MID(_xlpm.p,4,3)&amp;"-"&amp;RIGHT(_xlpm.p,4),"")
       )
     )</f>
        <v>0</v>
      </c>
      <c r="L180" t="str">
        <f>TRIM(Employee_dataset[[#This Row],[Performance_Score]])</f>
        <v>Average</v>
      </c>
      <c r="M180" t="str">
        <f>TRIM(Employee_dataset[[#This Row],[Remote_Work]])</f>
        <v>FALSE</v>
      </c>
    </row>
    <row r="181" spans="1:13" x14ac:dyDescent="0.3">
      <c r="A181" t="str">
        <f>TRIM(Employee_dataset[[#This Row],[Employee_ID]])</f>
        <v>EMP1179</v>
      </c>
      <c r="B181" t="str">
        <f>PROPER(TRIM(Employee_dataset[[#This Row],[First_Name]]))</f>
        <v>Charlie</v>
      </c>
      <c r="C181" t="str">
        <f>PROPER(TRIM(Employee_dataset[[#This Row],[Last_Name]]))</f>
        <v>Williams</v>
      </c>
      <c r="D181" s="6" t="str">
        <f>_xlfn.LET(
     _xlpm.a, TRIM(Employee_dataset[[#This Row],[Age]]),
     IF(
        _xlpm.a="","",
        IF(
           AND(ISNUMBER(--_xlpm.a),LEN(_xlpm.a)=2),_xlpm.a,""
          )
       )
    )</f>
        <v/>
      </c>
      <c r="E181" t="str">
        <f>TRIM(_xlfn.TEXTBEFORE(Employee_dataset[[#This Row],[Department_Region]],"-"))</f>
        <v>Cloud Tech</v>
      </c>
      <c r="F181" t="str">
        <f>TRIM(_xlfn.TEXTAFTER(Employee_dataset[[#This Row],[Department_Region]],"-"))</f>
        <v>Nevada</v>
      </c>
      <c r="G181" t="str">
        <f>TRIM(Employee_dataset[[#This Row],[Status]])</f>
        <v>Active</v>
      </c>
      <c r="H181" s="1">
        <f>_xlfn.LET(
     _xlpm.d, Employee_dataset[[#This Row],[Join_Date]],
     IF(
        ISNUMBER(_xlpm.d),_xlpm.d,""
       )
    )</f>
        <v>44388</v>
      </c>
      <c r="I181" s="6">
        <f>_xlfn.LET(
     _xlpm.s, TRIM(Employee_dataset[[#This Row],[Salary]]),
     IF(
        UPPER(_xlpm.s)="N/A","",
        IF(
           ISNUMBER(--_xlpm.s),ROUND(_xlfn.NUMBERVALUE(_xlpm.s),2),""
          )
       )
    )</f>
        <v>81017.91</v>
      </c>
      <c r="J181" t="str">
        <f>TRIM(Employee_dataset[[#This Row],[Email]])</f>
        <v>charlie.williams@example.com</v>
      </c>
      <c r="K181" t="str">
        <f>_xlfn.LET(
     _xlpm.p,TRIM(SUBSTITUTE(Employee_dataset[[#This Row],[Phone]],"-","")),
     IF(
        LEN(_xlpm.p)=10,_xlfn.CONCAT("("&amp;LEFT(_xlpm.p,3)&amp;") "&amp;MID(_xlpm.p,4,3)&amp;"-"&amp;RIGHT(_xlpm.p,4),"")
       )
     )</f>
        <v>(241) 956-2524</v>
      </c>
      <c r="L181" t="str">
        <f>TRIM(Employee_dataset[[#This Row],[Performance_Score]])</f>
        <v>Excellent</v>
      </c>
      <c r="M181" t="str">
        <f>TRIM(Employee_dataset[[#This Row],[Remote_Work]])</f>
        <v>TRUE</v>
      </c>
    </row>
    <row r="182" spans="1:13" x14ac:dyDescent="0.3">
      <c r="A182" t="str">
        <f>TRIM(Employee_dataset[[#This Row],[Employee_ID]])</f>
        <v>EMP1180</v>
      </c>
      <c r="B182" t="str">
        <f>PROPER(TRIM(Employee_dataset[[#This Row],[First_Name]]))</f>
        <v>Heidi</v>
      </c>
      <c r="C182" t="str">
        <f>PROPER(TRIM(Employee_dataset[[#This Row],[Last_Name]]))</f>
        <v>Jones</v>
      </c>
      <c r="D182" s="6" t="str">
        <f>_xlfn.LET(
     _xlpm.a, TRIM(Employee_dataset[[#This Row],[Age]]),
     IF(
        _xlpm.a="","",
        IF(
           AND(ISNUMBER(--_xlpm.a),LEN(_xlpm.a)=2),_xlpm.a,""
          )
       )
    )</f>
        <v>40</v>
      </c>
      <c r="E182" t="str">
        <f>TRIM(_xlfn.TEXTBEFORE(Employee_dataset[[#This Row],[Department_Region]],"-"))</f>
        <v>HR</v>
      </c>
      <c r="F182" t="str">
        <f>TRIM(_xlfn.TEXTAFTER(Employee_dataset[[#This Row],[Department_Region]],"-"))</f>
        <v>New York</v>
      </c>
      <c r="G182" t="str">
        <f>TRIM(Employee_dataset[[#This Row],[Status]])</f>
        <v>Pending</v>
      </c>
      <c r="H182" s="1">
        <f>_xlfn.LET(
     _xlpm.d, Employee_dataset[[#This Row],[Join_Date]],
     IF(
        ISNUMBER(_xlpm.d),_xlpm.d,""
       )
    )</f>
        <v>44064</v>
      </c>
      <c r="I182" s="6">
        <f>_xlfn.LET(
     _xlpm.s, TRIM(Employee_dataset[[#This Row],[Salary]]),
     IF(
        UPPER(_xlpm.s)="N/A","",
        IF(
           ISNUMBER(--_xlpm.s),ROUND(_xlfn.NUMBERVALUE(_xlpm.s),2),""
          )
       )
    )</f>
        <v>74162.100000000006</v>
      </c>
      <c r="J182" t="str">
        <f>TRIM(Employee_dataset[[#This Row],[Email]])</f>
        <v>heidi.jones@example.com</v>
      </c>
      <c r="K182" t="str">
        <f>_xlfn.LET(
     _xlpm.p,TRIM(SUBSTITUTE(Employee_dataset[[#This Row],[Phone]],"-","")),
     IF(
        LEN(_xlpm.p)=10,_xlfn.CONCAT("("&amp;LEFT(_xlpm.p,3)&amp;") "&amp;MID(_xlpm.p,4,3)&amp;"-"&amp;RIGHT(_xlpm.p,4),"")
       )
     )</f>
        <v>(715) 099-7682</v>
      </c>
      <c r="L182" t="str">
        <f>TRIM(Employee_dataset[[#This Row],[Performance_Score]])</f>
        <v>Excellent</v>
      </c>
      <c r="M182" t="str">
        <f>TRIM(Employee_dataset[[#This Row],[Remote_Work]])</f>
        <v>FALSE</v>
      </c>
    </row>
    <row r="183" spans="1:13" x14ac:dyDescent="0.3">
      <c r="A183" t="str">
        <f>TRIM(Employee_dataset[[#This Row],[Employee_ID]])</f>
        <v>EMP1181</v>
      </c>
      <c r="B183" t="str">
        <f>PROPER(TRIM(Employee_dataset[[#This Row],[First_Name]]))</f>
        <v>Heidi</v>
      </c>
      <c r="C183" t="str">
        <f>PROPER(TRIM(Employee_dataset[[#This Row],[Last_Name]]))</f>
        <v>Davis</v>
      </c>
      <c r="D183" s="6" t="str">
        <f>_xlfn.LET(
     _xlpm.a, TRIM(Employee_dataset[[#This Row],[Age]]),
     IF(
        _xlpm.a="","",
        IF(
           AND(ISNUMBER(--_xlpm.a),LEN(_xlpm.a)=2),_xlpm.a,""
          )
       )
    )</f>
        <v/>
      </c>
      <c r="E183" t="str">
        <f>TRIM(_xlfn.TEXTBEFORE(Employee_dataset[[#This Row],[Department_Region]],"-"))</f>
        <v>DevOps</v>
      </c>
      <c r="F183" t="str">
        <f>TRIM(_xlfn.TEXTAFTER(Employee_dataset[[#This Row],[Department_Region]],"-"))</f>
        <v>California</v>
      </c>
      <c r="G183" t="str">
        <f>TRIM(Employee_dataset[[#This Row],[Status]])</f>
        <v>Active</v>
      </c>
      <c r="H183" s="1">
        <f>_xlfn.LET(
     _xlpm.d, Employee_dataset[[#This Row],[Join_Date]],
     IF(
        ISNUMBER(_xlpm.d),_xlpm.d,""
       )
    )</f>
        <v>44282</v>
      </c>
      <c r="I183" s="6">
        <f>_xlfn.LET(
     _xlpm.s, TRIM(Employee_dataset[[#This Row],[Salary]]),
     IF(
        UPPER(_xlpm.s)="N/A","",
        IF(
           ISNUMBER(--_xlpm.s),ROUND(_xlfn.NUMBERVALUE(_xlpm.s),2),""
          )
       )
    )</f>
        <v>77668.44</v>
      </c>
      <c r="J183" t="str">
        <f>TRIM(Employee_dataset[[#This Row],[Email]])</f>
        <v>heidi.davis@example.com</v>
      </c>
      <c r="K183" t="str">
        <f>_xlfn.LET(
     _xlpm.p,TRIM(SUBSTITUTE(Employee_dataset[[#This Row],[Phone]],"-","")),
     IF(
        LEN(_xlpm.p)=10,_xlfn.CONCAT("("&amp;LEFT(_xlpm.p,3)&amp;") "&amp;MID(_xlpm.p,4,3)&amp;"-"&amp;RIGHT(_xlpm.p,4),"")
       )
     )</f>
        <v>(890) 309-1435</v>
      </c>
      <c r="L183" t="str">
        <f>TRIM(Employee_dataset[[#This Row],[Performance_Score]])</f>
        <v>Good</v>
      </c>
      <c r="M183" t="str">
        <f>TRIM(Employee_dataset[[#This Row],[Remote_Work]])</f>
        <v>TRUE</v>
      </c>
    </row>
    <row r="184" spans="1:13" x14ac:dyDescent="0.3">
      <c r="A184" t="str">
        <f>TRIM(Employee_dataset[[#This Row],[Employee_ID]])</f>
        <v>EMP1182</v>
      </c>
      <c r="B184" t="str">
        <f>PROPER(TRIM(Employee_dataset[[#This Row],[First_Name]]))</f>
        <v>Alice</v>
      </c>
      <c r="C184" t="str">
        <f>PROPER(TRIM(Employee_dataset[[#This Row],[Last_Name]]))</f>
        <v>Miller</v>
      </c>
      <c r="D184" s="6" t="str">
        <f>_xlfn.LET(
     _xlpm.a, TRIM(Employee_dataset[[#This Row],[Age]]),
     IF(
        _xlpm.a="","",
        IF(
           AND(ISNUMBER(--_xlpm.a),LEN(_xlpm.a)=2),_xlpm.a,""
          )
       )
    )</f>
        <v>30</v>
      </c>
      <c r="E184" t="str">
        <f>TRIM(_xlfn.TEXTBEFORE(Employee_dataset[[#This Row],[Department_Region]],"-"))</f>
        <v>HR</v>
      </c>
      <c r="F184" t="str">
        <f>TRIM(_xlfn.TEXTAFTER(Employee_dataset[[#This Row],[Department_Region]],"-"))</f>
        <v>New York</v>
      </c>
      <c r="G184" t="str">
        <f>TRIM(Employee_dataset[[#This Row],[Status]])</f>
        <v>Active</v>
      </c>
      <c r="H184" s="1">
        <f>_xlfn.LET(
     _xlpm.d, Employee_dataset[[#This Row],[Join_Date]],
     IF(
        ISNUMBER(_xlpm.d),_xlpm.d,""
       )
    )</f>
        <v>45396</v>
      </c>
      <c r="I184" s="6">
        <f>_xlfn.LET(
     _xlpm.s, TRIM(Employee_dataset[[#This Row],[Salary]]),
     IF(
        UPPER(_xlpm.s)="N/A","",
        IF(
           ISNUMBER(--_xlpm.s),ROUND(_xlfn.NUMBERVALUE(_xlpm.s),2),""
          )
       )
    )</f>
        <v>67886.37</v>
      </c>
      <c r="J184" t="str">
        <f>TRIM(Employee_dataset[[#This Row],[Email]])</f>
        <v>alice.miller@example.com</v>
      </c>
      <c r="K184" t="str">
        <f>_xlfn.LET(
     _xlpm.p,TRIM(SUBSTITUTE(Employee_dataset[[#This Row],[Phone]],"-","")),
     IF(
        LEN(_xlpm.p)=10,_xlfn.CONCAT("("&amp;LEFT(_xlpm.p,3)&amp;") "&amp;MID(_xlpm.p,4,3)&amp;"-"&amp;RIGHT(_xlpm.p,4),"")
       )
     )</f>
        <v>(391) 025-7431</v>
      </c>
      <c r="L184" t="str">
        <f>TRIM(Employee_dataset[[#This Row],[Performance_Score]])</f>
        <v>Poor</v>
      </c>
      <c r="M184" t="str">
        <f>TRIM(Employee_dataset[[#This Row],[Remote_Work]])</f>
        <v>FALSE</v>
      </c>
    </row>
    <row r="185" spans="1:13" x14ac:dyDescent="0.3">
      <c r="A185" t="str">
        <f>TRIM(Employee_dataset[[#This Row],[Employee_ID]])</f>
        <v>EMP1183</v>
      </c>
      <c r="B185" t="str">
        <f>PROPER(TRIM(Employee_dataset[[#This Row],[First_Name]]))</f>
        <v>Alice</v>
      </c>
      <c r="C185" t="str">
        <f>PROPER(TRIM(Employee_dataset[[#This Row],[Last_Name]]))</f>
        <v>Williams</v>
      </c>
      <c r="D185" s="6" t="str">
        <f>_xlfn.LET(
     _xlpm.a, TRIM(Employee_dataset[[#This Row],[Age]]),
     IF(
        _xlpm.a="","",
        IF(
           AND(ISNUMBER(--_xlpm.a),LEN(_xlpm.a)=2),_xlpm.a,""
          )
       )
    )</f>
        <v>40</v>
      </c>
      <c r="E185" t="str">
        <f>TRIM(_xlfn.TEXTBEFORE(Employee_dataset[[#This Row],[Department_Region]],"-"))</f>
        <v>DevOps</v>
      </c>
      <c r="F185" t="str">
        <f>TRIM(_xlfn.TEXTAFTER(Employee_dataset[[#This Row],[Department_Region]],"-"))</f>
        <v>Florida</v>
      </c>
      <c r="G185" t="str">
        <f>TRIM(Employee_dataset[[#This Row],[Status]])</f>
        <v>Active</v>
      </c>
      <c r="H185" s="1">
        <f>_xlfn.LET(
     _xlpm.d, Employee_dataset[[#This Row],[Join_Date]],
     IF(
        ISNUMBER(_xlpm.d),_xlpm.d,""
       )
    )</f>
        <v>44095</v>
      </c>
      <c r="I185" s="6">
        <f>_xlfn.LET(
     _xlpm.s, TRIM(Employee_dataset[[#This Row],[Salary]]),
     IF(
        UPPER(_xlpm.s)="N/A","",
        IF(
           ISNUMBER(--_xlpm.s),ROUND(_xlfn.NUMBERVALUE(_xlpm.s),2),""
          )
       )
    )</f>
        <v>76614.52</v>
      </c>
      <c r="J185" t="str">
        <f>TRIM(Employee_dataset[[#This Row],[Email]])</f>
        <v>alice.williams@example.com</v>
      </c>
      <c r="K185" t="str">
        <f>_xlfn.LET(
     _xlpm.p,TRIM(SUBSTITUTE(Employee_dataset[[#This Row],[Phone]],"-","")),
     IF(
        LEN(_xlpm.p)=10,_xlfn.CONCAT("("&amp;LEFT(_xlpm.p,3)&amp;") "&amp;MID(_xlpm.p,4,3)&amp;"-"&amp;RIGHT(_xlpm.p,4),"")
       )
     )</f>
        <v>(630) 397-5244</v>
      </c>
      <c r="L185" t="str">
        <f>TRIM(Employee_dataset[[#This Row],[Performance_Score]])</f>
        <v>Good</v>
      </c>
      <c r="M185" t="str">
        <f>TRIM(Employee_dataset[[#This Row],[Remote_Work]])</f>
        <v>TRUE</v>
      </c>
    </row>
    <row r="186" spans="1:13" x14ac:dyDescent="0.3">
      <c r="A186" t="str">
        <f>TRIM(Employee_dataset[[#This Row],[Employee_ID]])</f>
        <v>EMP1184</v>
      </c>
      <c r="B186" t="str">
        <f>PROPER(TRIM(Employee_dataset[[#This Row],[First_Name]]))</f>
        <v>Frank</v>
      </c>
      <c r="C186" t="str">
        <f>PROPER(TRIM(Employee_dataset[[#This Row],[Last_Name]]))</f>
        <v>Smith</v>
      </c>
      <c r="D186" s="6" t="str">
        <f>_xlfn.LET(
     _xlpm.a, TRIM(Employee_dataset[[#This Row],[Age]]),
     IF(
        _xlpm.a="","",
        IF(
           AND(ISNUMBER(--_xlpm.a),LEN(_xlpm.a)=2),_xlpm.a,""
          )
       )
    )</f>
        <v>25</v>
      </c>
      <c r="E186" t="str">
        <f>TRIM(_xlfn.TEXTBEFORE(Employee_dataset[[#This Row],[Department_Region]],"-"))</f>
        <v>Finance</v>
      </c>
      <c r="F186" t="str">
        <f>TRIM(_xlfn.TEXTAFTER(Employee_dataset[[#This Row],[Department_Region]],"-"))</f>
        <v>Nevada</v>
      </c>
      <c r="G186" t="str">
        <f>TRIM(Employee_dataset[[#This Row],[Status]])</f>
        <v>Active</v>
      </c>
      <c r="H186" s="1">
        <f>_xlfn.LET(
     _xlpm.d, Employee_dataset[[#This Row],[Join_Date]],
     IF(
        ISNUMBER(_xlpm.d),_xlpm.d,""
       )
    )</f>
        <v>44724</v>
      </c>
      <c r="I186" s="6">
        <f>_xlfn.LET(
     _xlpm.s, TRIM(Employee_dataset[[#This Row],[Salary]]),
     IF(
        UPPER(_xlpm.s)="N/A","",
        IF(
           ISNUMBER(--_xlpm.s),ROUND(_xlfn.NUMBERVALUE(_xlpm.s),2),""
          )
       )
    )</f>
        <v>51311.91</v>
      </c>
      <c r="J186" t="str">
        <f>TRIM(Employee_dataset[[#This Row],[Email]])</f>
        <v>frank.smith@example.com</v>
      </c>
      <c r="K186" t="b">
        <f>_xlfn.LET(
     _xlpm.p,TRIM(SUBSTITUTE(Employee_dataset[[#This Row],[Phone]],"-","")),
     IF(
        LEN(_xlpm.p)=10,_xlfn.CONCAT("("&amp;LEFT(_xlpm.p,3)&amp;") "&amp;MID(_xlpm.p,4,3)&amp;"-"&amp;RIGHT(_xlpm.p,4),"")
       )
     )</f>
        <v>0</v>
      </c>
      <c r="L186" t="str">
        <f>TRIM(Employee_dataset[[#This Row],[Performance_Score]])</f>
        <v>Excellent</v>
      </c>
      <c r="M186" t="str">
        <f>TRIM(Employee_dataset[[#This Row],[Remote_Work]])</f>
        <v>FALSE</v>
      </c>
    </row>
    <row r="187" spans="1:13" x14ac:dyDescent="0.3">
      <c r="A187" t="str">
        <f>TRIM(Employee_dataset[[#This Row],[Employee_ID]])</f>
        <v>EMP1185</v>
      </c>
      <c r="B187" t="str">
        <f>PROPER(TRIM(Employee_dataset[[#This Row],[First_Name]]))</f>
        <v>Frank</v>
      </c>
      <c r="C187" t="str">
        <f>PROPER(TRIM(Employee_dataset[[#This Row],[Last_Name]]))</f>
        <v>Jones</v>
      </c>
      <c r="D187" s="6" t="str">
        <f>_xlfn.LET(
     _xlpm.a, TRIM(Employee_dataset[[#This Row],[Age]]),
     IF(
        _xlpm.a="","",
        IF(
           AND(ISNUMBER(--_xlpm.a),LEN(_xlpm.a)=2),_xlpm.a,""
          )
       )
    )</f>
        <v/>
      </c>
      <c r="E187" t="str">
        <f>TRIM(_xlfn.TEXTBEFORE(Employee_dataset[[#This Row],[Department_Region]],"-"))</f>
        <v>Finance</v>
      </c>
      <c r="F187" t="str">
        <f>TRIM(_xlfn.TEXTAFTER(Employee_dataset[[#This Row],[Department_Region]],"-"))</f>
        <v>Illinois</v>
      </c>
      <c r="G187" t="str">
        <f>TRIM(Employee_dataset[[#This Row],[Status]])</f>
        <v>Inactive</v>
      </c>
      <c r="H187" s="1">
        <f>_xlfn.LET(
     _xlpm.d, Employee_dataset[[#This Row],[Join_Date]],
     IF(
        ISNUMBER(_xlpm.d),_xlpm.d,""
       )
    )</f>
        <v>45284</v>
      </c>
      <c r="I187" s="6">
        <f>_xlfn.LET(
     _xlpm.s, TRIM(Employee_dataset[[#This Row],[Salary]]),
     IF(
        UPPER(_xlpm.s)="N/A","",
        IF(
           ISNUMBER(--_xlpm.s),ROUND(_xlfn.NUMBERVALUE(_xlpm.s),2),""
          )
       )
    )</f>
        <v>94809.919999999998</v>
      </c>
      <c r="J187" t="str">
        <f>TRIM(Employee_dataset[[#This Row],[Email]])</f>
        <v>frank.jones@example.com</v>
      </c>
      <c r="K187" t="str">
        <f>_xlfn.LET(
     _xlpm.p,TRIM(SUBSTITUTE(Employee_dataset[[#This Row],[Phone]],"-","")),
     IF(
        LEN(_xlpm.p)=10,_xlfn.CONCAT("("&amp;LEFT(_xlpm.p,3)&amp;") "&amp;MID(_xlpm.p,4,3)&amp;"-"&amp;RIGHT(_xlpm.p,4),"")
       )
     )</f>
        <v>(803) 396-8526</v>
      </c>
      <c r="L187" t="str">
        <f>TRIM(Employee_dataset[[#This Row],[Performance_Score]])</f>
        <v>Good</v>
      </c>
      <c r="M187" t="str">
        <f>TRIM(Employee_dataset[[#This Row],[Remote_Work]])</f>
        <v>TRUE</v>
      </c>
    </row>
    <row r="188" spans="1:13" x14ac:dyDescent="0.3">
      <c r="A188" t="str">
        <f>TRIM(Employee_dataset[[#This Row],[Employee_ID]])</f>
        <v>EMP1186</v>
      </c>
      <c r="B188" t="str">
        <f>PROPER(TRIM(Employee_dataset[[#This Row],[First_Name]]))</f>
        <v>Grace</v>
      </c>
      <c r="C188" t="str">
        <f>PROPER(TRIM(Employee_dataset[[#This Row],[Last_Name]]))</f>
        <v>Johnson</v>
      </c>
      <c r="D188" s="6" t="str">
        <f>_xlfn.LET(
     _xlpm.a, TRIM(Employee_dataset[[#This Row],[Age]]),
     IF(
        _xlpm.a="","",
        IF(
           AND(ISNUMBER(--_xlpm.a),LEN(_xlpm.a)=2),_xlpm.a,""
          )
       )
    )</f>
        <v>25</v>
      </c>
      <c r="E188" t="str">
        <f>TRIM(_xlfn.TEXTBEFORE(Employee_dataset[[#This Row],[Department_Region]],"-"))</f>
        <v>HR</v>
      </c>
      <c r="F188" t="str">
        <f>TRIM(_xlfn.TEXTAFTER(Employee_dataset[[#This Row],[Department_Region]],"-"))</f>
        <v>New York</v>
      </c>
      <c r="G188" t="str">
        <f>TRIM(Employee_dataset[[#This Row],[Status]])</f>
        <v>Pending</v>
      </c>
      <c r="H188" s="1">
        <f>_xlfn.LET(
     _xlpm.d, Employee_dataset[[#This Row],[Join_Date]],
     IF(
        ISNUMBER(_xlpm.d),_xlpm.d,""
       )
    )</f>
        <v>44773</v>
      </c>
      <c r="I188" s="6">
        <f>_xlfn.LET(
     _xlpm.s, TRIM(Employee_dataset[[#This Row],[Salary]]),
     IF(
        UPPER(_xlpm.s)="N/A","",
        IF(
           ISNUMBER(--_xlpm.s),ROUND(_xlfn.NUMBERVALUE(_xlpm.s),2),""
          )
       )
    )</f>
        <v>108241.81</v>
      </c>
      <c r="J188" t="str">
        <f>TRIM(Employee_dataset[[#This Row],[Email]])</f>
        <v>grace.johnson@example.com</v>
      </c>
      <c r="K188" t="b">
        <f>_xlfn.LET(
     _xlpm.p,TRIM(SUBSTITUTE(Employee_dataset[[#This Row],[Phone]],"-","")),
     IF(
        LEN(_xlpm.p)=10,_xlfn.CONCAT("("&amp;LEFT(_xlpm.p,3)&amp;") "&amp;MID(_xlpm.p,4,3)&amp;"-"&amp;RIGHT(_xlpm.p,4),"")
       )
     )</f>
        <v>0</v>
      </c>
      <c r="L188" t="str">
        <f>TRIM(Employee_dataset[[#This Row],[Performance_Score]])</f>
        <v>Excellent</v>
      </c>
      <c r="M188" t="str">
        <f>TRIM(Employee_dataset[[#This Row],[Remote_Work]])</f>
        <v>TRUE</v>
      </c>
    </row>
    <row r="189" spans="1:13" x14ac:dyDescent="0.3">
      <c r="A189" t="str">
        <f>TRIM(Employee_dataset[[#This Row],[Employee_ID]])</f>
        <v>EMP1187</v>
      </c>
      <c r="B189" t="str">
        <f>PROPER(TRIM(Employee_dataset[[#This Row],[First_Name]]))</f>
        <v>Bob</v>
      </c>
      <c r="C189" t="str">
        <f>PROPER(TRIM(Employee_dataset[[#This Row],[Last_Name]]))</f>
        <v>Davis</v>
      </c>
      <c r="D189" s="6" t="str">
        <f>_xlfn.LET(
     _xlpm.a, TRIM(Employee_dataset[[#This Row],[Age]]),
     IF(
        _xlpm.a="","",
        IF(
           AND(ISNUMBER(--_xlpm.a),LEN(_xlpm.a)=2),_xlpm.a,""
          )
       )
    )</f>
        <v>40</v>
      </c>
      <c r="E189" t="str">
        <f>TRIM(_xlfn.TEXTBEFORE(Employee_dataset[[#This Row],[Department_Region]],"-"))</f>
        <v>Cloud Tech</v>
      </c>
      <c r="F189" t="str">
        <f>TRIM(_xlfn.TEXTAFTER(Employee_dataset[[#This Row],[Department_Region]],"-"))</f>
        <v>New York</v>
      </c>
      <c r="G189" t="str">
        <f>TRIM(Employee_dataset[[#This Row],[Status]])</f>
        <v>Inactive</v>
      </c>
      <c r="H189" s="1">
        <f>_xlfn.LET(
     _xlpm.d, Employee_dataset[[#This Row],[Join_Date]],
     IF(
        ISNUMBER(_xlpm.d),_xlpm.d,""
       )
    )</f>
        <v>45037</v>
      </c>
      <c r="I189" s="6">
        <f>_xlfn.LET(
     _xlpm.s, TRIM(Employee_dataset[[#This Row],[Salary]]),
     IF(
        UPPER(_xlpm.s)="N/A","",
        IF(
           ISNUMBER(--_xlpm.s),ROUND(_xlfn.NUMBERVALUE(_xlpm.s),2),""
          )
       )
    )</f>
        <v>78031.490000000005</v>
      </c>
      <c r="J189" t="str">
        <f>TRIM(Employee_dataset[[#This Row],[Email]])</f>
        <v>bob.davis@example.com</v>
      </c>
      <c r="K189" t="str">
        <f>_xlfn.LET(
     _xlpm.p,TRIM(SUBSTITUTE(Employee_dataset[[#This Row],[Phone]],"-","")),
     IF(
        LEN(_xlpm.p)=10,_xlfn.CONCAT("("&amp;LEFT(_xlpm.p,3)&amp;") "&amp;MID(_xlpm.p,4,3)&amp;"-"&amp;RIGHT(_xlpm.p,4),"")
       )
     )</f>
        <v>(298) 338-1673</v>
      </c>
      <c r="L189" t="str">
        <f>TRIM(Employee_dataset[[#This Row],[Performance_Score]])</f>
        <v>Good</v>
      </c>
      <c r="M189" t="str">
        <f>TRIM(Employee_dataset[[#This Row],[Remote_Work]])</f>
        <v>TRUE</v>
      </c>
    </row>
    <row r="190" spans="1:13" x14ac:dyDescent="0.3">
      <c r="A190" t="str">
        <f>TRIM(Employee_dataset[[#This Row],[Employee_ID]])</f>
        <v>EMP1188</v>
      </c>
      <c r="B190" t="str">
        <f>PROPER(TRIM(Employee_dataset[[#This Row],[First_Name]]))</f>
        <v>Eva</v>
      </c>
      <c r="C190" t="str">
        <f>PROPER(TRIM(Employee_dataset[[#This Row],[Last_Name]]))</f>
        <v>Davis</v>
      </c>
      <c r="D190" s="6" t="str">
        <f>_xlfn.LET(
     _xlpm.a, TRIM(Employee_dataset[[#This Row],[Age]]),
     IF(
        _xlpm.a="","",
        IF(
           AND(ISNUMBER(--_xlpm.a),LEN(_xlpm.a)=2),_xlpm.a,""
          )
       )
    )</f>
        <v>35</v>
      </c>
      <c r="E190" t="str">
        <f>TRIM(_xlfn.TEXTBEFORE(Employee_dataset[[#This Row],[Department_Region]],"-"))</f>
        <v>Admin</v>
      </c>
      <c r="F190" t="str">
        <f>TRIM(_xlfn.TEXTAFTER(Employee_dataset[[#This Row],[Department_Region]],"-"))</f>
        <v>California</v>
      </c>
      <c r="G190" t="str">
        <f>TRIM(Employee_dataset[[#This Row],[Status]])</f>
        <v>Active</v>
      </c>
      <c r="H190" s="1">
        <f>_xlfn.LET(
     _xlpm.d, Employee_dataset[[#This Row],[Join_Date]],
     IF(
        ISNUMBER(_xlpm.d),_xlpm.d,""
       )
    )</f>
        <v>43987</v>
      </c>
      <c r="I190" s="6">
        <f>_xlfn.LET(
     _xlpm.s, TRIM(Employee_dataset[[#This Row],[Salary]]),
     IF(
        UPPER(_xlpm.s)="N/A","",
        IF(
           ISNUMBER(--_xlpm.s),ROUND(_xlfn.NUMBERVALUE(_xlpm.s),2),""
          )
       )
    )</f>
        <v>85733.83</v>
      </c>
      <c r="J190" t="str">
        <f>TRIM(Employee_dataset[[#This Row],[Email]])</f>
        <v>eva.davis@example.com</v>
      </c>
      <c r="K190" t="str">
        <f>_xlfn.LET(
     _xlpm.p,TRIM(SUBSTITUTE(Employee_dataset[[#This Row],[Phone]],"-","")),
     IF(
        LEN(_xlpm.p)=10,_xlfn.CONCAT("("&amp;LEFT(_xlpm.p,3)&amp;") "&amp;MID(_xlpm.p,4,3)&amp;"-"&amp;RIGHT(_xlpm.p,4),"")
       )
     )</f>
        <v>(233) 629-3448</v>
      </c>
      <c r="L190" t="str">
        <f>TRIM(Employee_dataset[[#This Row],[Performance_Score]])</f>
        <v>Excellent</v>
      </c>
      <c r="M190" t="str">
        <f>TRIM(Employee_dataset[[#This Row],[Remote_Work]])</f>
        <v>TRUE</v>
      </c>
    </row>
    <row r="191" spans="1:13" x14ac:dyDescent="0.3">
      <c r="A191" t="str">
        <f>TRIM(Employee_dataset[[#This Row],[Employee_ID]])</f>
        <v>EMP1189</v>
      </c>
      <c r="B191" t="str">
        <f>PROPER(TRIM(Employee_dataset[[#This Row],[First_Name]]))</f>
        <v>David</v>
      </c>
      <c r="C191" t="str">
        <f>PROPER(TRIM(Employee_dataset[[#This Row],[Last_Name]]))</f>
        <v>Miller</v>
      </c>
      <c r="D191" s="6" t="str">
        <f>_xlfn.LET(
     _xlpm.a, TRIM(Employee_dataset[[#This Row],[Age]]),
     IF(
        _xlpm.a="","",
        IF(
           AND(ISNUMBER(--_xlpm.a),LEN(_xlpm.a)=2),_xlpm.a,""
          )
       )
    )</f>
        <v>35</v>
      </c>
      <c r="E191" t="str">
        <f>TRIM(_xlfn.TEXTBEFORE(Employee_dataset[[#This Row],[Department_Region]],"-"))</f>
        <v>HR</v>
      </c>
      <c r="F191" t="str">
        <f>TRIM(_xlfn.TEXTAFTER(Employee_dataset[[#This Row],[Department_Region]],"-"))</f>
        <v>Nevada</v>
      </c>
      <c r="G191" t="str">
        <f>TRIM(Employee_dataset[[#This Row],[Status]])</f>
        <v>Pending</v>
      </c>
      <c r="H191" s="1">
        <f>_xlfn.LET(
     _xlpm.d, Employee_dataset[[#This Row],[Join_Date]],
     IF(
        ISNUMBER(_xlpm.d),_xlpm.d,""
       )
    )</f>
        <v>45500</v>
      </c>
      <c r="I191" s="6">
        <f>_xlfn.LET(
     _xlpm.s, TRIM(Employee_dataset[[#This Row],[Salary]]),
     IF(
        UPPER(_xlpm.s)="N/A","",
        IF(
           ISNUMBER(--_xlpm.s),ROUND(_xlfn.NUMBERVALUE(_xlpm.s),2),""
          )
       )
    )</f>
        <v>60338.29</v>
      </c>
      <c r="J191" t="str">
        <f>TRIM(Employee_dataset[[#This Row],[Email]])</f>
        <v>david.miller@example.com</v>
      </c>
      <c r="K191" t="str">
        <f>_xlfn.LET(
     _xlpm.p,TRIM(SUBSTITUTE(Employee_dataset[[#This Row],[Phone]],"-","")),
     IF(
        LEN(_xlpm.p)=10,_xlfn.CONCAT("("&amp;LEFT(_xlpm.p,3)&amp;") "&amp;MID(_xlpm.p,4,3)&amp;"-"&amp;RIGHT(_xlpm.p,4),"")
       )
     )</f>
        <v>(734) 715-6626</v>
      </c>
      <c r="L191" t="str">
        <f>TRIM(Employee_dataset[[#This Row],[Performance_Score]])</f>
        <v>Excellent</v>
      </c>
      <c r="M191" t="str">
        <f>TRIM(Employee_dataset[[#This Row],[Remote_Work]])</f>
        <v>FALSE</v>
      </c>
    </row>
    <row r="192" spans="1:13" x14ac:dyDescent="0.3">
      <c r="A192" t="str">
        <f>TRIM(Employee_dataset[[#This Row],[Employee_ID]])</f>
        <v>EMP1190</v>
      </c>
      <c r="B192" t="str">
        <f>PROPER(TRIM(Employee_dataset[[#This Row],[First_Name]]))</f>
        <v>Eva</v>
      </c>
      <c r="C192" t="str">
        <f>PROPER(TRIM(Employee_dataset[[#This Row],[Last_Name]]))</f>
        <v>Davis</v>
      </c>
      <c r="D192" s="6" t="str">
        <f>_xlfn.LET(
     _xlpm.a, TRIM(Employee_dataset[[#This Row],[Age]]),
     IF(
        _xlpm.a="","",
        IF(
           AND(ISNUMBER(--_xlpm.a),LEN(_xlpm.a)=2),_xlpm.a,""
          )
       )
    )</f>
        <v>30</v>
      </c>
      <c r="E192" t="str">
        <f>TRIM(_xlfn.TEXTBEFORE(Employee_dataset[[#This Row],[Department_Region]],"-"))</f>
        <v>Admin</v>
      </c>
      <c r="F192" t="str">
        <f>TRIM(_xlfn.TEXTAFTER(Employee_dataset[[#This Row],[Department_Region]],"-"))</f>
        <v>Illinois</v>
      </c>
      <c r="G192" t="str">
        <f>TRIM(Employee_dataset[[#This Row],[Status]])</f>
        <v>Active</v>
      </c>
      <c r="H192" s="1">
        <f>_xlfn.LET(
     _xlpm.d, Employee_dataset[[#This Row],[Join_Date]],
     IF(
        ISNUMBER(_xlpm.d),_xlpm.d,""
       )
    )</f>
        <v>45387</v>
      </c>
      <c r="I192" s="6">
        <f>_xlfn.LET(
     _xlpm.s, TRIM(Employee_dataset[[#This Row],[Salary]]),
     IF(
        UPPER(_xlpm.s)="N/A","",
        IF(
           ISNUMBER(--_xlpm.s),ROUND(_xlfn.NUMBERVALUE(_xlpm.s),2),""
          )
       )
    )</f>
        <v>103140.67</v>
      </c>
      <c r="J192" t="str">
        <f>TRIM(Employee_dataset[[#This Row],[Email]])</f>
        <v>eva.davis@example.com</v>
      </c>
      <c r="K192" t="str">
        <f>_xlfn.LET(
     _xlpm.p,TRIM(SUBSTITUTE(Employee_dataset[[#This Row],[Phone]],"-","")),
     IF(
        LEN(_xlpm.p)=10,_xlfn.CONCAT("("&amp;LEFT(_xlpm.p,3)&amp;") "&amp;MID(_xlpm.p,4,3)&amp;"-"&amp;RIGHT(_xlpm.p,4),"")
       )
     )</f>
        <v>(768) 962-7065</v>
      </c>
      <c r="L192" t="str">
        <f>TRIM(Employee_dataset[[#This Row],[Performance_Score]])</f>
        <v>Excellent</v>
      </c>
      <c r="M192" t="str">
        <f>TRIM(Employee_dataset[[#This Row],[Remote_Work]])</f>
        <v>FALSE</v>
      </c>
    </row>
    <row r="193" spans="1:13" x14ac:dyDescent="0.3">
      <c r="A193" t="str">
        <f>TRIM(Employee_dataset[[#This Row],[Employee_ID]])</f>
        <v>EMP1191</v>
      </c>
      <c r="B193" t="str">
        <f>PROPER(TRIM(Employee_dataset[[#This Row],[First_Name]]))</f>
        <v>Heidi</v>
      </c>
      <c r="C193" t="str">
        <f>PROPER(TRIM(Employee_dataset[[#This Row],[Last_Name]]))</f>
        <v>Williams</v>
      </c>
      <c r="D193" s="6" t="str">
        <f>_xlfn.LET(
     _xlpm.a, TRIM(Employee_dataset[[#This Row],[Age]]),
     IF(
        _xlpm.a="","",
        IF(
           AND(ISNUMBER(--_xlpm.a),LEN(_xlpm.a)=2),_xlpm.a,""
          )
       )
    )</f>
        <v>40</v>
      </c>
      <c r="E193" t="str">
        <f>TRIM(_xlfn.TEXTBEFORE(Employee_dataset[[#This Row],[Department_Region]],"-"))</f>
        <v>Sales</v>
      </c>
      <c r="F193" t="str">
        <f>TRIM(_xlfn.TEXTAFTER(Employee_dataset[[#This Row],[Department_Region]],"-"))</f>
        <v>Illinois</v>
      </c>
      <c r="G193" t="str">
        <f>TRIM(Employee_dataset[[#This Row],[Status]])</f>
        <v>Inactive</v>
      </c>
      <c r="H193" s="1">
        <f>_xlfn.LET(
     _xlpm.d, Employee_dataset[[#This Row],[Join_Date]],
     IF(
        ISNUMBER(_xlpm.d),_xlpm.d,""
       )
    )</f>
        <v>45225</v>
      </c>
      <c r="I193" s="6">
        <f>_xlfn.LET(
     _xlpm.s, TRIM(Employee_dataset[[#This Row],[Salary]]),
     IF(
        UPPER(_xlpm.s)="N/A","",
        IF(
           ISNUMBER(--_xlpm.s),ROUND(_xlfn.NUMBERVALUE(_xlpm.s),2),""
          )
       )
    )</f>
        <v>114690.8</v>
      </c>
      <c r="J193" t="str">
        <f>TRIM(Employee_dataset[[#This Row],[Email]])</f>
        <v>heidi.williams@example.com</v>
      </c>
      <c r="K193" t="str">
        <f>_xlfn.LET(
     _xlpm.p,TRIM(SUBSTITUTE(Employee_dataset[[#This Row],[Phone]],"-","")),
     IF(
        LEN(_xlpm.p)=10,_xlfn.CONCAT("("&amp;LEFT(_xlpm.p,3)&amp;") "&amp;MID(_xlpm.p,4,3)&amp;"-"&amp;RIGHT(_xlpm.p,4),"")
       )
     )</f>
        <v>(149) 828-2466</v>
      </c>
      <c r="L193" t="str">
        <f>TRIM(Employee_dataset[[#This Row],[Performance_Score]])</f>
        <v>Poor</v>
      </c>
      <c r="M193" t="str">
        <f>TRIM(Employee_dataset[[#This Row],[Remote_Work]])</f>
        <v>TRUE</v>
      </c>
    </row>
    <row r="194" spans="1:13" x14ac:dyDescent="0.3">
      <c r="A194" t="str">
        <f>TRIM(Employee_dataset[[#This Row],[Employee_ID]])</f>
        <v>EMP1192</v>
      </c>
      <c r="B194" t="str">
        <f>PROPER(TRIM(Employee_dataset[[#This Row],[First_Name]]))</f>
        <v>Frank</v>
      </c>
      <c r="C194" t="str">
        <f>PROPER(TRIM(Employee_dataset[[#This Row],[Last_Name]]))</f>
        <v>Smith</v>
      </c>
      <c r="D194" s="6" t="str">
        <f>_xlfn.LET(
     _xlpm.a, TRIM(Employee_dataset[[#This Row],[Age]]),
     IF(
        _xlpm.a="","",
        IF(
           AND(ISNUMBER(--_xlpm.a),LEN(_xlpm.a)=2),_xlpm.a,""
          )
       )
    )</f>
        <v>35</v>
      </c>
      <c r="E194" t="str">
        <f>TRIM(_xlfn.TEXTBEFORE(Employee_dataset[[#This Row],[Department_Region]],"-"))</f>
        <v>Admin</v>
      </c>
      <c r="F194" t="str">
        <f>TRIM(_xlfn.TEXTAFTER(Employee_dataset[[#This Row],[Department_Region]],"-"))</f>
        <v>Florida</v>
      </c>
      <c r="G194" t="str">
        <f>TRIM(Employee_dataset[[#This Row],[Status]])</f>
        <v>Active</v>
      </c>
      <c r="H194" s="1">
        <f>_xlfn.LET(
     _xlpm.d, Employee_dataset[[#This Row],[Join_Date]],
     IF(
        ISNUMBER(_xlpm.d),_xlpm.d,""
       )
    )</f>
        <v>44791</v>
      </c>
      <c r="I194" s="6">
        <f>_xlfn.LET(
     _xlpm.s, TRIM(Employee_dataset[[#This Row],[Salary]]),
     IF(
        UPPER(_xlpm.s)="N/A","",
        IF(
           ISNUMBER(--_xlpm.s),ROUND(_xlfn.NUMBERVALUE(_xlpm.s),2),""
          )
       )
    )</f>
        <v>80954.559999999998</v>
      </c>
      <c r="J194" t="str">
        <f>TRIM(Employee_dataset[[#This Row],[Email]])</f>
        <v>frank.smith@example.com</v>
      </c>
      <c r="K194" t="str">
        <f>_xlfn.LET(
     _xlpm.p,TRIM(SUBSTITUTE(Employee_dataset[[#This Row],[Phone]],"-","")),
     IF(
        LEN(_xlpm.p)=10,_xlfn.CONCAT("("&amp;LEFT(_xlpm.p,3)&amp;") "&amp;MID(_xlpm.p,4,3)&amp;"-"&amp;RIGHT(_xlpm.p,4),"")
       )
     )</f>
        <v>(474) 689-7151</v>
      </c>
      <c r="L194" t="str">
        <f>TRIM(Employee_dataset[[#This Row],[Performance_Score]])</f>
        <v>Good</v>
      </c>
      <c r="M194" t="str">
        <f>TRIM(Employee_dataset[[#This Row],[Remote_Work]])</f>
        <v>FALSE</v>
      </c>
    </row>
    <row r="195" spans="1:13" x14ac:dyDescent="0.3">
      <c r="A195" t="str">
        <f>TRIM(Employee_dataset[[#This Row],[Employee_ID]])</f>
        <v>EMP1193</v>
      </c>
      <c r="B195" t="str">
        <f>PROPER(TRIM(Employee_dataset[[#This Row],[First_Name]]))</f>
        <v>Eva</v>
      </c>
      <c r="C195" t="str">
        <f>PROPER(TRIM(Employee_dataset[[#This Row],[Last_Name]]))</f>
        <v>Davis</v>
      </c>
      <c r="D195" s="6" t="str">
        <f>_xlfn.LET(
     _xlpm.a, TRIM(Employee_dataset[[#This Row],[Age]]),
     IF(
        _xlpm.a="","",
        IF(
           AND(ISNUMBER(--_xlpm.a),LEN(_xlpm.a)=2),_xlpm.a,""
          )
       )
    )</f>
        <v/>
      </c>
      <c r="E195" t="str">
        <f>TRIM(_xlfn.TEXTBEFORE(Employee_dataset[[#This Row],[Department_Region]],"-"))</f>
        <v>Cloud Tech</v>
      </c>
      <c r="F195" t="str">
        <f>TRIM(_xlfn.TEXTAFTER(Employee_dataset[[#This Row],[Department_Region]],"-"))</f>
        <v>California</v>
      </c>
      <c r="G195" t="str">
        <f>TRIM(Employee_dataset[[#This Row],[Status]])</f>
        <v>Pending</v>
      </c>
      <c r="H195" s="1">
        <f>_xlfn.LET(
     _xlpm.d, Employee_dataset[[#This Row],[Join_Date]],
     IF(
        ISNUMBER(_xlpm.d),_xlpm.d,""
       )
    )</f>
        <v>43982</v>
      </c>
      <c r="I195" s="6">
        <f>_xlfn.LET(
     _xlpm.s, TRIM(Employee_dataset[[#This Row],[Salary]]),
     IF(
        UPPER(_xlpm.s)="N/A","",
        IF(
           ISNUMBER(--_xlpm.s),ROUND(_xlfn.NUMBERVALUE(_xlpm.s),2),""
          )
       )
    )</f>
        <v>71728.55</v>
      </c>
      <c r="J195" t="str">
        <f>TRIM(Employee_dataset[[#This Row],[Email]])</f>
        <v>eva.davis@example.com</v>
      </c>
      <c r="K195" t="str">
        <f>_xlfn.LET(
     _xlpm.p,TRIM(SUBSTITUTE(Employee_dataset[[#This Row],[Phone]],"-","")),
     IF(
        LEN(_xlpm.p)=10,_xlfn.CONCAT("("&amp;LEFT(_xlpm.p,3)&amp;") "&amp;MID(_xlpm.p,4,3)&amp;"-"&amp;RIGHT(_xlpm.p,4),"")
       )
     )</f>
        <v>(732) 300-8575</v>
      </c>
      <c r="L195" t="str">
        <f>TRIM(Employee_dataset[[#This Row],[Performance_Score]])</f>
        <v>Good</v>
      </c>
      <c r="M195" t="str">
        <f>TRIM(Employee_dataset[[#This Row],[Remote_Work]])</f>
        <v>TRUE</v>
      </c>
    </row>
    <row r="196" spans="1:13" x14ac:dyDescent="0.3">
      <c r="A196" t="str">
        <f>TRIM(Employee_dataset[[#This Row],[Employee_ID]])</f>
        <v>EMP1194</v>
      </c>
      <c r="B196" t="str">
        <f>PROPER(TRIM(Employee_dataset[[#This Row],[First_Name]]))</f>
        <v>Alice</v>
      </c>
      <c r="C196" t="str">
        <f>PROPER(TRIM(Employee_dataset[[#This Row],[Last_Name]]))</f>
        <v>Davis</v>
      </c>
      <c r="D196" s="6" t="str">
        <f>_xlfn.LET(
     _xlpm.a, TRIM(Employee_dataset[[#This Row],[Age]]),
     IF(
        _xlpm.a="","",
        IF(
           AND(ISNUMBER(--_xlpm.a),LEN(_xlpm.a)=2),_xlpm.a,""
          )
       )
    )</f>
        <v>35</v>
      </c>
      <c r="E196" t="str">
        <f>TRIM(_xlfn.TEXTBEFORE(Employee_dataset[[#This Row],[Department_Region]],"-"))</f>
        <v>HR</v>
      </c>
      <c r="F196" t="str">
        <f>TRIM(_xlfn.TEXTAFTER(Employee_dataset[[#This Row],[Department_Region]],"-"))</f>
        <v>Texas</v>
      </c>
      <c r="G196" t="str">
        <f>TRIM(Employee_dataset[[#This Row],[Status]])</f>
        <v>Pending</v>
      </c>
      <c r="H196" s="1">
        <f>_xlfn.LET(
     _xlpm.d, Employee_dataset[[#This Row],[Join_Date]],
     IF(
        ISNUMBER(_xlpm.d),_xlpm.d,""
       )
    )</f>
        <v>45600</v>
      </c>
      <c r="I196" s="6">
        <f>_xlfn.LET(
     _xlpm.s, TRIM(Employee_dataset[[#This Row],[Salary]]),
     IF(
        UPPER(_xlpm.s)="N/A","",
        IF(
           ISNUMBER(--_xlpm.s),ROUND(_xlfn.NUMBERVALUE(_xlpm.s),2),""
          )
       )
    )</f>
        <v>118415.8</v>
      </c>
      <c r="J196" t="str">
        <f>TRIM(Employee_dataset[[#This Row],[Email]])</f>
        <v>alice.davis@example.com</v>
      </c>
      <c r="K196" t="str">
        <f>_xlfn.LET(
     _xlpm.p,TRIM(SUBSTITUTE(Employee_dataset[[#This Row],[Phone]],"-","")),
     IF(
        LEN(_xlpm.p)=10,_xlfn.CONCAT("("&amp;LEFT(_xlpm.p,3)&amp;") "&amp;MID(_xlpm.p,4,3)&amp;"-"&amp;RIGHT(_xlpm.p,4),"")
       )
     )</f>
        <v>(665) 674-9159</v>
      </c>
      <c r="L196" t="str">
        <f>TRIM(Employee_dataset[[#This Row],[Performance_Score]])</f>
        <v>Good</v>
      </c>
      <c r="M196" t="str">
        <f>TRIM(Employee_dataset[[#This Row],[Remote_Work]])</f>
        <v>TRUE</v>
      </c>
    </row>
    <row r="197" spans="1:13" x14ac:dyDescent="0.3">
      <c r="A197" t="str">
        <f>TRIM(Employee_dataset[[#This Row],[Employee_ID]])</f>
        <v>EMP1195</v>
      </c>
      <c r="B197" t="str">
        <f>PROPER(TRIM(Employee_dataset[[#This Row],[First_Name]]))</f>
        <v>Grace</v>
      </c>
      <c r="C197" t="str">
        <f>PROPER(TRIM(Employee_dataset[[#This Row],[Last_Name]]))</f>
        <v>Johnson</v>
      </c>
      <c r="D197" s="6" t="str">
        <f>_xlfn.LET(
     _xlpm.a, TRIM(Employee_dataset[[#This Row],[Age]]),
     IF(
        _xlpm.a="","",
        IF(
           AND(ISNUMBER(--_xlpm.a),LEN(_xlpm.a)=2),_xlpm.a,""
          )
       )
    )</f>
        <v>40</v>
      </c>
      <c r="E197" t="str">
        <f>TRIM(_xlfn.TEXTBEFORE(Employee_dataset[[#This Row],[Department_Region]],"-"))</f>
        <v>Sales</v>
      </c>
      <c r="F197" t="str">
        <f>TRIM(_xlfn.TEXTAFTER(Employee_dataset[[#This Row],[Department_Region]],"-"))</f>
        <v>Illinois</v>
      </c>
      <c r="G197" t="str">
        <f>TRIM(Employee_dataset[[#This Row],[Status]])</f>
        <v>Pending</v>
      </c>
      <c r="H197" s="1">
        <f>_xlfn.LET(
     _xlpm.d, Employee_dataset[[#This Row],[Join_Date]],
     IF(
        ISNUMBER(_xlpm.d),_xlpm.d,""
       )
    )</f>
        <v>43915</v>
      </c>
      <c r="I197" s="6">
        <f>_xlfn.LET(
     _xlpm.s, TRIM(Employee_dataset[[#This Row],[Salary]]),
     IF(
        UPPER(_xlpm.s)="N/A","",
        IF(
           ISNUMBER(--_xlpm.s),ROUND(_xlfn.NUMBERVALUE(_xlpm.s),2),""
          )
       )
    )</f>
        <v>81481.36</v>
      </c>
      <c r="J197" t="str">
        <f>TRIM(Employee_dataset[[#This Row],[Email]])</f>
        <v>grace.johnson@example.com</v>
      </c>
      <c r="K197" t="str">
        <f>_xlfn.LET(
     _xlpm.p,TRIM(SUBSTITUTE(Employee_dataset[[#This Row],[Phone]],"-","")),
     IF(
        LEN(_xlpm.p)=10,_xlfn.CONCAT("("&amp;LEFT(_xlpm.p,3)&amp;") "&amp;MID(_xlpm.p,4,3)&amp;"-"&amp;RIGHT(_xlpm.p,4),"")
       )
     )</f>
        <v>(169) 236-4586</v>
      </c>
      <c r="L197" t="str">
        <f>TRIM(Employee_dataset[[#This Row],[Performance_Score]])</f>
        <v>Excellent</v>
      </c>
      <c r="M197" t="str">
        <f>TRIM(Employee_dataset[[#This Row],[Remote_Work]])</f>
        <v>FALSE</v>
      </c>
    </row>
    <row r="198" spans="1:13" x14ac:dyDescent="0.3">
      <c r="A198" t="str">
        <f>TRIM(Employee_dataset[[#This Row],[Employee_ID]])</f>
        <v>EMP1196</v>
      </c>
      <c r="B198" t="str">
        <f>PROPER(TRIM(Employee_dataset[[#This Row],[First_Name]]))</f>
        <v>David</v>
      </c>
      <c r="C198" t="str">
        <f>PROPER(TRIM(Employee_dataset[[#This Row],[Last_Name]]))</f>
        <v>Johnson</v>
      </c>
      <c r="D198" s="6" t="str">
        <f>_xlfn.LET(
     _xlpm.a, TRIM(Employee_dataset[[#This Row],[Age]]),
     IF(
        _xlpm.a="","",
        IF(
           AND(ISNUMBER(--_xlpm.a),LEN(_xlpm.a)=2),_xlpm.a,""
          )
       )
    )</f>
        <v>35</v>
      </c>
      <c r="E198" t="str">
        <f>TRIM(_xlfn.TEXTBEFORE(Employee_dataset[[#This Row],[Department_Region]],"-"))</f>
        <v>Sales</v>
      </c>
      <c r="F198" t="str">
        <f>TRIM(_xlfn.TEXTAFTER(Employee_dataset[[#This Row],[Department_Region]],"-"))</f>
        <v>Florida</v>
      </c>
      <c r="G198" t="str">
        <f>TRIM(Employee_dataset[[#This Row],[Status]])</f>
        <v>Pending</v>
      </c>
      <c r="H198" s="1">
        <f>_xlfn.LET(
     _xlpm.d, Employee_dataset[[#This Row],[Join_Date]],
     IF(
        ISNUMBER(_xlpm.d),_xlpm.d,""
       )
    )</f>
        <v>44139</v>
      </c>
      <c r="I198" s="6">
        <f>_xlfn.LET(
     _xlpm.s, TRIM(Employee_dataset[[#This Row],[Salary]]),
     IF(
        UPPER(_xlpm.s)="N/A","",
        IF(
           ISNUMBER(--_xlpm.s),ROUND(_xlfn.NUMBERVALUE(_xlpm.s),2),""
          )
       )
    )</f>
        <v>117040.57</v>
      </c>
      <c r="J198" t="str">
        <f>TRIM(Employee_dataset[[#This Row],[Email]])</f>
        <v>david.johnson@example.com</v>
      </c>
      <c r="K198" t="str">
        <f>_xlfn.LET(
     _xlpm.p,TRIM(SUBSTITUTE(Employee_dataset[[#This Row],[Phone]],"-","")),
     IF(
        LEN(_xlpm.p)=10,_xlfn.CONCAT("("&amp;LEFT(_xlpm.p,3)&amp;") "&amp;MID(_xlpm.p,4,3)&amp;"-"&amp;RIGHT(_xlpm.p,4),"")
       )
     )</f>
        <v>(506) 633-7049</v>
      </c>
      <c r="L198" t="str">
        <f>TRIM(Employee_dataset[[#This Row],[Performance_Score]])</f>
        <v>Good</v>
      </c>
      <c r="M198" t="str">
        <f>TRIM(Employee_dataset[[#This Row],[Remote_Work]])</f>
        <v>TRUE</v>
      </c>
    </row>
    <row r="199" spans="1:13" x14ac:dyDescent="0.3">
      <c r="A199" t="str">
        <f>TRIM(Employee_dataset[[#This Row],[Employee_ID]])</f>
        <v>EMP1197</v>
      </c>
      <c r="B199" t="str">
        <f>PROPER(TRIM(Employee_dataset[[#This Row],[First_Name]]))</f>
        <v>Frank</v>
      </c>
      <c r="C199" t="str">
        <f>PROPER(TRIM(Employee_dataset[[#This Row],[Last_Name]]))</f>
        <v>Brown</v>
      </c>
      <c r="D199" s="6" t="str">
        <f>_xlfn.LET(
     _xlpm.a, TRIM(Employee_dataset[[#This Row],[Age]]),
     IF(
        _xlpm.a="","",
        IF(
           AND(ISNUMBER(--_xlpm.a),LEN(_xlpm.a)=2),_xlpm.a,""
          )
       )
    )</f>
        <v>25</v>
      </c>
      <c r="E199" t="str">
        <f>TRIM(_xlfn.TEXTBEFORE(Employee_dataset[[#This Row],[Department_Region]],"-"))</f>
        <v>Sales</v>
      </c>
      <c r="F199" t="str">
        <f>TRIM(_xlfn.TEXTAFTER(Employee_dataset[[#This Row],[Department_Region]],"-"))</f>
        <v>Nevada</v>
      </c>
      <c r="G199" t="str">
        <f>TRIM(Employee_dataset[[#This Row],[Status]])</f>
        <v>Active</v>
      </c>
      <c r="H199" s="1">
        <f>_xlfn.LET(
     _xlpm.d, Employee_dataset[[#This Row],[Join_Date]],
     IF(
        ISNUMBER(_xlpm.d),_xlpm.d,""
       )
    )</f>
        <v>43911</v>
      </c>
      <c r="I199" s="6">
        <f>_xlfn.LET(
     _xlpm.s, TRIM(Employee_dataset[[#This Row],[Salary]]),
     IF(
        UPPER(_xlpm.s)="N/A","",
        IF(
           ISNUMBER(--_xlpm.s),ROUND(_xlfn.NUMBERVALUE(_xlpm.s),2),""
          )
       )
    )</f>
        <v>67342.06</v>
      </c>
      <c r="J199" t="str">
        <f>TRIM(Employee_dataset[[#This Row],[Email]])</f>
        <v>frank.brown@example.com</v>
      </c>
      <c r="K199" t="str">
        <f>_xlfn.LET(
     _xlpm.p,TRIM(SUBSTITUTE(Employee_dataset[[#This Row],[Phone]],"-","")),
     IF(
        LEN(_xlpm.p)=10,_xlfn.CONCAT("("&amp;LEFT(_xlpm.p,3)&amp;") "&amp;MID(_xlpm.p,4,3)&amp;"-"&amp;RIGHT(_xlpm.p,4),"")
       )
     )</f>
        <v>(249) 724-3991</v>
      </c>
      <c r="L199" t="str">
        <f>TRIM(Employee_dataset[[#This Row],[Performance_Score]])</f>
        <v>Good</v>
      </c>
      <c r="M199" t="str">
        <f>TRIM(Employee_dataset[[#This Row],[Remote_Work]])</f>
        <v>TRUE</v>
      </c>
    </row>
    <row r="200" spans="1:13" x14ac:dyDescent="0.3">
      <c r="A200" t="str">
        <f>TRIM(Employee_dataset[[#This Row],[Employee_ID]])</f>
        <v>EMP1198</v>
      </c>
      <c r="B200" t="str">
        <f>PROPER(TRIM(Employee_dataset[[#This Row],[First_Name]]))</f>
        <v>Heidi</v>
      </c>
      <c r="C200" t="str">
        <f>PROPER(TRIM(Employee_dataset[[#This Row],[Last_Name]]))</f>
        <v>Jones</v>
      </c>
      <c r="D200" s="6" t="str">
        <f>_xlfn.LET(
     _xlpm.a, TRIM(Employee_dataset[[#This Row],[Age]]),
     IF(
        _xlpm.a="","",
        IF(
           AND(ISNUMBER(--_xlpm.a),LEN(_xlpm.a)=2),_xlpm.a,""
          )
       )
    )</f>
        <v/>
      </c>
      <c r="E200" t="str">
        <f>TRIM(_xlfn.TEXTBEFORE(Employee_dataset[[#This Row],[Department_Region]],"-"))</f>
        <v>Sales</v>
      </c>
      <c r="F200" t="str">
        <f>TRIM(_xlfn.TEXTAFTER(Employee_dataset[[#This Row],[Department_Region]],"-"))</f>
        <v>Illinois</v>
      </c>
      <c r="G200" t="str">
        <f>TRIM(Employee_dataset[[#This Row],[Status]])</f>
        <v>Active</v>
      </c>
      <c r="H200" s="1">
        <f>_xlfn.LET(
     _xlpm.d, Employee_dataset[[#This Row],[Join_Date]],
     IF(
        ISNUMBER(_xlpm.d),_xlpm.d,""
       )
    )</f>
        <v>44576</v>
      </c>
      <c r="I200" s="6">
        <f>_xlfn.LET(
     _xlpm.s, TRIM(Employee_dataset[[#This Row],[Salary]]),
     IF(
        UPPER(_xlpm.s)="N/A","",
        IF(
           ISNUMBER(--_xlpm.s),ROUND(_xlfn.NUMBERVALUE(_xlpm.s),2),""
          )
       )
    )</f>
        <v>76099.64</v>
      </c>
      <c r="J200" t="str">
        <f>TRIM(Employee_dataset[[#This Row],[Email]])</f>
        <v>heidi.jones@example.com</v>
      </c>
      <c r="K200" t="b">
        <f>_xlfn.LET(
     _xlpm.p,TRIM(SUBSTITUTE(Employee_dataset[[#This Row],[Phone]],"-","")),
     IF(
        LEN(_xlpm.p)=10,_xlfn.CONCAT("("&amp;LEFT(_xlpm.p,3)&amp;") "&amp;MID(_xlpm.p,4,3)&amp;"-"&amp;RIGHT(_xlpm.p,4),"")
       )
     )</f>
        <v>0</v>
      </c>
      <c r="L200" t="str">
        <f>TRIM(Employee_dataset[[#This Row],[Performance_Score]])</f>
        <v>Excellent</v>
      </c>
      <c r="M200" t="str">
        <f>TRIM(Employee_dataset[[#This Row],[Remote_Work]])</f>
        <v>FALSE</v>
      </c>
    </row>
    <row r="201" spans="1:13" x14ac:dyDescent="0.3">
      <c r="A201" t="str">
        <f>TRIM(Employee_dataset[[#This Row],[Employee_ID]])</f>
        <v>EMP1199</v>
      </c>
      <c r="B201" t="str">
        <f>PROPER(TRIM(Employee_dataset[[#This Row],[First_Name]]))</f>
        <v>Grace</v>
      </c>
      <c r="C201" t="str">
        <f>PROPER(TRIM(Employee_dataset[[#This Row],[Last_Name]]))</f>
        <v>Williams</v>
      </c>
      <c r="D201" s="6" t="str">
        <f>_xlfn.LET(
     _xlpm.a, TRIM(Employee_dataset[[#This Row],[Age]]),
     IF(
        _xlpm.a="","",
        IF(
           AND(ISNUMBER(--_xlpm.a),LEN(_xlpm.a)=2),_xlpm.a,""
          )
       )
    )</f>
        <v>35</v>
      </c>
      <c r="E201" t="str">
        <f>TRIM(_xlfn.TEXTBEFORE(Employee_dataset[[#This Row],[Department_Region]],"-"))</f>
        <v>DevOps</v>
      </c>
      <c r="F201" t="str">
        <f>TRIM(_xlfn.TEXTAFTER(Employee_dataset[[#This Row],[Department_Region]],"-"))</f>
        <v>Illinois</v>
      </c>
      <c r="G201" t="str">
        <f>TRIM(Employee_dataset[[#This Row],[Status]])</f>
        <v>Active</v>
      </c>
      <c r="H201" s="1">
        <f>_xlfn.LET(
     _xlpm.d, Employee_dataset[[#This Row],[Join_Date]],
     IF(
        ISNUMBER(_xlpm.d),_xlpm.d,""
       )
    )</f>
        <v>45447</v>
      </c>
      <c r="I201" s="6">
        <f>_xlfn.LET(
     _xlpm.s, TRIM(Employee_dataset[[#This Row],[Salary]]),
     IF(
        UPPER(_xlpm.s)="N/A","",
        IF(
           ISNUMBER(--_xlpm.s),ROUND(_xlfn.NUMBERVALUE(_xlpm.s),2),""
          )
       )
    )</f>
        <v>94162.06</v>
      </c>
      <c r="J201" t="str">
        <f>TRIM(Employee_dataset[[#This Row],[Email]])</f>
        <v>grace.williams@example.com</v>
      </c>
      <c r="K201" t="str">
        <f>_xlfn.LET(
     _xlpm.p,TRIM(SUBSTITUTE(Employee_dataset[[#This Row],[Phone]],"-","")),
     IF(
        LEN(_xlpm.p)=10,_xlfn.CONCAT("("&amp;LEFT(_xlpm.p,3)&amp;") "&amp;MID(_xlpm.p,4,3)&amp;"-"&amp;RIGHT(_xlpm.p,4),"")
       )
     )</f>
        <v>(264) 488-6945</v>
      </c>
      <c r="L201" t="str">
        <f>TRIM(Employee_dataset[[#This Row],[Performance_Score]])</f>
        <v>Average</v>
      </c>
      <c r="M201" t="str">
        <f>TRIM(Employee_dataset[[#This Row],[Remote_Work]])</f>
        <v>TRUE</v>
      </c>
    </row>
    <row r="202" spans="1:13" x14ac:dyDescent="0.3">
      <c r="A202" t="str">
        <f>TRIM(Employee_dataset[[#This Row],[Employee_ID]])</f>
        <v>EMP1200</v>
      </c>
      <c r="B202" t="str">
        <f>PROPER(TRIM(Employee_dataset[[#This Row],[First_Name]]))</f>
        <v>Frank</v>
      </c>
      <c r="C202" t="str">
        <f>PROPER(TRIM(Employee_dataset[[#This Row],[Last_Name]]))</f>
        <v>Davis</v>
      </c>
      <c r="D202" s="6" t="str">
        <f>_xlfn.LET(
     _xlpm.a, TRIM(Employee_dataset[[#This Row],[Age]]),
     IF(
        _xlpm.a="","",
        IF(
           AND(ISNUMBER(--_xlpm.a),LEN(_xlpm.a)=2),_xlpm.a,""
          )
       )
    )</f>
        <v>25</v>
      </c>
      <c r="E202" t="str">
        <f>TRIM(_xlfn.TEXTBEFORE(Employee_dataset[[#This Row],[Department_Region]],"-"))</f>
        <v>Sales</v>
      </c>
      <c r="F202" t="str">
        <f>TRIM(_xlfn.TEXTAFTER(Employee_dataset[[#This Row],[Department_Region]],"-"))</f>
        <v>Nevada</v>
      </c>
      <c r="G202" t="str">
        <f>TRIM(Employee_dataset[[#This Row],[Status]])</f>
        <v>Inactive</v>
      </c>
      <c r="H202" s="1">
        <f>_xlfn.LET(
     _xlpm.d, Employee_dataset[[#This Row],[Join_Date]],
     IF(
        ISNUMBER(_xlpm.d),_xlpm.d,""
       )
    )</f>
        <v>44412</v>
      </c>
      <c r="I202" s="6">
        <f>_xlfn.LET(
     _xlpm.s, TRIM(Employee_dataset[[#This Row],[Salary]]),
     IF(
        UPPER(_xlpm.s)="N/A","",
        IF(
           ISNUMBER(--_xlpm.s),ROUND(_xlfn.NUMBERVALUE(_xlpm.s),2),""
          )
       )
    )</f>
        <v>67639.7</v>
      </c>
      <c r="J202" t="str">
        <f>TRIM(Employee_dataset[[#This Row],[Email]])</f>
        <v>frank.davis@example.com</v>
      </c>
      <c r="K202" t="str">
        <f>_xlfn.LET(
     _xlpm.p,TRIM(SUBSTITUTE(Employee_dataset[[#This Row],[Phone]],"-","")),
     IF(
        LEN(_xlpm.p)=10,_xlfn.CONCAT("("&amp;LEFT(_xlpm.p,3)&amp;") "&amp;MID(_xlpm.p,4,3)&amp;"-"&amp;RIGHT(_xlpm.p,4),"")
       )
     )</f>
        <v>(119) 524-3639</v>
      </c>
      <c r="L202" t="str">
        <f>TRIM(Employee_dataset[[#This Row],[Performance_Score]])</f>
        <v>Excellent</v>
      </c>
      <c r="M202" t="str">
        <f>TRIM(Employee_dataset[[#This Row],[Remote_Work]])</f>
        <v>TRUE</v>
      </c>
    </row>
    <row r="203" spans="1:13" x14ac:dyDescent="0.3">
      <c r="A203" t="str">
        <f>TRIM(Employee_dataset[[#This Row],[Employee_ID]])</f>
        <v>EMP1201</v>
      </c>
      <c r="B203" t="str">
        <f>PROPER(TRIM(Employee_dataset[[#This Row],[First_Name]]))</f>
        <v>Charlie</v>
      </c>
      <c r="C203" t="str">
        <f>PROPER(TRIM(Employee_dataset[[#This Row],[Last_Name]]))</f>
        <v>Garcia</v>
      </c>
      <c r="D203" s="6" t="str">
        <f>_xlfn.LET(
     _xlpm.a, TRIM(Employee_dataset[[#This Row],[Age]]),
     IF(
        _xlpm.a="","",
        IF(
           AND(ISNUMBER(--_xlpm.a),LEN(_xlpm.a)=2),_xlpm.a,""
          )
       )
    )</f>
        <v>35</v>
      </c>
      <c r="E203" t="str">
        <f>TRIM(_xlfn.TEXTBEFORE(Employee_dataset[[#This Row],[Department_Region]],"-"))</f>
        <v>Cloud Tech</v>
      </c>
      <c r="F203" t="str">
        <f>TRIM(_xlfn.TEXTAFTER(Employee_dataset[[#This Row],[Department_Region]],"-"))</f>
        <v>Illinois</v>
      </c>
      <c r="G203" t="str">
        <f>TRIM(Employee_dataset[[#This Row],[Status]])</f>
        <v>Pending</v>
      </c>
      <c r="H203" s="1">
        <f>_xlfn.LET(
     _xlpm.d, Employee_dataset[[#This Row],[Join_Date]],
     IF(
        ISNUMBER(_xlpm.d),_xlpm.d,""
       )
    )</f>
        <v>44120</v>
      </c>
      <c r="I203" s="6">
        <f>_xlfn.LET(
     _xlpm.s, TRIM(Employee_dataset[[#This Row],[Salary]]),
     IF(
        UPPER(_xlpm.s)="N/A","",
        IF(
           ISNUMBER(--_xlpm.s),ROUND(_xlfn.NUMBERVALUE(_xlpm.s),2),""
          )
       )
    )</f>
        <v>114172.25</v>
      </c>
      <c r="J203" t="str">
        <f>TRIM(Employee_dataset[[#This Row],[Email]])</f>
        <v>charlie.garcia@example.com</v>
      </c>
      <c r="K203" t="str">
        <f>_xlfn.LET(
     _xlpm.p,TRIM(SUBSTITUTE(Employee_dataset[[#This Row],[Phone]],"-","")),
     IF(
        LEN(_xlpm.p)=10,_xlfn.CONCAT("("&amp;LEFT(_xlpm.p,3)&amp;") "&amp;MID(_xlpm.p,4,3)&amp;"-"&amp;RIGHT(_xlpm.p,4),"")
       )
     )</f>
        <v>(270) 116-8645</v>
      </c>
      <c r="L203" t="str">
        <f>TRIM(Employee_dataset[[#This Row],[Performance_Score]])</f>
        <v>Good</v>
      </c>
      <c r="M203" t="str">
        <f>TRIM(Employee_dataset[[#This Row],[Remote_Work]])</f>
        <v>TRUE</v>
      </c>
    </row>
    <row r="204" spans="1:13" x14ac:dyDescent="0.3">
      <c r="A204" t="str">
        <f>TRIM(Employee_dataset[[#This Row],[Employee_ID]])</f>
        <v>EMP1202</v>
      </c>
      <c r="B204" t="str">
        <f>PROPER(TRIM(Employee_dataset[[#This Row],[First_Name]]))</f>
        <v>Grace</v>
      </c>
      <c r="C204" t="str">
        <f>PROPER(TRIM(Employee_dataset[[#This Row],[Last_Name]]))</f>
        <v>Davis</v>
      </c>
      <c r="D204" s="6" t="str">
        <f>_xlfn.LET(
     _xlpm.a, TRIM(Employee_dataset[[#This Row],[Age]]),
     IF(
        _xlpm.a="","",
        IF(
           AND(ISNUMBER(--_xlpm.a),LEN(_xlpm.a)=2),_xlpm.a,""
          )
       )
    )</f>
        <v>30</v>
      </c>
      <c r="E204" t="str">
        <f>TRIM(_xlfn.TEXTBEFORE(Employee_dataset[[#This Row],[Department_Region]],"-"))</f>
        <v>Sales</v>
      </c>
      <c r="F204" t="str">
        <f>TRIM(_xlfn.TEXTAFTER(Employee_dataset[[#This Row],[Department_Region]],"-"))</f>
        <v>Nevada</v>
      </c>
      <c r="G204" t="str">
        <f>TRIM(Employee_dataset[[#This Row],[Status]])</f>
        <v>Active</v>
      </c>
      <c r="H204" s="1">
        <f>_xlfn.LET(
     _xlpm.d, Employee_dataset[[#This Row],[Join_Date]],
     IF(
        ISNUMBER(_xlpm.d),_xlpm.d,""
       )
    )</f>
        <v>44465</v>
      </c>
      <c r="I204" s="6">
        <f>_xlfn.LET(
     _xlpm.s, TRIM(Employee_dataset[[#This Row],[Salary]]),
     IF(
        UPPER(_xlpm.s)="N/A","",
        IF(
           ISNUMBER(--_xlpm.s),ROUND(_xlfn.NUMBERVALUE(_xlpm.s),2),""
          )
       )
    )</f>
        <v>89124.54</v>
      </c>
      <c r="J204" t="str">
        <f>TRIM(Employee_dataset[[#This Row],[Email]])</f>
        <v>grace.davis@example.com</v>
      </c>
      <c r="K204" t="str">
        <f>_xlfn.LET(
     _xlpm.p,TRIM(SUBSTITUTE(Employee_dataset[[#This Row],[Phone]],"-","")),
     IF(
        LEN(_xlpm.p)=10,_xlfn.CONCAT("("&amp;LEFT(_xlpm.p,3)&amp;") "&amp;MID(_xlpm.p,4,3)&amp;"-"&amp;RIGHT(_xlpm.p,4),"")
       )
     )</f>
        <v>(225) 223-7280</v>
      </c>
      <c r="L204" t="str">
        <f>TRIM(Employee_dataset[[#This Row],[Performance_Score]])</f>
        <v>Excellent</v>
      </c>
      <c r="M204" t="str">
        <f>TRIM(Employee_dataset[[#This Row],[Remote_Work]])</f>
        <v>TRUE</v>
      </c>
    </row>
    <row r="205" spans="1:13" x14ac:dyDescent="0.3">
      <c r="A205" t="str">
        <f>TRIM(Employee_dataset[[#This Row],[Employee_ID]])</f>
        <v>EMP1203</v>
      </c>
      <c r="B205" t="str">
        <f>PROPER(TRIM(Employee_dataset[[#This Row],[First_Name]]))</f>
        <v>Frank</v>
      </c>
      <c r="C205" t="str">
        <f>PROPER(TRIM(Employee_dataset[[#This Row],[Last_Name]]))</f>
        <v>Smith</v>
      </c>
      <c r="D205" s="6" t="str">
        <f>_xlfn.LET(
     _xlpm.a, TRIM(Employee_dataset[[#This Row],[Age]]),
     IF(
        _xlpm.a="","",
        IF(
           AND(ISNUMBER(--_xlpm.a),LEN(_xlpm.a)=2),_xlpm.a,""
          )
       )
    )</f>
        <v>30</v>
      </c>
      <c r="E205" t="str">
        <f>TRIM(_xlfn.TEXTBEFORE(Employee_dataset[[#This Row],[Department_Region]],"-"))</f>
        <v>DevOps</v>
      </c>
      <c r="F205" t="str">
        <f>TRIM(_xlfn.TEXTAFTER(Employee_dataset[[#This Row],[Department_Region]],"-"))</f>
        <v>Nevada</v>
      </c>
      <c r="G205" t="str">
        <f>TRIM(Employee_dataset[[#This Row],[Status]])</f>
        <v>Pending</v>
      </c>
      <c r="H205" s="1">
        <f>_xlfn.LET(
     _xlpm.d, Employee_dataset[[#This Row],[Join_Date]],
     IF(
        ISNUMBER(_xlpm.d),_xlpm.d,""
       )
    )</f>
        <v>45234</v>
      </c>
      <c r="I205" s="6">
        <f>_xlfn.LET(
     _xlpm.s, TRIM(Employee_dataset[[#This Row],[Salary]]),
     IF(
        UPPER(_xlpm.s)="N/A","",
        IF(
           ISNUMBER(--_xlpm.s),ROUND(_xlfn.NUMBERVALUE(_xlpm.s),2),""
          )
       )
    )</f>
        <v>113871.36</v>
      </c>
      <c r="J205" t="str">
        <f>TRIM(Employee_dataset[[#This Row],[Email]])</f>
        <v>frank.smith@example.com</v>
      </c>
      <c r="K205" t="str">
        <f>_xlfn.LET(
     _xlpm.p,TRIM(SUBSTITUTE(Employee_dataset[[#This Row],[Phone]],"-","")),
     IF(
        LEN(_xlpm.p)=10,_xlfn.CONCAT("("&amp;LEFT(_xlpm.p,3)&amp;") "&amp;MID(_xlpm.p,4,3)&amp;"-"&amp;RIGHT(_xlpm.p,4),"")
       )
     )</f>
        <v>(793) 230-2345</v>
      </c>
      <c r="L205" t="str">
        <f>TRIM(Employee_dataset[[#This Row],[Performance_Score]])</f>
        <v>Average</v>
      </c>
      <c r="M205" t="str">
        <f>TRIM(Employee_dataset[[#This Row],[Remote_Work]])</f>
        <v>FALSE</v>
      </c>
    </row>
    <row r="206" spans="1:13" x14ac:dyDescent="0.3">
      <c r="A206" t="str">
        <f>TRIM(Employee_dataset[[#This Row],[Employee_ID]])</f>
        <v>EMP1204</v>
      </c>
      <c r="B206" t="str">
        <f>PROPER(TRIM(Employee_dataset[[#This Row],[First_Name]]))</f>
        <v>Grace</v>
      </c>
      <c r="C206" t="str">
        <f>PROPER(TRIM(Employee_dataset[[#This Row],[Last_Name]]))</f>
        <v>Brown</v>
      </c>
      <c r="D206" s="6" t="str">
        <f>_xlfn.LET(
     _xlpm.a, TRIM(Employee_dataset[[#This Row],[Age]]),
     IF(
        _xlpm.a="","",
        IF(
           AND(ISNUMBER(--_xlpm.a),LEN(_xlpm.a)=2),_xlpm.a,""
          )
       )
    )</f>
        <v/>
      </c>
      <c r="E206" t="str">
        <f>TRIM(_xlfn.TEXTBEFORE(Employee_dataset[[#This Row],[Department_Region]],"-"))</f>
        <v>HR</v>
      </c>
      <c r="F206" t="str">
        <f>TRIM(_xlfn.TEXTAFTER(Employee_dataset[[#This Row],[Department_Region]],"-"))</f>
        <v>Texas</v>
      </c>
      <c r="G206" t="str">
        <f>TRIM(Employee_dataset[[#This Row],[Status]])</f>
        <v>Inactive</v>
      </c>
      <c r="H206" s="1">
        <f>_xlfn.LET(
     _xlpm.d, Employee_dataset[[#This Row],[Join_Date]],
     IF(
        ISNUMBER(_xlpm.d),_xlpm.d,""
       )
    )</f>
        <v>44463</v>
      </c>
      <c r="I206" s="6">
        <f>_xlfn.LET(
     _xlpm.s, TRIM(Employee_dataset[[#This Row],[Salary]]),
     IF(
        UPPER(_xlpm.s)="N/A","",
        IF(
           ISNUMBER(--_xlpm.s),ROUND(_xlfn.NUMBERVALUE(_xlpm.s),2),""
          )
       )
    )</f>
        <v>62618.400000000001</v>
      </c>
      <c r="J206" t="str">
        <f>TRIM(Employee_dataset[[#This Row],[Email]])</f>
        <v>grace.brown@example.com</v>
      </c>
      <c r="K206" t="str">
        <f>_xlfn.LET(
     _xlpm.p,TRIM(SUBSTITUTE(Employee_dataset[[#This Row],[Phone]],"-","")),
     IF(
        LEN(_xlpm.p)=10,_xlfn.CONCAT("("&amp;LEFT(_xlpm.p,3)&amp;") "&amp;MID(_xlpm.p,4,3)&amp;"-"&amp;RIGHT(_xlpm.p,4),"")
       )
     )</f>
        <v>(791) 214-1613</v>
      </c>
      <c r="L206" t="str">
        <f>TRIM(Employee_dataset[[#This Row],[Performance_Score]])</f>
        <v>Excellent</v>
      </c>
      <c r="M206" t="str">
        <f>TRIM(Employee_dataset[[#This Row],[Remote_Work]])</f>
        <v>FALSE</v>
      </c>
    </row>
    <row r="207" spans="1:13" x14ac:dyDescent="0.3">
      <c r="A207" t="str">
        <f>TRIM(Employee_dataset[[#This Row],[Employee_ID]])</f>
        <v>EMP1205</v>
      </c>
      <c r="B207" t="str">
        <f>PROPER(TRIM(Employee_dataset[[#This Row],[First_Name]]))</f>
        <v>Heidi</v>
      </c>
      <c r="C207" t="str">
        <f>PROPER(TRIM(Employee_dataset[[#This Row],[Last_Name]]))</f>
        <v>Jones</v>
      </c>
      <c r="D207" s="6" t="str">
        <f>_xlfn.LET(
     _xlpm.a, TRIM(Employee_dataset[[#This Row],[Age]]),
     IF(
        _xlpm.a="","",
        IF(
           AND(ISNUMBER(--_xlpm.a),LEN(_xlpm.a)=2),_xlpm.a,""
          )
       )
    )</f>
        <v>30</v>
      </c>
      <c r="E207" t="str">
        <f>TRIM(_xlfn.TEXTBEFORE(Employee_dataset[[#This Row],[Department_Region]],"-"))</f>
        <v>Admin</v>
      </c>
      <c r="F207" t="str">
        <f>TRIM(_xlfn.TEXTAFTER(Employee_dataset[[#This Row],[Department_Region]],"-"))</f>
        <v>New York</v>
      </c>
      <c r="G207" t="str">
        <f>TRIM(Employee_dataset[[#This Row],[Status]])</f>
        <v>Active</v>
      </c>
      <c r="H207" s="1">
        <f>_xlfn.LET(
     _xlpm.d, Employee_dataset[[#This Row],[Join_Date]],
     IF(
        ISNUMBER(_xlpm.d),_xlpm.d,""
       )
    )</f>
        <v>43989</v>
      </c>
      <c r="I207" s="6">
        <f>_xlfn.LET(
     _xlpm.s, TRIM(Employee_dataset[[#This Row],[Salary]]),
     IF(
        UPPER(_xlpm.s)="N/A","",
        IF(
           ISNUMBER(--_xlpm.s),ROUND(_xlfn.NUMBERVALUE(_xlpm.s),2),""
          )
       )
    )</f>
        <v>70705.45</v>
      </c>
      <c r="J207" t="str">
        <f>TRIM(Employee_dataset[[#This Row],[Email]])</f>
        <v>heidi.jones@example.com</v>
      </c>
      <c r="K207" t="str">
        <f>_xlfn.LET(
     _xlpm.p,TRIM(SUBSTITUTE(Employee_dataset[[#This Row],[Phone]],"-","")),
     IF(
        LEN(_xlpm.p)=10,_xlfn.CONCAT("("&amp;LEFT(_xlpm.p,3)&amp;") "&amp;MID(_xlpm.p,4,3)&amp;"-"&amp;RIGHT(_xlpm.p,4),"")
       )
     )</f>
        <v>(150) 937-7099</v>
      </c>
      <c r="L207" t="str">
        <f>TRIM(Employee_dataset[[#This Row],[Performance_Score]])</f>
        <v>Good</v>
      </c>
      <c r="M207" t="str">
        <f>TRIM(Employee_dataset[[#This Row],[Remote_Work]])</f>
        <v>FALSE</v>
      </c>
    </row>
    <row r="208" spans="1:13" x14ac:dyDescent="0.3">
      <c r="A208" t="str">
        <f>TRIM(Employee_dataset[[#This Row],[Employee_ID]])</f>
        <v>EMP1206</v>
      </c>
      <c r="B208" t="str">
        <f>PROPER(TRIM(Employee_dataset[[#This Row],[First_Name]]))</f>
        <v>Alice</v>
      </c>
      <c r="C208" t="str">
        <f>PROPER(TRIM(Employee_dataset[[#This Row],[Last_Name]]))</f>
        <v>Garcia</v>
      </c>
      <c r="D208" s="6" t="str">
        <f>_xlfn.LET(
     _xlpm.a, TRIM(Employee_dataset[[#This Row],[Age]]),
     IF(
        _xlpm.a="","",
        IF(
           AND(ISNUMBER(--_xlpm.a),LEN(_xlpm.a)=2),_xlpm.a,""
          )
       )
    )</f>
        <v>35</v>
      </c>
      <c r="E208" t="str">
        <f>TRIM(_xlfn.TEXTBEFORE(Employee_dataset[[#This Row],[Department_Region]],"-"))</f>
        <v>Sales</v>
      </c>
      <c r="F208" t="str">
        <f>TRIM(_xlfn.TEXTAFTER(Employee_dataset[[#This Row],[Department_Region]],"-"))</f>
        <v>New York</v>
      </c>
      <c r="G208" t="str">
        <f>TRIM(Employee_dataset[[#This Row],[Status]])</f>
        <v>Pending</v>
      </c>
      <c r="H208" s="1">
        <f>_xlfn.LET(
     _xlpm.d, Employee_dataset[[#This Row],[Join_Date]],
     IF(
        ISNUMBER(_xlpm.d),_xlpm.d,""
       )
    )</f>
        <v>44602</v>
      </c>
      <c r="I208" s="6">
        <f>_xlfn.LET(
     _xlpm.s, TRIM(Employee_dataset[[#This Row],[Salary]]),
     IF(
        UPPER(_xlpm.s)="N/A","",
        IF(
           ISNUMBER(--_xlpm.s),ROUND(_xlfn.NUMBERVALUE(_xlpm.s),2),""
          )
       )
    )</f>
        <v>60797.69</v>
      </c>
      <c r="J208" t="str">
        <f>TRIM(Employee_dataset[[#This Row],[Email]])</f>
        <v>alice.garcia@example.com</v>
      </c>
      <c r="K208" t="str">
        <f>_xlfn.LET(
     _xlpm.p,TRIM(SUBSTITUTE(Employee_dataset[[#This Row],[Phone]],"-","")),
     IF(
        LEN(_xlpm.p)=10,_xlfn.CONCAT("("&amp;LEFT(_xlpm.p,3)&amp;") "&amp;MID(_xlpm.p,4,3)&amp;"-"&amp;RIGHT(_xlpm.p,4),"")
       )
     )</f>
        <v>(409) 013-8068</v>
      </c>
      <c r="L208" t="str">
        <f>TRIM(Employee_dataset[[#This Row],[Performance_Score]])</f>
        <v>Average</v>
      </c>
      <c r="M208" t="str">
        <f>TRIM(Employee_dataset[[#This Row],[Remote_Work]])</f>
        <v>TRUE</v>
      </c>
    </row>
    <row r="209" spans="1:13" x14ac:dyDescent="0.3">
      <c r="A209" t="str">
        <f>TRIM(Employee_dataset[[#This Row],[Employee_ID]])</f>
        <v>EMP1207</v>
      </c>
      <c r="B209" t="str">
        <f>PROPER(TRIM(Employee_dataset[[#This Row],[First_Name]]))</f>
        <v>Charlie</v>
      </c>
      <c r="C209" t="str">
        <f>PROPER(TRIM(Employee_dataset[[#This Row],[Last_Name]]))</f>
        <v>Brown</v>
      </c>
      <c r="D209" s="6" t="str">
        <f>_xlfn.LET(
     _xlpm.a, TRIM(Employee_dataset[[#This Row],[Age]]),
     IF(
        _xlpm.a="","",
        IF(
           AND(ISNUMBER(--_xlpm.a),LEN(_xlpm.a)=2),_xlpm.a,""
          )
       )
    )</f>
        <v>40</v>
      </c>
      <c r="E209" t="str">
        <f>TRIM(_xlfn.TEXTBEFORE(Employee_dataset[[#This Row],[Department_Region]],"-"))</f>
        <v>Cloud Tech</v>
      </c>
      <c r="F209" t="str">
        <f>TRIM(_xlfn.TEXTAFTER(Employee_dataset[[#This Row],[Department_Region]],"-"))</f>
        <v>Florida</v>
      </c>
      <c r="G209" t="str">
        <f>TRIM(Employee_dataset[[#This Row],[Status]])</f>
        <v>Inactive</v>
      </c>
      <c r="H209" s="1">
        <f>_xlfn.LET(
     _xlpm.d, Employee_dataset[[#This Row],[Join_Date]],
     IF(
        ISNUMBER(_xlpm.d),_xlpm.d,""
       )
    )</f>
        <v>45216</v>
      </c>
      <c r="I209" s="6">
        <f>_xlfn.LET(
     _xlpm.s, TRIM(Employee_dataset[[#This Row],[Salary]]),
     IF(
        UPPER(_xlpm.s)="N/A","",
        IF(
           ISNUMBER(--_xlpm.s),ROUND(_xlfn.NUMBERVALUE(_xlpm.s),2),""
          )
       )
    )</f>
        <v>100371</v>
      </c>
      <c r="J209" t="str">
        <f>TRIM(Employee_dataset[[#This Row],[Email]])</f>
        <v>charlie.brown@example.com</v>
      </c>
      <c r="K209" t="str">
        <f>_xlfn.LET(
     _xlpm.p,TRIM(SUBSTITUTE(Employee_dataset[[#This Row],[Phone]],"-","")),
     IF(
        LEN(_xlpm.p)=10,_xlfn.CONCAT("("&amp;LEFT(_xlpm.p,3)&amp;") "&amp;MID(_xlpm.p,4,3)&amp;"-"&amp;RIGHT(_xlpm.p,4),"")
       )
     )</f>
        <v>(847) 759-6554</v>
      </c>
      <c r="L209" t="str">
        <f>TRIM(Employee_dataset[[#This Row],[Performance_Score]])</f>
        <v>Poor</v>
      </c>
      <c r="M209" t="str">
        <f>TRIM(Employee_dataset[[#This Row],[Remote_Work]])</f>
        <v>TRUE</v>
      </c>
    </row>
    <row r="210" spans="1:13" x14ac:dyDescent="0.3">
      <c r="A210" t="str">
        <f>TRIM(Employee_dataset[[#This Row],[Employee_ID]])</f>
        <v>EMP1208</v>
      </c>
      <c r="B210" t="str">
        <f>PROPER(TRIM(Employee_dataset[[#This Row],[First_Name]]))</f>
        <v>Eva</v>
      </c>
      <c r="C210" t="str">
        <f>PROPER(TRIM(Employee_dataset[[#This Row],[Last_Name]]))</f>
        <v>Miller</v>
      </c>
      <c r="D210" s="6" t="str">
        <f>_xlfn.LET(
     _xlpm.a, TRIM(Employee_dataset[[#This Row],[Age]]),
     IF(
        _xlpm.a="","",
        IF(
           AND(ISNUMBER(--_xlpm.a),LEN(_xlpm.a)=2),_xlpm.a,""
          )
       )
    )</f>
        <v>40</v>
      </c>
      <c r="E210" t="str">
        <f>TRIM(_xlfn.TEXTBEFORE(Employee_dataset[[#This Row],[Department_Region]],"-"))</f>
        <v>Admin</v>
      </c>
      <c r="F210" t="str">
        <f>TRIM(_xlfn.TEXTAFTER(Employee_dataset[[#This Row],[Department_Region]],"-"))</f>
        <v>Illinois</v>
      </c>
      <c r="G210" t="str">
        <f>TRIM(Employee_dataset[[#This Row],[Status]])</f>
        <v>Active</v>
      </c>
      <c r="H210" s="1">
        <f>_xlfn.LET(
     _xlpm.d, Employee_dataset[[#This Row],[Join_Date]],
     IF(
        ISNUMBER(_xlpm.d),_xlpm.d,""
       )
    )</f>
        <v>44464</v>
      </c>
      <c r="I210" s="6">
        <f>_xlfn.LET(
     _xlpm.s, TRIM(Employee_dataset[[#This Row],[Salary]]),
     IF(
        UPPER(_xlpm.s)="N/A","",
        IF(
           ISNUMBER(--_xlpm.s),ROUND(_xlfn.NUMBERVALUE(_xlpm.s),2),""
          )
       )
    )</f>
        <v>117591.76</v>
      </c>
      <c r="J210" t="str">
        <f>TRIM(Employee_dataset[[#This Row],[Email]])</f>
        <v>eva.miller@example.com</v>
      </c>
      <c r="K210" t="str">
        <f>_xlfn.LET(
     _xlpm.p,TRIM(SUBSTITUTE(Employee_dataset[[#This Row],[Phone]],"-","")),
     IF(
        LEN(_xlpm.p)=10,_xlfn.CONCAT("("&amp;LEFT(_xlpm.p,3)&amp;") "&amp;MID(_xlpm.p,4,3)&amp;"-"&amp;RIGHT(_xlpm.p,4),"")
       )
     )</f>
        <v>(535) 669-0550</v>
      </c>
      <c r="L210" t="str">
        <f>TRIM(Employee_dataset[[#This Row],[Performance_Score]])</f>
        <v>Good</v>
      </c>
      <c r="M210" t="str">
        <f>TRIM(Employee_dataset[[#This Row],[Remote_Work]])</f>
        <v>FALSE</v>
      </c>
    </row>
    <row r="211" spans="1:13" x14ac:dyDescent="0.3">
      <c r="A211" t="str">
        <f>TRIM(Employee_dataset[[#This Row],[Employee_ID]])</f>
        <v>EMP1209</v>
      </c>
      <c r="B211" t="str">
        <f>PROPER(TRIM(Employee_dataset[[#This Row],[First_Name]]))</f>
        <v>David</v>
      </c>
      <c r="C211" t="str">
        <f>PROPER(TRIM(Employee_dataset[[#This Row],[Last_Name]]))</f>
        <v>Jones</v>
      </c>
      <c r="D211" s="6" t="str">
        <f>_xlfn.LET(
     _xlpm.a, TRIM(Employee_dataset[[#This Row],[Age]]),
     IF(
        _xlpm.a="","",
        IF(
           AND(ISNUMBER(--_xlpm.a),LEN(_xlpm.a)=2),_xlpm.a,""
          )
       )
    )</f>
        <v>35</v>
      </c>
      <c r="E211" t="str">
        <f>TRIM(_xlfn.TEXTBEFORE(Employee_dataset[[#This Row],[Department_Region]],"-"))</f>
        <v>DevOps</v>
      </c>
      <c r="F211" t="str">
        <f>TRIM(_xlfn.TEXTAFTER(Employee_dataset[[#This Row],[Department_Region]],"-"))</f>
        <v>Illinois</v>
      </c>
      <c r="G211" t="str">
        <f>TRIM(Employee_dataset[[#This Row],[Status]])</f>
        <v>Inactive</v>
      </c>
      <c r="H211" s="1">
        <f>_xlfn.LET(
     _xlpm.d, Employee_dataset[[#This Row],[Join_Date]],
     IF(
        ISNUMBER(_xlpm.d),_xlpm.d,""
       )
    )</f>
        <v>44776</v>
      </c>
      <c r="I211" s="6">
        <f>_xlfn.LET(
     _xlpm.s, TRIM(Employee_dataset[[#This Row],[Salary]]),
     IF(
        UPPER(_xlpm.s)="N/A","",
        IF(
           ISNUMBER(--_xlpm.s),ROUND(_xlfn.NUMBERVALUE(_xlpm.s),2),""
          )
       )
    )</f>
        <v>103860.7</v>
      </c>
      <c r="J211" t="str">
        <f>TRIM(Employee_dataset[[#This Row],[Email]])</f>
        <v>david.jones@example.com</v>
      </c>
      <c r="K211" t="b">
        <f>_xlfn.LET(
     _xlpm.p,TRIM(SUBSTITUTE(Employee_dataset[[#This Row],[Phone]],"-","")),
     IF(
        LEN(_xlpm.p)=10,_xlfn.CONCAT("("&amp;LEFT(_xlpm.p,3)&amp;") "&amp;MID(_xlpm.p,4,3)&amp;"-"&amp;RIGHT(_xlpm.p,4),"")
       )
     )</f>
        <v>0</v>
      </c>
      <c r="L211" t="str">
        <f>TRIM(Employee_dataset[[#This Row],[Performance_Score]])</f>
        <v>Average</v>
      </c>
      <c r="M211" t="str">
        <f>TRIM(Employee_dataset[[#This Row],[Remote_Work]])</f>
        <v>TRUE</v>
      </c>
    </row>
    <row r="212" spans="1:13" x14ac:dyDescent="0.3">
      <c r="A212" t="str">
        <f>TRIM(Employee_dataset[[#This Row],[Employee_ID]])</f>
        <v>EMP1210</v>
      </c>
      <c r="B212" t="str">
        <f>PROPER(TRIM(Employee_dataset[[#This Row],[First_Name]]))</f>
        <v>Grace</v>
      </c>
      <c r="C212" t="str">
        <f>PROPER(TRIM(Employee_dataset[[#This Row],[Last_Name]]))</f>
        <v>Davis</v>
      </c>
      <c r="D212" s="6" t="str">
        <f>_xlfn.LET(
     _xlpm.a, TRIM(Employee_dataset[[#This Row],[Age]]),
     IF(
        _xlpm.a="","",
        IF(
           AND(ISNUMBER(--_xlpm.a),LEN(_xlpm.a)=2),_xlpm.a,""
          )
       )
    )</f>
        <v>30</v>
      </c>
      <c r="E212" t="str">
        <f>TRIM(_xlfn.TEXTBEFORE(Employee_dataset[[#This Row],[Department_Region]],"-"))</f>
        <v>Admin</v>
      </c>
      <c r="F212" t="str">
        <f>TRIM(_xlfn.TEXTAFTER(Employee_dataset[[#This Row],[Department_Region]],"-"))</f>
        <v>Illinois</v>
      </c>
      <c r="G212" t="str">
        <f>TRIM(Employee_dataset[[#This Row],[Status]])</f>
        <v>Active</v>
      </c>
      <c r="H212" s="1">
        <f>_xlfn.LET(
     _xlpm.d, Employee_dataset[[#This Row],[Join_Date]],
     IF(
        ISNUMBER(_xlpm.d),_xlpm.d,""
       )
    )</f>
        <v>45618</v>
      </c>
      <c r="I212" s="6">
        <f>_xlfn.LET(
     _xlpm.s, TRIM(Employee_dataset[[#This Row],[Salary]]),
     IF(
        UPPER(_xlpm.s)="N/A","",
        IF(
           ISNUMBER(--_xlpm.s),ROUND(_xlfn.NUMBERVALUE(_xlpm.s),2),""
          )
       )
    )</f>
        <v>67500.22</v>
      </c>
      <c r="J212" t="str">
        <f>TRIM(Employee_dataset[[#This Row],[Email]])</f>
        <v>grace.davis@example.com</v>
      </c>
      <c r="K212" t="str">
        <f>_xlfn.LET(
     _xlpm.p,TRIM(SUBSTITUTE(Employee_dataset[[#This Row],[Phone]],"-","")),
     IF(
        LEN(_xlpm.p)=10,_xlfn.CONCAT("("&amp;LEFT(_xlpm.p,3)&amp;") "&amp;MID(_xlpm.p,4,3)&amp;"-"&amp;RIGHT(_xlpm.p,4),"")
       )
     )</f>
        <v>(579) 786-3049</v>
      </c>
      <c r="L212" t="str">
        <f>TRIM(Employee_dataset[[#This Row],[Performance_Score]])</f>
        <v>Average</v>
      </c>
      <c r="M212" t="str">
        <f>TRIM(Employee_dataset[[#This Row],[Remote_Work]])</f>
        <v>TRUE</v>
      </c>
    </row>
    <row r="213" spans="1:13" x14ac:dyDescent="0.3">
      <c r="A213" t="str">
        <f>TRIM(Employee_dataset[[#This Row],[Employee_ID]])</f>
        <v>EMP1211</v>
      </c>
      <c r="B213" t="str">
        <f>PROPER(TRIM(Employee_dataset[[#This Row],[First_Name]]))</f>
        <v>Frank</v>
      </c>
      <c r="C213" t="str">
        <f>PROPER(TRIM(Employee_dataset[[#This Row],[Last_Name]]))</f>
        <v>Davis</v>
      </c>
      <c r="D213" s="6" t="str">
        <f>_xlfn.LET(
     _xlpm.a, TRIM(Employee_dataset[[#This Row],[Age]]),
     IF(
        _xlpm.a="","",
        IF(
           AND(ISNUMBER(--_xlpm.a),LEN(_xlpm.a)=2),_xlpm.a,""
          )
       )
    )</f>
        <v/>
      </c>
      <c r="E213" t="str">
        <f>TRIM(_xlfn.TEXTBEFORE(Employee_dataset[[#This Row],[Department_Region]],"-"))</f>
        <v>Cloud Tech</v>
      </c>
      <c r="F213" t="str">
        <f>TRIM(_xlfn.TEXTAFTER(Employee_dataset[[#This Row],[Department_Region]],"-"))</f>
        <v>Nevada</v>
      </c>
      <c r="G213" t="str">
        <f>TRIM(Employee_dataset[[#This Row],[Status]])</f>
        <v>Pending</v>
      </c>
      <c r="H213" s="1">
        <f>_xlfn.LET(
     _xlpm.d, Employee_dataset[[#This Row],[Join_Date]],
     IF(
        ISNUMBER(_xlpm.d),_xlpm.d,""
       )
    )</f>
        <v>45574</v>
      </c>
      <c r="I213" s="6">
        <f>_xlfn.LET(
     _xlpm.s, TRIM(Employee_dataset[[#This Row],[Salary]]),
     IF(
        UPPER(_xlpm.s)="N/A","",
        IF(
           ISNUMBER(--_xlpm.s),ROUND(_xlfn.NUMBERVALUE(_xlpm.s),2),""
          )
       )
    )</f>
        <v>58727.44</v>
      </c>
      <c r="J213" t="str">
        <f>TRIM(Employee_dataset[[#This Row],[Email]])</f>
        <v>frank.davis@example.com</v>
      </c>
      <c r="K213" t="str">
        <f>_xlfn.LET(
     _xlpm.p,TRIM(SUBSTITUTE(Employee_dataset[[#This Row],[Phone]],"-","")),
     IF(
        LEN(_xlpm.p)=10,_xlfn.CONCAT("("&amp;LEFT(_xlpm.p,3)&amp;") "&amp;MID(_xlpm.p,4,3)&amp;"-"&amp;RIGHT(_xlpm.p,4),"")
       )
     )</f>
        <v>(505) 739-7690</v>
      </c>
      <c r="L213" t="str">
        <f>TRIM(Employee_dataset[[#This Row],[Performance_Score]])</f>
        <v>Poor</v>
      </c>
      <c r="M213" t="str">
        <f>TRIM(Employee_dataset[[#This Row],[Remote_Work]])</f>
        <v>TRUE</v>
      </c>
    </row>
    <row r="214" spans="1:13" x14ac:dyDescent="0.3">
      <c r="A214" t="str">
        <f>TRIM(Employee_dataset[[#This Row],[Employee_ID]])</f>
        <v>EMP1212</v>
      </c>
      <c r="B214" t="str">
        <f>PROPER(TRIM(Employee_dataset[[#This Row],[First_Name]]))</f>
        <v>Charlie</v>
      </c>
      <c r="C214" t="str">
        <f>PROPER(TRIM(Employee_dataset[[#This Row],[Last_Name]]))</f>
        <v>Jones</v>
      </c>
      <c r="D214" s="6" t="str">
        <f>_xlfn.LET(
     _xlpm.a, TRIM(Employee_dataset[[#This Row],[Age]]),
     IF(
        _xlpm.a="","",
        IF(
           AND(ISNUMBER(--_xlpm.a),LEN(_xlpm.a)=2),_xlpm.a,""
          )
       )
    )</f>
        <v>35</v>
      </c>
      <c r="E214" t="str">
        <f>TRIM(_xlfn.TEXTBEFORE(Employee_dataset[[#This Row],[Department_Region]],"-"))</f>
        <v>Finance</v>
      </c>
      <c r="F214" t="str">
        <f>TRIM(_xlfn.TEXTAFTER(Employee_dataset[[#This Row],[Department_Region]],"-"))</f>
        <v>Illinois</v>
      </c>
      <c r="G214" t="str">
        <f>TRIM(Employee_dataset[[#This Row],[Status]])</f>
        <v>Active</v>
      </c>
      <c r="H214" s="1">
        <f>_xlfn.LET(
     _xlpm.d, Employee_dataset[[#This Row],[Join_Date]],
     IF(
        ISNUMBER(_xlpm.d),_xlpm.d,""
       )
    )</f>
        <v>45532</v>
      </c>
      <c r="I214" s="6">
        <f>_xlfn.LET(
     _xlpm.s, TRIM(Employee_dataset[[#This Row],[Salary]]),
     IF(
        UPPER(_xlpm.s)="N/A","",
        IF(
           ISNUMBER(--_xlpm.s),ROUND(_xlfn.NUMBERVALUE(_xlpm.s),2),""
          )
       )
    )</f>
        <v>80623.08</v>
      </c>
      <c r="J214" t="str">
        <f>TRIM(Employee_dataset[[#This Row],[Email]])</f>
        <v>charlie.jones@example.com</v>
      </c>
      <c r="K214" t="str">
        <f>_xlfn.LET(
     _xlpm.p,TRIM(SUBSTITUTE(Employee_dataset[[#This Row],[Phone]],"-","")),
     IF(
        LEN(_xlpm.p)=10,_xlfn.CONCAT("("&amp;LEFT(_xlpm.p,3)&amp;") "&amp;MID(_xlpm.p,4,3)&amp;"-"&amp;RIGHT(_xlpm.p,4),"")
       )
     )</f>
        <v>(567) 164-9327</v>
      </c>
      <c r="L214" t="str">
        <f>TRIM(Employee_dataset[[#This Row],[Performance_Score]])</f>
        <v>Excellent</v>
      </c>
      <c r="M214" t="str">
        <f>TRIM(Employee_dataset[[#This Row],[Remote_Work]])</f>
        <v>TRUE</v>
      </c>
    </row>
    <row r="215" spans="1:13" x14ac:dyDescent="0.3">
      <c r="A215" t="str">
        <f>TRIM(Employee_dataset[[#This Row],[Employee_ID]])</f>
        <v>EMP1213</v>
      </c>
      <c r="B215" t="str">
        <f>PROPER(TRIM(Employee_dataset[[#This Row],[First_Name]]))</f>
        <v>David</v>
      </c>
      <c r="C215" t="str">
        <f>PROPER(TRIM(Employee_dataset[[#This Row],[Last_Name]]))</f>
        <v>Davis</v>
      </c>
      <c r="D215" s="6" t="str">
        <f>_xlfn.LET(
     _xlpm.a, TRIM(Employee_dataset[[#This Row],[Age]]),
     IF(
        _xlpm.a="","",
        IF(
           AND(ISNUMBER(--_xlpm.a),LEN(_xlpm.a)=2),_xlpm.a,""
          )
       )
    )</f>
        <v>40</v>
      </c>
      <c r="E215" t="str">
        <f>TRIM(_xlfn.TEXTBEFORE(Employee_dataset[[#This Row],[Department_Region]],"-"))</f>
        <v>HR</v>
      </c>
      <c r="F215" t="str">
        <f>TRIM(_xlfn.TEXTAFTER(Employee_dataset[[#This Row],[Department_Region]],"-"))</f>
        <v>Texas</v>
      </c>
      <c r="G215" t="str">
        <f>TRIM(Employee_dataset[[#This Row],[Status]])</f>
        <v>Inactive</v>
      </c>
      <c r="H215" s="1">
        <f>_xlfn.LET(
     _xlpm.d, Employee_dataset[[#This Row],[Join_Date]],
     IF(
        ISNUMBER(_xlpm.d),_xlpm.d,""
       )
    )</f>
        <v>43940</v>
      </c>
      <c r="I215" s="6">
        <f>_xlfn.LET(
     _xlpm.s, TRIM(Employee_dataset[[#This Row],[Salary]]),
     IF(
        UPPER(_xlpm.s)="N/A","",
        IF(
           ISNUMBER(--_xlpm.s),ROUND(_xlfn.NUMBERVALUE(_xlpm.s),2),""
          )
       )
    )</f>
        <v>77751.78</v>
      </c>
      <c r="J215" t="str">
        <f>TRIM(Employee_dataset[[#This Row],[Email]])</f>
        <v>david.davis@example.com</v>
      </c>
      <c r="K215" t="str">
        <f>_xlfn.LET(
     _xlpm.p,TRIM(SUBSTITUTE(Employee_dataset[[#This Row],[Phone]],"-","")),
     IF(
        LEN(_xlpm.p)=10,_xlfn.CONCAT("("&amp;LEFT(_xlpm.p,3)&amp;") "&amp;MID(_xlpm.p,4,3)&amp;"-"&amp;RIGHT(_xlpm.p,4),"")
       )
     )</f>
        <v>(980) 271-4871</v>
      </c>
      <c r="L215" t="str">
        <f>TRIM(Employee_dataset[[#This Row],[Performance_Score]])</f>
        <v>Excellent</v>
      </c>
      <c r="M215" t="str">
        <f>TRIM(Employee_dataset[[#This Row],[Remote_Work]])</f>
        <v>FALSE</v>
      </c>
    </row>
    <row r="216" spans="1:13" x14ac:dyDescent="0.3">
      <c r="A216" t="str">
        <f>TRIM(Employee_dataset[[#This Row],[Employee_ID]])</f>
        <v>EMP1214</v>
      </c>
      <c r="B216" t="str">
        <f>PROPER(TRIM(Employee_dataset[[#This Row],[First_Name]]))</f>
        <v>Grace</v>
      </c>
      <c r="C216" t="str">
        <f>PROPER(TRIM(Employee_dataset[[#This Row],[Last_Name]]))</f>
        <v>Williams</v>
      </c>
      <c r="D216" s="6" t="str">
        <f>_xlfn.LET(
     _xlpm.a, TRIM(Employee_dataset[[#This Row],[Age]]),
     IF(
        _xlpm.a="","",
        IF(
           AND(ISNUMBER(--_xlpm.a),LEN(_xlpm.a)=2),_xlpm.a,""
          )
       )
    )</f>
        <v>25</v>
      </c>
      <c r="E216" t="str">
        <f>TRIM(_xlfn.TEXTBEFORE(Employee_dataset[[#This Row],[Department_Region]],"-"))</f>
        <v>HR</v>
      </c>
      <c r="F216" t="str">
        <f>TRIM(_xlfn.TEXTAFTER(Employee_dataset[[#This Row],[Department_Region]],"-"))</f>
        <v>New York</v>
      </c>
      <c r="G216" t="str">
        <f>TRIM(Employee_dataset[[#This Row],[Status]])</f>
        <v>Active</v>
      </c>
      <c r="H216" s="1">
        <f>_xlfn.LET(
     _xlpm.d, Employee_dataset[[#This Row],[Join_Date]],
     IF(
        ISNUMBER(_xlpm.d),_xlpm.d,""
       )
    )</f>
        <v>44483</v>
      </c>
      <c r="I216" s="6">
        <f>_xlfn.LET(
     _xlpm.s, TRIM(Employee_dataset[[#This Row],[Salary]]),
     IF(
        UPPER(_xlpm.s)="N/A","",
        IF(
           ISNUMBER(--_xlpm.s),ROUND(_xlfn.NUMBERVALUE(_xlpm.s),2),""
          )
       )
    )</f>
        <v>115157.81</v>
      </c>
      <c r="J216" t="str">
        <f>TRIM(Employee_dataset[[#This Row],[Email]])</f>
        <v>grace.williams@example.com</v>
      </c>
      <c r="K216" t="str">
        <f>_xlfn.LET(
     _xlpm.p,TRIM(SUBSTITUTE(Employee_dataset[[#This Row],[Phone]],"-","")),
     IF(
        LEN(_xlpm.p)=10,_xlfn.CONCAT("("&amp;LEFT(_xlpm.p,3)&amp;") "&amp;MID(_xlpm.p,4,3)&amp;"-"&amp;RIGHT(_xlpm.p,4),"")
       )
     )</f>
        <v>(717) 833-3210</v>
      </c>
      <c r="L216" t="str">
        <f>TRIM(Employee_dataset[[#This Row],[Performance_Score]])</f>
        <v>Good</v>
      </c>
      <c r="M216" t="str">
        <f>TRIM(Employee_dataset[[#This Row],[Remote_Work]])</f>
        <v>FALSE</v>
      </c>
    </row>
    <row r="217" spans="1:13" x14ac:dyDescent="0.3">
      <c r="A217" t="str">
        <f>TRIM(Employee_dataset[[#This Row],[Employee_ID]])</f>
        <v>EMP1215</v>
      </c>
      <c r="B217" t="str">
        <f>PROPER(TRIM(Employee_dataset[[#This Row],[First_Name]]))</f>
        <v>Frank</v>
      </c>
      <c r="C217" t="str">
        <f>PROPER(TRIM(Employee_dataset[[#This Row],[Last_Name]]))</f>
        <v>Jones</v>
      </c>
      <c r="D217" s="6" t="str">
        <f>_xlfn.LET(
     _xlpm.a, TRIM(Employee_dataset[[#This Row],[Age]]),
     IF(
        _xlpm.a="","",
        IF(
           AND(ISNUMBER(--_xlpm.a),LEN(_xlpm.a)=2),_xlpm.a,""
          )
       )
    )</f>
        <v>30</v>
      </c>
      <c r="E217" t="str">
        <f>TRIM(_xlfn.TEXTBEFORE(Employee_dataset[[#This Row],[Department_Region]],"-"))</f>
        <v>Admin</v>
      </c>
      <c r="F217" t="str">
        <f>TRIM(_xlfn.TEXTAFTER(Employee_dataset[[#This Row],[Department_Region]],"-"))</f>
        <v>Texas</v>
      </c>
      <c r="G217" t="str">
        <f>TRIM(Employee_dataset[[#This Row],[Status]])</f>
        <v>Inactive</v>
      </c>
      <c r="H217" s="1">
        <f>_xlfn.LET(
     _xlpm.d, Employee_dataset[[#This Row],[Join_Date]],
     IF(
        ISNUMBER(_xlpm.d),_xlpm.d,""
       )
    )</f>
        <v>45530</v>
      </c>
      <c r="I217" s="6">
        <f>_xlfn.LET(
     _xlpm.s, TRIM(Employee_dataset[[#This Row],[Salary]]),
     IF(
        UPPER(_xlpm.s)="N/A","",
        IF(
           ISNUMBER(--_xlpm.s),ROUND(_xlfn.NUMBERVALUE(_xlpm.s),2),""
          )
       )
    )</f>
        <v>83071.850000000006</v>
      </c>
      <c r="J217" t="str">
        <f>TRIM(Employee_dataset[[#This Row],[Email]])</f>
        <v>frank.jones@example.com</v>
      </c>
      <c r="K217" t="str">
        <f>_xlfn.LET(
     _xlpm.p,TRIM(SUBSTITUTE(Employee_dataset[[#This Row],[Phone]],"-","")),
     IF(
        LEN(_xlpm.p)=10,_xlfn.CONCAT("("&amp;LEFT(_xlpm.p,3)&amp;") "&amp;MID(_xlpm.p,4,3)&amp;"-"&amp;RIGHT(_xlpm.p,4),"")
       )
     )</f>
        <v>(602) 564-3470</v>
      </c>
      <c r="L217" t="str">
        <f>TRIM(Employee_dataset[[#This Row],[Performance_Score]])</f>
        <v>Poor</v>
      </c>
      <c r="M217" t="str">
        <f>TRIM(Employee_dataset[[#This Row],[Remote_Work]])</f>
        <v>FALSE</v>
      </c>
    </row>
    <row r="218" spans="1:13" x14ac:dyDescent="0.3">
      <c r="A218" t="str">
        <f>TRIM(Employee_dataset[[#This Row],[Employee_ID]])</f>
        <v>EMP1216</v>
      </c>
      <c r="B218" t="str">
        <f>PROPER(TRIM(Employee_dataset[[#This Row],[First_Name]]))</f>
        <v>Heidi</v>
      </c>
      <c r="C218" t="str">
        <f>PROPER(TRIM(Employee_dataset[[#This Row],[Last_Name]]))</f>
        <v>Brown</v>
      </c>
      <c r="D218" s="6" t="str">
        <f>_xlfn.LET(
     _xlpm.a, TRIM(Employee_dataset[[#This Row],[Age]]),
     IF(
        _xlpm.a="","",
        IF(
           AND(ISNUMBER(--_xlpm.a),LEN(_xlpm.a)=2),_xlpm.a,""
          )
       )
    )</f>
        <v>40</v>
      </c>
      <c r="E218" t="str">
        <f>TRIM(_xlfn.TEXTBEFORE(Employee_dataset[[#This Row],[Department_Region]],"-"))</f>
        <v>Sales</v>
      </c>
      <c r="F218" t="str">
        <f>TRIM(_xlfn.TEXTAFTER(Employee_dataset[[#This Row],[Department_Region]],"-"))</f>
        <v>Texas</v>
      </c>
      <c r="G218" t="str">
        <f>TRIM(Employee_dataset[[#This Row],[Status]])</f>
        <v>Active</v>
      </c>
      <c r="H218" s="1">
        <f>_xlfn.LET(
     _xlpm.d, Employee_dataset[[#This Row],[Join_Date]],
     IF(
        ISNUMBER(_xlpm.d),_xlpm.d,""
       )
    )</f>
        <v>43869</v>
      </c>
      <c r="I218" s="6">
        <f>_xlfn.LET(
     _xlpm.s, TRIM(Employee_dataset[[#This Row],[Salary]]),
     IF(
        UPPER(_xlpm.s)="N/A","",
        IF(
           ISNUMBER(--_xlpm.s),ROUND(_xlfn.NUMBERVALUE(_xlpm.s),2),""
          )
       )
    )</f>
        <v>67914.67</v>
      </c>
      <c r="J218" t="str">
        <f>TRIM(Employee_dataset[[#This Row],[Email]])</f>
        <v>heidi.brown@example.com</v>
      </c>
      <c r="K218" t="str">
        <f>_xlfn.LET(
     _xlpm.p,TRIM(SUBSTITUTE(Employee_dataset[[#This Row],[Phone]],"-","")),
     IF(
        LEN(_xlpm.p)=10,_xlfn.CONCAT("("&amp;LEFT(_xlpm.p,3)&amp;") "&amp;MID(_xlpm.p,4,3)&amp;"-"&amp;RIGHT(_xlpm.p,4),"")
       )
     )</f>
        <v>(287) 153-9914</v>
      </c>
      <c r="L218" t="str">
        <f>TRIM(Employee_dataset[[#This Row],[Performance_Score]])</f>
        <v>Excellent</v>
      </c>
      <c r="M218" t="str">
        <f>TRIM(Employee_dataset[[#This Row],[Remote_Work]])</f>
        <v>TRUE</v>
      </c>
    </row>
    <row r="219" spans="1:13" x14ac:dyDescent="0.3">
      <c r="A219" t="str">
        <f>TRIM(Employee_dataset[[#This Row],[Employee_ID]])</f>
        <v>EMP1217</v>
      </c>
      <c r="B219" t="str">
        <f>PROPER(TRIM(Employee_dataset[[#This Row],[First_Name]]))</f>
        <v>Grace</v>
      </c>
      <c r="C219" t="str">
        <f>PROPER(TRIM(Employee_dataset[[#This Row],[Last_Name]]))</f>
        <v>Jones</v>
      </c>
      <c r="D219" s="6" t="str">
        <f>_xlfn.LET(
     _xlpm.a, TRIM(Employee_dataset[[#This Row],[Age]]),
     IF(
        _xlpm.a="","",
        IF(
           AND(ISNUMBER(--_xlpm.a),LEN(_xlpm.a)=2),_xlpm.a,""
          )
       )
    )</f>
        <v>25</v>
      </c>
      <c r="E219" t="str">
        <f>TRIM(_xlfn.TEXTBEFORE(Employee_dataset[[#This Row],[Department_Region]],"-"))</f>
        <v>HR</v>
      </c>
      <c r="F219" t="str">
        <f>TRIM(_xlfn.TEXTAFTER(Employee_dataset[[#This Row],[Department_Region]],"-"))</f>
        <v>New York</v>
      </c>
      <c r="G219" t="str">
        <f>TRIM(Employee_dataset[[#This Row],[Status]])</f>
        <v>Inactive</v>
      </c>
      <c r="H219" s="1">
        <f>_xlfn.LET(
     _xlpm.d, Employee_dataset[[#This Row],[Join_Date]],
     IF(
        ISNUMBER(_xlpm.d),_xlpm.d,""
       )
    )</f>
        <v>44080</v>
      </c>
      <c r="I219" s="6">
        <f>_xlfn.LET(
     _xlpm.s, TRIM(Employee_dataset[[#This Row],[Salary]]),
     IF(
        UPPER(_xlpm.s)="N/A","",
        IF(
           ISNUMBER(--_xlpm.s),ROUND(_xlfn.NUMBERVALUE(_xlpm.s),2),""
          )
       )
    )</f>
        <v>53342.46</v>
      </c>
      <c r="J219" t="str">
        <f>TRIM(Employee_dataset[[#This Row],[Email]])</f>
        <v>grace.jones@example.com</v>
      </c>
      <c r="K219" t="str">
        <f>_xlfn.LET(
     _xlpm.p,TRIM(SUBSTITUTE(Employee_dataset[[#This Row],[Phone]],"-","")),
     IF(
        LEN(_xlpm.p)=10,_xlfn.CONCAT("("&amp;LEFT(_xlpm.p,3)&amp;") "&amp;MID(_xlpm.p,4,3)&amp;"-"&amp;RIGHT(_xlpm.p,4),"")
       )
     )</f>
        <v>(668) 633-4140</v>
      </c>
      <c r="L219" t="str">
        <f>TRIM(Employee_dataset[[#This Row],[Performance_Score]])</f>
        <v>Poor</v>
      </c>
      <c r="M219" t="str">
        <f>TRIM(Employee_dataset[[#This Row],[Remote_Work]])</f>
        <v>FALSE</v>
      </c>
    </row>
    <row r="220" spans="1:13" x14ac:dyDescent="0.3">
      <c r="A220" t="str">
        <f>TRIM(Employee_dataset[[#This Row],[Employee_ID]])</f>
        <v>EMP1218</v>
      </c>
      <c r="B220" t="str">
        <f>PROPER(TRIM(Employee_dataset[[#This Row],[First_Name]]))</f>
        <v>Heidi</v>
      </c>
      <c r="C220" t="str">
        <f>PROPER(TRIM(Employee_dataset[[#This Row],[Last_Name]]))</f>
        <v>Garcia</v>
      </c>
      <c r="D220" s="6" t="str">
        <f>_xlfn.LET(
     _xlpm.a, TRIM(Employee_dataset[[#This Row],[Age]]),
     IF(
        _xlpm.a="","",
        IF(
           AND(ISNUMBER(--_xlpm.a),LEN(_xlpm.a)=2),_xlpm.a,""
          )
       )
    )</f>
        <v>25</v>
      </c>
      <c r="E220" t="str">
        <f>TRIM(_xlfn.TEXTBEFORE(Employee_dataset[[#This Row],[Department_Region]],"-"))</f>
        <v>Cloud Tech</v>
      </c>
      <c r="F220" t="str">
        <f>TRIM(_xlfn.TEXTAFTER(Employee_dataset[[#This Row],[Department_Region]],"-"))</f>
        <v>Florida</v>
      </c>
      <c r="G220" t="str">
        <f>TRIM(Employee_dataset[[#This Row],[Status]])</f>
        <v>Pending</v>
      </c>
      <c r="H220" s="1">
        <f>_xlfn.LET(
     _xlpm.d, Employee_dataset[[#This Row],[Join_Date]],
     IF(
        ISNUMBER(_xlpm.d),_xlpm.d,""
       )
    )</f>
        <v>44928</v>
      </c>
      <c r="I220" s="6">
        <f>_xlfn.LET(
     _xlpm.s, TRIM(Employee_dataset[[#This Row],[Salary]]),
     IF(
        UPPER(_xlpm.s)="N/A","",
        IF(
           ISNUMBER(--_xlpm.s),ROUND(_xlfn.NUMBERVALUE(_xlpm.s),2),""
          )
       )
    )</f>
        <v>51150.47</v>
      </c>
      <c r="J220" t="str">
        <f>TRIM(Employee_dataset[[#This Row],[Email]])</f>
        <v>heidi.garcia@example.com</v>
      </c>
      <c r="K220" t="str">
        <f>_xlfn.LET(
     _xlpm.p,TRIM(SUBSTITUTE(Employee_dataset[[#This Row],[Phone]],"-","")),
     IF(
        LEN(_xlpm.p)=10,_xlfn.CONCAT("("&amp;LEFT(_xlpm.p,3)&amp;") "&amp;MID(_xlpm.p,4,3)&amp;"-"&amp;RIGHT(_xlpm.p,4),"")
       )
     )</f>
        <v>(115) 931-9524</v>
      </c>
      <c r="L220" t="str">
        <f>TRIM(Employee_dataset[[#This Row],[Performance_Score]])</f>
        <v>Excellent</v>
      </c>
      <c r="M220" t="str">
        <f>TRIM(Employee_dataset[[#This Row],[Remote_Work]])</f>
        <v>FALSE</v>
      </c>
    </row>
    <row r="221" spans="1:13" x14ac:dyDescent="0.3">
      <c r="A221" t="str">
        <f>TRIM(Employee_dataset[[#This Row],[Employee_ID]])</f>
        <v>EMP1219</v>
      </c>
      <c r="B221" t="str">
        <f>PROPER(TRIM(Employee_dataset[[#This Row],[First_Name]]))</f>
        <v>David</v>
      </c>
      <c r="C221" t="str">
        <f>PROPER(TRIM(Employee_dataset[[#This Row],[Last_Name]]))</f>
        <v>Davis</v>
      </c>
      <c r="D221" s="6" t="str">
        <f>_xlfn.LET(
     _xlpm.a, TRIM(Employee_dataset[[#This Row],[Age]]),
     IF(
        _xlpm.a="","",
        IF(
           AND(ISNUMBER(--_xlpm.a),LEN(_xlpm.a)=2),_xlpm.a,""
          )
       )
    )</f>
        <v>30</v>
      </c>
      <c r="E221" t="str">
        <f>TRIM(_xlfn.TEXTBEFORE(Employee_dataset[[#This Row],[Department_Region]],"-"))</f>
        <v>HR</v>
      </c>
      <c r="F221" t="str">
        <f>TRIM(_xlfn.TEXTAFTER(Employee_dataset[[#This Row],[Department_Region]],"-"))</f>
        <v>Florida</v>
      </c>
      <c r="G221" t="str">
        <f>TRIM(Employee_dataset[[#This Row],[Status]])</f>
        <v>Active</v>
      </c>
      <c r="H221" s="1">
        <f>_xlfn.LET(
     _xlpm.d, Employee_dataset[[#This Row],[Join_Date]],
     IF(
        ISNUMBER(_xlpm.d),_xlpm.d,""
       )
    )</f>
        <v>45090</v>
      </c>
      <c r="I221" s="6">
        <f>_xlfn.LET(
     _xlpm.s, TRIM(Employee_dataset[[#This Row],[Salary]]),
     IF(
        UPPER(_xlpm.s)="N/A","",
        IF(
           ISNUMBER(--_xlpm.s),ROUND(_xlfn.NUMBERVALUE(_xlpm.s),2),""
          )
       )
    )</f>
        <v>74697.119999999995</v>
      </c>
      <c r="J221" t="str">
        <f>TRIM(Employee_dataset[[#This Row],[Email]])</f>
        <v>david.davis@example.com</v>
      </c>
      <c r="K221" t="str">
        <f>_xlfn.LET(
     _xlpm.p,TRIM(SUBSTITUTE(Employee_dataset[[#This Row],[Phone]],"-","")),
     IF(
        LEN(_xlpm.p)=10,_xlfn.CONCAT("("&amp;LEFT(_xlpm.p,3)&amp;") "&amp;MID(_xlpm.p,4,3)&amp;"-"&amp;RIGHT(_xlpm.p,4),"")
       )
     )</f>
        <v>(690) 409-8365</v>
      </c>
      <c r="L221" t="str">
        <f>TRIM(Employee_dataset[[#This Row],[Performance_Score]])</f>
        <v>Average</v>
      </c>
      <c r="M221" t="str">
        <f>TRIM(Employee_dataset[[#This Row],[Remote_Work]])</f>
        <v>TRUE</v>
      </c>
    </row>
    <row r="222" spans="1:13" x14ac:dyDescent="0.3">
      <c r="A222" t="str">
        <f>TRIM(Employee_dataset[[#This Row],[Employee_ID]])</f>
        <v>EMP1220</v>
      </c>
      <c r="B222" t="str">
        <f>PROPER(TRIM(Employee_dataset[[#This Row],[First_Name]]))</f>
        <v>Charlie</v>
      </c>
      <c r="C222" t="str">
        <f>PROPER(TRIM(Employee_dataset[[#This Row],[Last_Name]]))</f>
        <v>Williams</v>
      </c>
      <c r="D222" s="6" t="str">
        <f>_xlfn.LET(
     _xlpm.a, TRIM(Employee_dataset[[#This Row],[Age]]),
     IF(
        _xlpm.a="","",
        IF(
           AND(ISNUMBER(--_xlpm.a),LEN(_xlpm.a)=2),_xlpm.a,""
          )
       )
    )</f>
        <v>25</v>
      </c>
      <c r="E222" t="str">
        <f>TRIM(_xlfn.TEXTBEFORE(Employee_dataset[[#This Row],[Department_Region]],"-"))</f>
        <v>Sales</v>
      </c>
      <c r="F222" t="str">
        <f>TRIM(_xlfn.TEXTAFTER(Employee_dataset[[#This Row],[Department_Region]],"-"))</f>
        <v>California</v>
      </c>
      <c r="G222" t="str">
        <f>TRIM(Employee_dataset[[#This Row],[Status]])</f>
        <v>Active</v>
      </c>
      <c r="H222" s="1">
        <f>_xlfn.LET(
     _xlpm.d, Employee_dataset[[#This Row],[Join_Date]],
     IF(
        ISNUMBER(_xlpm.d),_xlpm.d,""
       )
    )</f>
        <v>44908</v>
      </c>
      <c r="I222" s="6">
        <f>_xlfn.LET(
     _xlpm.s, TRIM(Employee_dataset[[#This Row],[Salary]]),
     IF(
        UPPER(_xlpm.s)="N/A","",
        IF(
           ISNUMBER(--_xlpm.s),ROUND(_xlfn.NUMBERVALUE(_xlpm.s),2),""
          )
       )
    )</f>
        <v>88085.74</v>
      </c>
      <c r="J222" t="str">
        <f>TRIM(Employee_dataset[[#This Row],[Email]])</f>
        <v>charlie.williams@example.com</v>
      </c>
      <c r="K222" t="str">
        <f>_xlfn.LET(
     _xlpm.p,TRIM(SUBSTITUTE(Employee_dataset[[#This Row],[Phone]],"-","")),
     IF(
        LEN(_xlpm.p)=10,_xlfn.CONCAT("("&amp;LEFT(_xlpm.p,3)&amp;") "&amp;MID(_xlpm.p,4,3)&amp;"-"&amp;RIGHT(_xlpm.p,4),"")
       )
     )</f>
        <v>(552) 899-3159</v>
      </c>
      <c r="L222" t="str">
        <f>TRIM(Employee_dataset[[#This Row],[Performance_Score]])</f>
        <v>Excellent</v>
      </c>
      <c r="M222" t="str">
        <f>TRIM(Employee_dataset[[#This Row],[Remote_Work]])</f>
        <v>TRUE</v>
      </c>
    </row>
    <row r="223" spans="1:13" x14ac:dyDescent="0.3">
      <c r="A223" t="str">
        <f>TRIM(Employee_dataset[[#This Row],[Employee_ID]])</f>
        <v>EMP1221</v>
      </c>
      <c r="B223" t="str">
        <f>PROPER(TRIM(Employee_dataset[[#This Row],[First_Name]]))</f>
        <v>Alice</v>
      </c>
      <c r="C223" t="str">
        <f>PROPER(TRIM(Employee_dataset[[#This Row],[Last_Name]]))</f>
        <v>Williams</v>
      </c>
      <c r="D223" s="6" t="str">
        <f>_xlfn.LET(
     _xlpm.a, TRIM(Employee_dataset[[#This Row],[Age]]),
     IF(
        _xlpm.a="","",
        IF(
           AND(ISNUMBER(--_xlpm.a),LEN(_xlpm.a)=2),_xlpm.a,""
          )
       )
    )</f>
        <v>40</v>
      </c>
      <c r="E223" t="str">
        <f>TRIM(_xlfn.TEXTBEFORE(Employee_dataset[[#This Row],[Department_Region]],"-"))</f>
        <v>Finance</v>
      </c>
      <c r="F223" t="str">
        <f>TRIM(_xlfn.TEXTAFTER(Employee_dataset[[#This Row],[Department_Region]],"-"))</f>
        <v>Texas</v>
      </c>
      <c r="G223" t="str">
        <f>TRIM(Employee_dataset[[#This Row],[Status]])</f>
        <v>Pending</v>
      </c>
      <c r="H223" s="1">
        <f>_xlfn.LET(
     _xlpm.d, Employee_dataset[[#This Row],[Join_Date]],
     IF(
        ISNUMBER(_xlpm.d),_xlpm.d,""
       )
    )</f>
        <v>44623</v>
      </c>
      <c r="I223" s="6">
        <f>_xlfn.LET(
     _xlpm.s, TRIM(Employee_dataset[[#This Row],[Salary]]),
     IF(
        UPPER(_xlpm.s)="N/A","",
        IF(
           ISNUMBER(--_xlpm.s),ROUND(_xlfn.NUMBERVALUE(_xlpm.s),2),""
          )
       )
    )</f>
        <v>118672.76</v>
      </c>
      <c r="J223" t="str">
        <f>TRIM(Employee_dataset[[#This Row],[Email]])</f>
        <v>alice.williams@example.com</v>
      </c>
      <c r="K223" t="str">
        <f>_xlfn.LET(
     _xlpm.p,TRIM(SUBSTITUTE(Employee_dataset[[#This Row],[Phone]],"-","")),
     IF(
        LEN(_xlpm.p)=10,_xlfn.CONCAT("("&amp;LEFT(_xlpm.p,3)&amp;") "&amp;MID(_xlpm.p,4,3)&amp;"-"&amp;RIGHT(_xlpm.p,4),"")
       )
     )</f>
        <v>(875) 243-7728</v>
      </c>
      <c r="L223" t="str">
        <f>TRIM(Employee_dataset[[#This Row],[Performance_Score]])</f>
        <v>Poor</v>
      </c>
      <c r="M223" t="str">
        <f>TRIM(Employee_dataset[[#This Row],[Remote_Work]])</f>
        <v>FALSE</v>
      </c>
    </row>
    <row r="224" spans="1:13" x14ac:dyDescent="0.3">
      <c r="A224" t="str">
        <f>TRIM(Employee_dataset[[#This Row],[Employee_ID]])</f>
        <v>EMP1222</v>
      </c>
      <c r="B224" t="str">
        <f>PROPER(TRIM(Employee_dataset[[#This Row],[First_Name]]))</f>
        <v>Alice</v>
      </c>
      <c r="C224" t="str">
        <f>PROPER(TRIM(Employee_dataset[[#This Row],[Last_Name]]))</f>
        <v>Miller</v>
      </c>
      <c r="D224" s="6" t="str">
        <f>_xlfn.LET(
     _xlpm.a, TRIM(Employee_dataset[[#This Row],[Age]]),
     IF(
        _xlpm.a="","",
        IF(
           AND(ISNUMBER(--_xlpm.a),LEN(_xlpm.a)=2),_xlpm.a,""
          )
       )
    )</f>
        <v>35</v>
      </c>
      <c r="E224" t="str">
        <f>TRIM(_xlfn.TEXTBEFORE(Employee_dataset[[#This Row],[Department_Region]],"-"))</f>
        <v>Cloud Tech</v>
      </c>
      <c r="F224" t="str">
        <f>TRIM(_xlfn.TEXTAFTER(Employee_dataset[[#This Row],[Department_Region]],"-"))</f>
        <v>California</v>
      </c>
      <c r="G224" t="str">
        <f>TRIM(Employee_dataset[[#This Row],[Status]])</f>
        <v>Active</v>
      </c>
      <c r="H224" s="1">
        <f>_xlfn.LET(
     _xlpm.d, Employee_dataset[[#This Row],[Join_Date]],
     IF(
        ISNUMBER(_xlpm.d),_xlpm.d,""
       )
    )</f>
        <v>45332</v>
      </c>
      <c r="I224" s="6">
        <f>_xlfn.LET(
     _xlpm.s, TRIM(Employee_dataset[[#This Row],[Salary]]),
     IF(
        UPPER(_xlpm.s)="N/A","",
        IF(
           ISNUMBER(--_xlpm.s),ROUND(_xlfn.NUMBERVALUE(_xlpm.s),2),""
          )
       )
    )</f>
        <v>95997.31</v>
      </c>
      <c r="J224" t="str">
        <f>TRIM(Employee_dataset[[#This Row],[Email]])</f>
        <v>alice.miller@example.com</v>
      </c>
      <c r="K224" t="str">
        <f>_xlfn.LET(
     _xlpm.p,TRIM(SUBSTITUTE(Employee_dataset[[#This Row],[Phone]],"-","")),
     IF(
        LEN(_xlpm.p)=10,_xlfn.CONCAT("("&amp;LEFT(_xlpm.p,3)&amp;") "&amp;MID(_xlpm.p,4,3)&amp;"-"&amp;RIGHT(_xlpm.p,4),"")
       )
     )</f>
        <v>(420) 954-8148</v>
      </c>
      <c r="L224" t="str">
        <f>TRIM(Employee_dataset[[#This Row],[Performance_Score]])</f>
        <v>Average</v>
      </c>
      <c r="M224" t="str">
        <f>TRIM(Employee_dataset[[#This Row],[Remote_Work]])</f>
        <v>FALSE</v>
      </c>
    </row>
    <row r="225" spans="1:13" x14ac:dyDescent="0.3">
      <c r="A225" t="str">
        <f>TRIM(Employee_dataset[[#This Row],[Employee_ID]])</f>
        <v>EMP1223</v>
      </c>
      <c r="B225" t="str">
        <f>PROPER(TRIM(Employee_dataset[[#This Row],[First_Name]]))</f>
        <v>Frank</v>
      </c>
      <c r="C225" t="str">
        <f>PROPER(TRIM(Employee_dataset[[#This Row],[Last_Name]]))</f>
        <v>Brown</v>
      </c>
      <c r="D225" s="6" t="str">
        <f>_xlfn.LET(
     _xlpm.a, TRIM(Employee_dataset[[#This Row],[Age]]),
     IF(
        _xlpm.a="","",
        IF(
           AND(ISNUMBER(--_xlpm.a),LEN(_xlpm.a)=2),_xlpm.a,""
          )
       )
    )</f>
        <v>30</v>
      </c>
      <c r="E225" t="str">
        <f>TRIM(_xlfn.TEXTBEFORE(Employee_dataset[[#This Row],[Department_Region]],"-"))</f>
        <v>Cloud Tech</v>
      </c>
      <c r="F225" t="str">
        <f>TRIM(_xlfn.TEXTAFTER(Employee_dataset[[#This Row],[Department_Region]],"-"))</f>
        <v>California</v>
      </c>
      <c r="G225" t="str">
        <f>TRIM(Employee_dataset[[#This Row],[Status]])</f>
        <v>Pending</v>
      </c>
      <c r="H225" s="1">
        <f>_xlfn.LET(
     _xlpm.d, Employee_dataset[[#This Row],[Join_Date]],
     IF(
        ISNUMBER(_xlpm.d),_xlpm.d,""
       )
    )</f>
        <v>44524</v>
      </c>
      <c r="I225" s="6">
        <f>_xlfn.LET(
     _xlpm.s, TRIM(Employee_dataset[[#This Row],[Salary]]),
     IF(
        UPPER(_xlpm.s)="N/A","",
        IF(
           ISNUMBER(--_xlpm.s),ROUND(_xlfn.NUMBERVALUE(_xlpm.s),2),""
          )
       )
    )</f>
        <v>106945.62</v>
      </c>
      <c r="J225" t="str">
        <f>TRIM(Employee_dataset[[#This Row],[Email]])</f>
        <v>frank.brown@example.com</v>
      </c>
      <c r="K225" t="str">
        <f>_xlfn.LET(
     _xlpm.p,TRIM(SUBSTITUTE(Employee_dataset[[#This Row],[Phone]],"-","")),
     IF(
        LEN(_xlpm.p)=10,_xlfn.CONCAT("("&amp;LEFT(_xlpm.p,3)&amp;") "&amp;MID(_xlpm.p,4,3)&amp;"-"&amp;RIGHT(_xlpm.p,4),"")
       )
     )</f>
        <v>(737) 460-5232</v>
      </c>
      <c r="L225" t="str">
        <f>TRIM(Employee_dataset[[#This Row],[Performance_Score]])</f>
        <v>Average</v>
      </c>
      <c r="M225" t="str">
        <f>TRIM(Employee_dataset[[#This Row],[Remote_Work]])</f>
        <v>FALSE</v>
      </c>
    </row>
    <row r="226" spans="1:13" x14ac:dyDescent="0.3">
      <c r="A226" t="str">
        <f>TRIM(Employee_dataset[[#This Row],[Employee_ID]])</f>
        <v>EMP1224</v>
      </c>
      <c r="B226" t="str">
        <f>PROPER(TRIM(Employee_dataset[[#This Row],[First_Name]]))</f>
        <v>Heidi</v>
      </c>
      <c r="C226" t="str">
        <f>PROPER(TRIM(Employee_dataset[[#This Row],[Last_Name]]))</f>
        <v>Johnson</v>
      </c>
      <c r="D226" s="6" t="str">
        <f>_xlfn.LET(
     _xlpm.a, TRIM(Employee_dataset[[#This Row],[Age]]),
     IF(
        _xlpm.a="","",
        IF(
           AND(ISNUMBER(--_xlpm.a),LEN(_xlpm.a)=2),_xlpm.a,""
          )
       )
    )</f>
        <v>40</v>
      </c>
      <c r="E226" t="str">
        <f>TRIM(_xlfn.TEXTBEFORE(Employee_dataset[[#This Row],[Department_Region]],"-"))</f>
        <v>DevOps</v>
      </c>
      <c r="F226" t="str">
        <f>TRIM(_xlfn.TEXTAFTER(Employee_dataset[[#This Row],[Department_Region]],"-"))</f>
        <v>New York</v>
      </c>
      <c r="G226" t="str">
        <f>TRIM(Employee_dataset[[#This Row],[Status]])</f>
        <v>Active</v>
      </c>
      <c r="H226" s="1">
        <f>_xlfn.LET(
     _xlpm.d, Employee_dataset[[#This Row],[Join_Date]],
     IF(
        ISNUMBER(_xlpm.d),_xlpm.d,""
       )
    )</f>
        <v>43960</v>
      </c>
      <c r="I226" s="6">
        <f>_xlfn.LET(
     _xlpm.s, TRIM(Employee_dataset[[#This Row],[Salary]]),
     IF(
        UPPER(_xlpm.s)="N/A","",
        IF(
           ISNUMBER(--_xlpm.s),ROUND(_xlfn.NUMBERVALUE(_xlpm.s),2),""
          )
       )
    )</f>
        <v>100123.15</v>
      </c>
      <c r="J226" t="str">
        <f>TRIM(Employee_dataset[[#This Row],[Email]])</f>
        <v>heidi.johnson@example.com</v>
      </c>
      <c r="K226" t="b">
        <f>_xlfn.LET(
     _xlpm.p,TRIM(SUBSTITUTE(Employee_dataset[[#This Row],[Phone]],"-","")),
     IF(
        LEN(_xlpm.p)=10,_xlfn.CONCAT("("&amp;LEFT(_xlpm.p,3)&amp;") "&amp;MID(_xlpm.p,4,3)&amp;"-"&amp;RIGHT(_xlpm.p,4),"")
       )
     )</f>
        <v>0</v>
      </c>
      <c r="L226" t="str">
        <f>TRIM(Employee_dataset[[#This Row],[Performance_Score]])</f>
        <v>Average</v>
      </c>
      <c r="M226" t="str">
        <f>TRIM(Employee_dataset[[#This Row],[Remote_Work]])</f>
        <v>FALSE</v>
      </c>
    </row>
    <row r="227" spans="1:13" x14ac:dyDescent="0.3">
      <c r="A227" t="str">
        <f>TRIM(Employee_dataset[[#This Row],[Employee_ID]])</f>
        <v>EMP1225</v>
      </c>
      <c r="B227" t="str">
        <f>PROPER(TRIM(Employee_dataset[[#This Row],[First_Name]]))</f>
        <v>Alice</v>
      </c>
      <c r="C227" t="str">
        <f>PROPER(TRIM(Employee_dataset[[#This Row],[Last_Name]]))</f>
        <v>Johnson</v>
      </c>
      <c r="D227" s="6" t="str">
        <f>_xlfn.LET(
     _xlpm.a, TRIM(Employee_dataset[[#This Row],[Age]]),
     IF(
        _xlpm.a="","",
        IF(
           AND(ISNUMBER(--_xlpm.a),LEN(_xlpm.a)=2),_xlpm.a,""
          )
       )
    )</f>
        <v>35</v>
      </c>
      <c r="E227" t="str">
        <f>TRIM(_xlfn.TEXTBEFORE(Employee_dataset[[#This Row],[Department_Region]],"-"))</f>
        <v>Admin</v>
      </c>
      <c r="F227" t="str">
        <f>TRIM(_xlfn.TEXTAFTER(Employee_dataset[[#This Row],[Department_Region]],"-"))</f>
        <v>Texas</v>
      </c>
      <c r="G227" t="str">
        <f>TRIM(Employee_dataset[[#This Row],[Status]])</f>
        <v>Active</v>
      </c>
      <c r="H227" s="1">
        <f>_xlfn.LET(
     _xlpm.d, Employee_dataset[[#This Row],[Join_Date]],
     IF(
        ISNUMBER(_xlpm.d),_xlpm.d,""
       )
    )</f>
        <v>45645</v>
      </c>
      <c r="I227" s="6">
        <f>_xlfn.LET(
     _xlpm.s, TRIM(Employee_dataset[[#This Row],[Salary]]),
     IF(
        UPPER(_xlpm.s)="N/A","",
        IF(
           ISNUMBER(--_xlpm.s),ROUND(_xlfn.NUMBERVALUE(_xlpm.s),2),""
          )
       )
    )</f>
        <v>52933.42</v>
      </c>
      <c r="J227" t="str">
        <f>TRIM(Employee_dataset[[#This Row],[Email]])</f>
        <v>alice.johnson@example.com</v>
      </c>
      <c r="K227" t="str">
        <f>_xlfn.LET(
     _xlpm.p,TRIM(SUBSTITUTE(Employee_dataset[[#This Row],[Phone]],"-","")),
     IF(
        LEN(_xlpm.p)=10,_xlfn.CONCAT("("&amp;LEFT(_xlpm.p,3)&amp;") "&amp;MID(_xlpm.p,4,3)&amp;"-"&amp;RIGHT(_xlpm.p,4),"")
       )
     )</f>
        <v>(675) 661-8442</v>
      </c>
      <c r="L227" t="str">
        <f>TRIM(Employee_dataset[[#This Row],[Performance_Score]])</f>
        <v>Poor</v>
      </c>
      <c r="M227" t="str">
        <f>TRIM(Employee_dataset[[#This Row],[Remote_Work]])</f>
        <v>TRUE</v>
      </c>
    </row>
    <row r="228" spans="1:13" x14ac:dyDescent="0.3">
      <c r="A228" t="str">
        <f>TRIM(Employee_dataset[[#This Row],[Employee_ID]])</f>
        <v>EMP1226</v>
      </c>
      <c r="B228" t="str">
        <f>PROPER(TRIM(Employee_dataset[[#This Row],[First_Name]]))</f>
        <v>Grace</v>
      </c>
      <c r="C228" t="str">
        <f>PROPER(TRIM(Employee_dataset[[#This Row],[Last_Name]]))</f>
        <v>Jones</v>
      </c>
      <c r="D228" s="6" t="str">
        <f>_xlfn.LET(
     _xlpm.a, TRIM(Employee_dataset[[#This Row],[Age]]),
     IF(
        _xlpm.a="","",
        IF(
           AND(ISNUMBER(--_xlpm.a),LEN(_xlpm.a)=2),_xlpm.a,""
          )
       )
    )</f>
        <v/>
      </c>
      <c r="E228" t="str">
        <f>TRIM(_xlfn.TEXTBEFORE(Employee_dataset[[#This Row],[Department_Region]],"-"))</f>
        <v>Finance</v>
      </c>
      <c r="F228" t="str">
        <f>TRIM(_xlfn.TEXTAFTER(Employee_dataset[[#This Row],[Department_Region]],"-"))</f>
        <v>California</v>
      </c>
      <c r="G228" t="str">
        <f>TRIM(Employee_dataset[[#This Row],[Status]])</f>
        <v>Active</v>
      </c>
      <c r="H228" s="1">
        <f>_xlfn.LET(
     _xlpm.d, Employee_dataset[[#This Row],[Join_Date]],
     IF(
        ISNUMBER(_xlpm.d),_xlpm.d,""
       )
    )</f>
        <v>45373</v>
      </c>
      <c r="I228" s="6">
        <f>_xlfn.LET(
     _xlpm.s, TRIM(Employee_dataset[[#This Row],[Salary]]),
     IF(
        UPPER(_xlpm.s)="N/A","",
        IF(
           ISNUMBER(--_xlpm.s),ROUND(_xlfn.NUMBERVALUE(_xlpm.s),2),""
          )
       )
    )</f>
        <v>95283.03</v>
      </c>
      <c r="J228" t="str">
        <f>TRIM(Employee_dataset[[#This Row],[Email]])</f>
        <v>grace.jones@example.com</v>
      </c>
      <c r="K228" t="str">
        <f>_xlfn.LET(
     _xlpm.p,TRIM(SUBSTITUTE(Employee_dataset[[#This Row],[Phone]],"-","")),
     IF(
        LEN(_xlpm.p)=10,_xlfn.CONCAT("("&amp;LEFT(_xlpm.p,3)&amp;") "&amp;MID(_xlpm.p,4,3)&amp;"-"&amp;RIGHT(_xlpm.p,4),"")
       )
     )</f>
        <v>(861) 259-0471</v>
      </c>
      <c r="L228" t="str">
        <f>TRIM(Employee_dataset[[#This Row],[Performance_Score]])</f>
        <v>Good</v>
      </c>
      <c r="M228" t="str">
        <f>TRIM(Employee_dataset[[#This Row],[Remote_Work]])</f>
        <v>FALSE</v>
      </c>
    </row>
    <row r="229" spans="1:13" x14ac:dyDescent="0.3">
      <c r="A229" t="str">
        <f>TRIM(Employee_dataset[[#This Row],[Employee_ID]])</f>
        <v>EMP1227</v>
      </c>
      <c r="B229" t="str">
        <f>PROPER(TRIM(Employee_dataset[[#This Row],[First_Name]]))</f>
        <v>Alice</v>
      </c>
      <c r="C229" t="str">
        <f>PROPER(TRIM(Employee_dataset[[#This Row],[Last_Name]]))</f>
        <v>Miller</v>
      </c>
      <c r="D229" s="6" t="str">
        <f>_xlfn.LET(
     _xlpm.a, TRIM(Employee_dataset[[#This Row],[Age]]),
     IF(
        _xlpm.a="","",
        IF(
           AND(ISNUMBER(--_xlpm.a),LEN(_xlpm.a)=2),_xlpm.a,""
          )
       )
    )</f>
        <v>35</v>
      </c>
      <c r="E229" t="str">
        <f>TRIM(_xlfn.TEXTBEFORE(Employee_dataset[[#This Row],[Department_Region]],"-"))</f>
        <v>HR</v>
      </c>
      <c r="F229" t="str">
        <f>TRIM(_xlfn.TEXTAFTER(Employee_dataset[[#This Row],[Department_Region]],"-"))</f>
        <v>Texas</v>
      </c>
      <c r="G229" t="str">
        <f>TRIM(Employee_dataset[[#This Row],[Status]])</f>
        <v>Inactive</v>
      </c>
      <c r="H229" s="1">
        <f>_xlfn.LET(
     _xlpm.d, Employee_dataset[[#This Row],[Join_Date]],
     IF(
        ISNUMBER(_xlpm.d),_xlpm.d,""
       )
    )</f>
        <v>44725</v>
      </c>
      <c r="I229" s="6">
        <f>_xlfn.LET(
     _xlpm.s, TRIM(Employee_dataset[[#This Row],[Salary]]),
     IF(
        UPPER(_xlpm.s)="N/A","",
        IF(
           ISNUMBER(--_xlpm.s),ROUND(_xlfn.NUMBERVALUE(_xlpm.s),2),""
          )
       )
    )</f>
        <v>112264.06</v>
      </c>
      <c r="J229" t="str">
        <f>TRIM(Employee_dataset[[#This Row],[Email]])</f>
        <v>alice.miller@example.com</v>
      </c>
      <c r="K229" t="str">
        <f>_xlfn.LET(
     _xlpm.p,TRIM(SUBSTITUTE(Employee_dataset[[#This Row],[Phone]],"-","")),
     IF(
        LEN(_xlpm.p)=10,_xlfn.CONCAT("("&amp;LEFT(_xlpm.p,3)&amp;") "&amp;MID(_xlpm.p,4,3)&amp;"-"&amp;RIGHT(_xlpm.p,4),"")
       )
     )</f>
        <v>(927) 742-3329</v>
      </c>
      <c r="L229" t="str">
        <f>TRIM(Employee_dataset[[#This Row],[Performance_Score]])</f>
        <v>Good</v>
      </c>
      <c r="M229" t="str">
        <f>TRIM(Employee_dataset[[#This Row],[Remote_Work]])</f>
        <v>FALSE</v>
      </c>
    </row>
    <row r="230" spans="1:13" x14ac:dyDescent="0.3">
      <c r="A230" t="str">
        <f>TRIM(Employee_dataset[[#This Row],[Employee_ID]])</f>
        <v>EMP1228</v>
      </c>
      <c r="B230" t="str">
        <f>PROPER(TRIM(Employee_dataset[[#This Row],[First_Name]]))</f>
        <v>Grace</v>
      </c>
      <c r="C230" t="str">
        <f>PROPER(TRIM(Employee_dataset[[#This Row],[Last_Name]]))</f>
        <v>Smith</v>
      </c>
      <c r="D230" s="6" t="str">
        <f>_xlfn.LET(
     _xlpm.a, TRIM(Employee_dataset[[#This Row],[Age]]),
     IF(
        _xlpm.a="","",
        IF(
           AND(ISNUMBER(--_xlpm.a),LEN(_xlpm.a)=2),_xlpm.a,""
          )
       )
    )</f>
        <v>35</v>
      </c>
      <c r="E230" t="str">
        <f>TRIM(_xlfn.TEXTBEFORE(Employee_dataset[[#This Row],[Department_Region]],"-"))</f>
        <v>Admin</v>
      </c>
      <c r="F230" t="str">
        <f>TRIM(_xlfn.TEXTAFTER(Employee_dataset[[#This Row],[Department_Region]],"-"))</f>
        <v>Florida</v>
      </c>
      <c r="G230" t="str">
        <f>TRIM(Employee_dataset[[#This Row],[Status]])</f>
        <v>Pending</v>
      </c>
      <c r="H230" s="1">
        <f>_xlfn.LET(
     _xlpm.d, Employee_dataset[[#This Row],[Join_Date]],
     IF(
        ISNUMBER(_xlpm.d),_xlpm.d,""
       )
    )</f>
        <v>44849</v>
      </c>
      <c r="I230" s="6">
        <f>_xlfn.LET(
     _xlpm.s, TRIM(Employee_dataset[[#This Row],[Salary]]),
     IF(
        UPPER(_xlpm.s)="N/A","",
        IF(
           ISNUMBER(--_xlpm.s),ROUND(_xlfn.NUMBERVALUE(_xlpm.s),2),""
          )
       )
    )</f>
        <v>75714.28</v>
      </c>
      <c r="J230" t="str">
        <f>TRIM(Employee_dataset[[#This Row],[Email]])</f>
        <v>grace.smith@example.com</v>
      </c>
      <c r="K230" t="str">
        <f>_xlfn.LET(
     _xlpm.p,TRIM(SUBSTITUTE(Employee_dataset[[#This Row],[Phone]],"-","")),
     IF(
        LEN(_xlpm.p)=10,_xlfn.CONCAT("("&amp;LEFT(_xlpm.p,3)&amp;") "&amp;MID(_xlpm.p,4,3)&amp;"-"&amp;RIGHT(_xlpm.p,4),"")
       )
     )</f>
        <v>(591) 266-2014</v>
      </c>
      <c r="L230" t="str">
        <f>TRIM(Employee_dataset[[#This Row],[Performance_Score]])</f>
        <v>Good</v>
      </c>
      <c r="M230" t="str">
        <f>TRIM(Employee_dataset[[#This Row],[Remote_Work]])</f>
        <v>TRUE</v>
      </c>
    </row>
    <row r="231" spans="1:13" x14ac:dyDescent="0.3">
      <c r="A231" t="str">
        <f>TRIM(Employee_dataset[[#This Row],[Employee_ID]])</f>
        <v>EMP1229</v>
      </c>
      <c r="B231" t="str">
        <f>PROPER(TRIM(Employee_dataset[[#This Row],[First_Name]]))</f>
        <v>Eva</v>
      </c>
      <c r="C231" t="str">
        <f>PROPER(TRIM(Employee_dataset[[#This Row],[Last_Name]]))</f>
        <v>Jones</v>
      </c>
      <c r="D231" s="6" t="str">
        <f>_xlfn.LET(
     _xlpm.a, TRIM(Employee_dataset[[#This Row],[Age]]),
     IF(
        _xlpm.a="","",
        IF(
           AND(ISNUMBER(--_xlpm.a),LEN(_xlpm.a)=2),_xlpm.a,""
          )
       )
    )</f>
        <v>25</v>
      </c>
      <c r="E231" t="str">
        <f>TRIM(_xlfn.TEXTBEFORE(Employee_dataset[[#This Row],[Department_Region]],"-"))</f>
        <v>DevOps</v>
      </c>
      <c r="F231" t="str">
        <f>TRIM(_xlfn.TEXTAFTER(Employee_dataset[[#This Row],[Department_Region]],"-"))</f>
        <v>Florida</v>
      </c>
      <c r="G231" t="str">
        <f>TRIM(Employee_dataset[[#This Row],[Status]])</f>
        <v>Active</v>
      </c>
      <c r="H231" s="1">
        <f>_xlfn.LET(
     _xlpm.d, Employee_dataset[[#This Row],[Join_Date]],
     IF(
        ISNUMBER(_xlpm.d),_xlpm.d,""
       )
    )</f>
        <v>44712</v>
      </c>
      <c r="I231" s="6">
        <f>_xlfn.LET(
     _xlpm.s, TRIM(Employee_dataset[[#This Row],[Salary]]),
     IF(
        UPPER(_xlpm.s)="N/A","",
        IF(
           ISNUMBER(--_xlpm.s),ROUND(_xlfn.NUMBERVALUE(_xlpm.s),2),""
          )
       )
    )</f>
        <v>92171.73</v>
      </c>
      <c r="J231" t="str">
        <f>TRIM(Employee_dataset[[#This Row],[Email]])</f>
        <v>eva.jones@example.com</v>
      </c>
      <c r="K231" t="str">
        <f>_xlfn.LET(
     _xlpm.p,TRIM(SUBSTITUTE(Employee_dataset[[#This Row],[Phone]],"-","")),
     IF(
        LEN(_xlpm.p)=10,_xlfn.CONCAT("("&amp;LEFT(_xlpm.p,3)&amp;") "&amp;MID(_xlpm.p,4,3)&amp;"-"&amp;RIGHT(_xlpm.p,4),"")
       )
     )</f>
        <v>(720) 185-9625</v>
      </c>
      <c r="L231" t="str">
        <f>TRIM(Employee_dataset[[#This Row],[Performance_Score]])</f>
        <v>Poor</v>
      </c>
      <c r="M231" t="str">
        <f>TRIM(Employee_dataset[[#This Row],[Remote_Work]])</f>
        <v>FALSE</v>
      </c>
    </row>
    <row r="232" spans="1:13" x14ac:dyDescent="0.3">
      <c r="A232" t="str">
        <f>TRIM(Employee_dataset[[#This Row],[Employee_ID]])</f>
        <v>EMP1230</v>
      </c>
      <c r="B232" t="str">
        <f>PROPER(TRIM(Employee_dataset[[#This Row],[First_Name]]))</f>
        <v>Eva</v>
      </c>
      <c r="C232" t="str">
        <f>PROPER(TRIM(Employee_dataset[[#This Row],[Last_Name]]))</f>
        <v>Miller</v>
      </c>
      <c r="D232" s="6" t="str">
        <f>_xlfn.LET(
     _xlpm.a, TRIM(Employee_dataset[[#This Row],[Age]]),
     IF(
        _xlpm.a="","",
        IF(
           AND(ISNUMBER(--_xlpm.a),LEN(_xlpm.a)=2),_xlpm.a,""
          )
       )
    )</f>
        <v>35</v>
      </c>
      <c r="E232" t="str">
        <f>TRIM(_xlfn.TEXTBEFORE(Employee_dataset[[#This Row],[Department_Region]],"-"))</f>
        <v>Cloud Tech</v>
      </c>
      <c r="F232" t="str">
        <f>TRIM(_xlfn.TEXTAFTER(Employee_dataset[[#This Row],[Department_Region]],"-"))</f>
        <v>Texas</v>
      </c>
      <c r="G232" t="str">
        <f>TRIM(Employee_dataset[[#This Row],[Status]])</f>
        <v>Inactive</v>
      </c>
      <c r="H232" s="1">
        <f>_xlfn.LET(
     _xlpm.d, Employee_dataset[[#This Row],[Join_Date]],
     IF(
        ISNUMBER(_xlpm.d),_xlpm.d,""
       )
    )</f>
        <v>45184</v>
      </c>
      <c r="I232" s="6">
        <f>_xlfn.LET(
     _xlpm.s, TRIM(Employee_dataset[[#This Row],[Salary]]),
     IF(
        UPPER(_xlpm.s)="N/A","",
        IF(
           ISNUMBER(--_xlpm.s),ROUND(_xlfn.NUMBERVALUE(_xlpm.s),2),""
          )
       )
    )</f>
        <v>70694.8</v>
      </c>
      <c r="J232" t="str">
        <f>TRIM(Employee_dataset[[#This Row],[Email]])</f>
        <v>eva.miller@example.com</v>
      </c>
      <c r="K232" t="str">
        <f>_xlfn.LET(
     _xlpm.p,TRIM(SUBSTITUTE(Employee_dataset[[#This Row],[Phone]],"-","")),
     IF(
        LEN(_xlpm.p)=10,_xlfn.CONCAT("("&amp;LEFT(_xlpm.p,3)&amp;") "&amp;MID(_xlpm.p,4,3)&amp;"-"&amp;RIGHT(_xlpm.p,4),"")
       )
     )</f>
        <v>(301) 367-4925</v>
      </c>
      <c r="L232" t="str">
        <f>TRIM(Employee_dataset[[#This Row],[Performance_Score]])</f>
        <v>Average</v>
      </c>
      <c r="M232" t="str">
        <f>TRIM(Employee_dataset[[#This Row],[Remote_Work]])</f>
        <v>TRUE</v>
      </c>
    </row>
    <row r="233" spans="1:13" x14ac:dyDescent="0.3">
      <c r="A233" t="str">
        <f>TRIM(Employee_dataset[[#This Row],[Employee_ID]])</f>
        <v>EMP1231</v>
      </c>
      <c r="B233" t="str">
        <f>PROPER(TRIM(Employee_dataset[[#This Row],[First_Name]]))</f>
        <v>Grace</v>
      </c>
      <c r="C233" t="str">
        <f>PROPER(TRIM(Employee_dataset[[#This Row],[Last_Name]]))</f>
        <v>Brown</v>
      </c>
      <c r="D233" s="6" t="str">
        <f>_xlfn.LET(
     _xlpm.a, TRIM(Employee_dataset[[#This Row],[Age]]),
     IF(
        _xlpm.a="","",
        IF(
           AND(ISNUMBER(--_xlpm.a),LEN(_xlpm.a)=2),_xlpm.a,""
          )
       )
    )</f>
        <v>30</v>
      </c>
      <c r="E233" t="str">
        <f>TRIM(_xlfn.TEXTBEFORE(Employee_dataset[[#This Row],[Department_Region]],"-"))</f>
        <v>DevOps</v>
      </c>
      <c r="F233" t="str">
        <f>TRIM(_xlfn.TEXTAFTER(Employee_dataset[[#This Row],[Department_Region]],"-"))</f>
        <v>Florida</v>
      </c>
      <c r="G233" t="str">
        <f>TRIM(Employee_dataset[[#This Row],[Status]])</f>
        <v>Inactive</v>
      </c>
      <c r="H233" s="1">
        <f>_xlfn.LET(
     _xlpm.d, Employee_dataset[[#This Row],[Join_Date]],
     IF(
        ISNUMBER(_xlpm.d),_xlpm.d,""
       )
    )</f>
        <v>44746</v>
      </c>
      <c r="I233" s="6">
        <f>_xlfn.LET(
     _xlpm.s, TRIM(Employee_dataset[[#This Row],[Salary]]),
     IF(
        UPPER(_xlpm.s)="N/A","",
        IF(
           ISNUMBER(--_xlpm.s),ROUND(_xlfn.NUMBERVALUE(_xlpm.s),2),""
          )
       )
    )</f>
        <v>52964.86</v>
      </c>
      <c r="J233" t="str">
        <f>TRIM(Employee_dataset[[#This Row],[Email]])</f>
        <v>grace.brown@example.com</v>
      </c>
      <c r="K233" t="str">
        <f>_xlfn.LET(
     _xlpm.p,TRIM(SUBSTITUTE(Employee_dataset[[#This Row],[Phone]],"-","")),
     IF(
        LEN(_xlpm.p)=10,_xlfn.CONCAT("("&amp;LEFT(_xlpm.p,3)&amp;") "&amp;MID(_xlpm.p,4,3)&amp;"-"&amp;RIGHT(_xlpm.p,4),"")
       )
     )</f>
        <v>(176) 475-0110</v>
      </c>
      <c r="L233" t="str">
        <f>TRIM(Employee_dataset[[#This Row],[Performance_Score]])</f>
        <v>Good</v>
      </c>
      <c r="M233" t="str">
        <f>TRIM(Employee_dataset[[#This Row],[Remote_Work]])</f>
        <v>TRUE</v>
      </c>
    </row>
    <row r="234" spans="1:13" x14ac:dyDescent="0.3">
      <c r="A234" t="str">
        <f>TRIM(Employee_dataset[[#This Row],[Employee_ID]])</f>
        <v>EMP1232</v>
      </c>
      <c r="B234" t="str">
        <f>PROPER(TRIM(Employee_dataset[[#This Row],[First_Name]]))</f>
        <v>Frank</v>
      </c>
      <c r="C234" t="str">
        <f>PROPER(TRIM(Employee_dataset[[#This Row],[Last_Name]]))</f>
        <v>Brown</v>
      </c>
      <c r="D234" s="6" t="str">
        <f>_xlfn.LET(
     _xlpm.a, TRIM(Employee_dataset[[#This Row],[Age]]),
     IF(
        _xlpm.a="","",
        IF(
           AND(ISNUMBER(--_xlpm.a),LEN(_xlpm.a)=2),_xlpm.a,""
          )
       )
    )</f>
        <v/>
      </c>
      <c r="E234" t="str">
        <f>TRIM(_xlfn.TEXTBEFORE(Employee_dataset[[#This Row],[Department_Region]],"-"))</f>
        <v>Finance</v>
      </c>
      <c r="F234" t="str">
        <f>TRIM(_xlfn.TEXTAFTER(Employee_dataset[[#This Row],[Department_Region]],"-"))</f>
        <v>California</v>
      </c>
      <c r="G234" t="str">
        <f>TRIM(Employee_dataset[[#This Row],[Status]])</f>
        <v>Pending</v>
      </c>
      <c r="H234" s="1">
        <f>_xlfn.LET(
     _xlpm.d, Employee_dataset[[#This Row],[Join_Date]],
     IF(
        ISNUMBER(_xlpm.d),_xlpm.d,""
       )
    )</f>
        <v>45451</v>
      </c>
      <c r="I234" s="6">
        <f>_xlfn.LET(
     _xlpm.s, TRIM(Employee_dataset[[#This Row],[Salary]]),
     IF(
        UPPER(_xlpm.s)="N/A","",
        IF(
           ISNUMBER(--_xlpm.s),ROUND(_xlfn.NUMBERVALUE(_xlpm.s),2),""
          )
       )
    )</f>
        <v>116353.31</v>
      </c>
      <c r="J234" t="str">
        <f>TRIM(Employee_dataset[[#This Row],[Email]])</f>
        <v>frank.brown@example.com</v>
      </c>
      <c r="K234" t="str">
        <f>_xlfn.LET(
     _xlpm.p,TRIM(SUBSTITUTE(Employee_dataset[[#This Row],[Phone]],"-","")),
     IF(
        LEN(_xlpm.p)=10,_xlfn.CONCAT("("&amp;LEFT(_xlpm.p,3)&amp;") "&amp;MID(_xlpm.p,4,3)&amp;"-"&amp;RIGHT(_xlpm.p,4),"")
       )
     )</f>
        <v>(178) 309-9973</v>
      </c>
      <c r="L234" t="str">
        <f>TRIM(Employee_dataset[[#This Row],[Performance_Score]])</f>
        <v>Poor</v>
      </c>
      <c r="M234" t="str">
        <f>TRIM(Employee_dataset[[#This Row],[Remote_Work]])</f>
        <v>TRUE</v>
      </c>
    </row>
    <row r="235" spans="1:13" x14ac:dyDescent="0.3">
      <c r="A235" t="str">
        <f>TRIM(Employee_dataset[[#This Row],[Employee_ID]])</f>
        <v>EMP1233</v>
      </c>
      <c r="B235" t="str">
        <f>PROPER(TRIM(Employee_dataset[[#This Row],[First_Name]]))</f>
        <v>Grace</v>
      </c>
      <c r="C235" t="str">
        <f>PROPER(TRIM(Employee_dataset[[#This Row],[Last_Name]]))</f>
        <v>Brown</v>
      </c>
      <c r="D235" s="6" t="str">
        <f>_xlfn.LET(
     _xlpm.a, TRIM(Employee_dataset[[#This Row],[Age]]),
     IF(
        _xlpm.a="","",
        IF(
           AND(ISNUMBER(--_xlpm.a),LEN(_xlpm.a)=2),_xlpm.a,""
          )
       )
    )</f>
        <v>35</v>
      </c>
      <c r="E235" t="str">
        <f>TRIM(_xlfn.TEXTBEFORE(Employee_dataset[[#This Row],[Department_Region]],"-"))</f>
        <v>Sales</v>
      </c>
      <c r="F235" t="str">
        <f>TRIM(_xlfn.TEXTAFTER(Employee_dataset[[#This Row],[Department_Region]],"-"))</f>
        <v>Nevada</v>
      </c>
      <c r="G235" t="str">
        <f>TRIM(Employee_dataset[[#This Row],[Status]])</f>
        <v>Pending</v>
      </c>
      <c r="H235" s="1">
        <f>_xlfn.LET(
     _xlpm.d, Employee_dataset[[#This Row],[Join_Date]],
     IF(
        ISNUMBER(_xlpm.d),_xlpm.d,""
       )
    )</f>
        <v>44158</v>
      </c>
      <c r="I235" s="6">
        <f>_xlfn.LET(
     _xlpm.s, TRIM(Employee_dataset[[#This Row],[Salary]]),
     IF(
        UPPER(_xlpm.s)="N/A","",
        IF(
           ISNUMBER(--_xlpm.s),ROUND(_xlfn.NUMBERVALUE(_xlpm.s),2),""
          )
       )
    )</f>
        <v>116695.26</v>
      </c>
      <c r="J235" t="str">
        <f>TRIM(Employee_dataset[[#This Row],[Email]])</f>
        <v>grace.brown@example.com</v>
      </c>
      <c r="K235" t="str">
        <f>_xlfn.LET(
     _xlpm.p,TRIM(SUBSTITUTE(Employee_dataset[[#This Row],[Phone]],"-","")),
     IF(
        LEN(_xlpm.p)=10,_xlfn.CONCAT("("&amp;LEFT(_xlpm.p,3)&amp;") "&amp;MID(_xlpm.p,4,3)&amp;"-"&amp;RIGHT(_xlpm.p,4),"")
       )
     )</f>
        <v>(192) 676-4920</v>
      </c>
      <c r="L235" t="str">
        <f>TRIM(Employee_dataset[[#This Row],[Performance_Score]])</f>
        <v>Good</v>
      </c>
      <c r="M235" t="str">
        <f>TRIM(Employee_dataset[[#This Row],[Remote_Work]])</f>
        <v>FALSE</v>
      </c>
    </row>
    <row r="236" spans="1:13" x14ac:dyDescent="0.3">
      <c r="A236" t="str">
        <f>TRIM(Employee_dataset[[#This Row],[Employee_ID]])</f>
        <v>EMP1234</v>
      </c>
      <c r="B236" t="str">
        <f>PROPER(TRIM(Employee_dataset[[#This Row],[First_Name]]))</f>
        <v>Heidi</v>
      </c>
      <c r="C236" t="str">
        <f>PROPER(TRIM(Employee_dataset[[#This Row],[Last_Name]]))</f>
        <v>Brown</v>
      </c>
      <c r="D236" s="6" t="str">
        <f>_xlfn.LET(
     _xlpm.a, TRIM(Employee_dataset[[#This Row],[Age]]),
     IF(
        _xlpm.a="","",
        IF(
           AND(ISNUMBER(--_xlpm.a),LEN(_xlpm.a)=2),_xlpm.a,""
          )
       )
    )</f>
        <v>25</v>
      </c>
      <c r="E236" t="str">
        <f>TRIM(_xlfn.TEXTBEFORE(Employee_dataset[[#This Row],[Department_Region]],"-"))</f>
        <v>Admin</v>
      </c>
      <c r="F236" t="str">
        <f>TRIM(_xlfn.TEXTAFTER(Employee_dataset[[#This Row],[Department_Region]],"-"))</f>
        <v>Texas</v>
      </c>
      <c r="G236" t="str">
        <f>TRIM(Employee_dataset[[#This Row],[Status]])</f>
        <v>Active</v>
      </c>
      <c r="H236" s="1">
        <f>_xlfn.LET(
     _xlpm.d, Employee_dataset[[#This Row],[Join_Date]],
     IF(
        ISNUMBER(_xlpm.d),_xlpm.d,""
       )
    )</f>
        <v>45425</v>
      </c>
      <c r="I236" s="6">
        <f>_xlfn.LET(
     _xlpm.s, TRIM(Employee_dataset[[#This Row],[Salary]]),
     IF(
        UPPER(_xlpm.s)="N/A","",
        IF(
           ISNUMBER(--_xlpm.s),ROUND(_xlfn.NUMBERVALUE(_xlpm.s),2),""
          )
       )
    )</f>
        <v>95161.4</v>
      </c>
      <c r="J236" t="str">
        <f>TRIM(Employee_dataset[[#This Row],[Email]])</f>
        <v>heidi.brown@example.com</v>
      </c>
      <c r="K236" t="str">
        <f>_xlfn.LET(
     _xlpm.p,TRIM(SUBSTITUTE(Employee_dataset[[#This Row],[Phone]],"-","")),
     IF(
        LEN(_xlpm.p)=10,_xlfn.CONCAT("("&amp;LEFT(_xlpm.p,3)&amp;") "&amp;MID(_xlpm.p,4,3)&amp;"-"&amp;RIGHT(_xlpm.p,4),"")
       )
     )</f>
        <v>(518) 260-6887</v>
      </c>
      <c r="L236" t="str">
        <f>TRIM(Employee_dataset[[#This Row],[Performance_Score]])</f>
        <v>Excellent</v>
      </c>
      <c r="M236" t="str">
        <f>TRIM(Employee_dataset[[#This Row],[Remote_Work]])</f>
        <v>FALSE</v>
      </c>
    </row>
    <row r="237" spans="1:13" x14ac:dyDescent="0.3">
      <c r="A237" t="str">
        <f>TRIM(Employee_dataset[[#This Row],[Employee_ID]])</f>
        <v>EMP1235</v>
      </c>
      <c r="B237" t="str">
        <f>PROPER(TRIM(Employee_dataset[[#This Row],[First_Name]]))</f>
        <v>Alice</v>
      </c>
      <c r="C237" t="str">
        <f>PROPER(TRIM(Employee_dataset[[#This Row],[Last_Name]]))</f>
        <v>Brown</v>
      </c>
      <c r="D237" s="6" t="str">
        <f>_xlfn.LET(
     _xlpm.a, TRIM(Employee_dataset[[#This Row],[Age]]),
     IF(
        _xlpm.a="","",
        IF(
           AND(ISNUMBER(--_xlpm.a),LEN(_xlpm.a)=2),_xlpm.a,""
          )
       )
    )</f>
        <v/>
      </c>
      <c r="E237" t="str">
        <f>TRIM(_xlfn.TEXTBEFORE(Employee_dataset[[#This Row],[Department_Region]],"-"))</f>
        <v>Admin</v>
      </c>
      <c r="F237" t="str">
        <f>TRIM(_xlfn.TEXTAFTER(Employee_dataset[[#This Row],[Department_Region]],"-"))</f>
        <v>Nevada</v>
      </c>
      <c r="G237" t="str">
        <f>TRIM(Employee_dataset[[#This Row],[Status]])</f>
        <v>Inactive</v>
      </c>
      <c r="H237" s="1">
        <f>_xlfn.LET(
     _xlpm.d, Employee_dataset[[#This Row],[Join_Date]],
     IF(
        ISNUMBER(_xlpm.d),_xlpm.d,""
       )
    )</f>
        <v>44590</v>
      </c>
      <c r="I237" s="6">
        <f>_xlfn.LET(
     _xlpm.s, TRIM(Employee_dataset[[#This Row],[Salary]]),
     IF(
        UPPER(_xlpm.s)="N/A","",
        IF(
           ISNUMBER(--_xlpm.s),ROUND(_xlfn.NUMBERVALUE(_xlpm.s),2),""
          )
       )
    )</f>
        <v>76040.94</v>
      </c>
      <c r="J237" t="str">
        <f>TRIM(Employee_dataset[[#This Row],[Email]])</f>
        <v>alice.brown@example.com</v>
      </c>
      <c r="K237" t="str">
        <f>_xlfn.LET(
     _xlpm.p,TRIM(SUBSTITUTE(Employee_dataset[[#This Row],[Phone]],"-","")),
     IF(
        LEN(_xlpm.p)=10,_xlfn.CONCAT("("&amp;LEFT(_xlpm.p,3)&amp;") "&amp;MID(_xlpm.p,4,3)&amp;"-"&amp;RIGHT(_xlpm.p,4),"")
       )
     )</f>
        <v>(718) 981-3128</v>
      </c>
      <c r="L237" t="str">
        <f>TRIM(Employee_dataset[[#This Row],[Performance_Score]])</f>
        <v>Good</v>
      </c>
      <c r="M237" t="str">
        <f>TRIM(Employee_dataset[[#This Row],[Remote_Work]])</f>
        <v>TRUE</v>
      </c>
    </row>
    <row r="238" spans="1:13" x14ac:dyDescent="0.3">
      <c r="A238" t="str">
        <f>TRIM(Employee_dataset[[#This Row],[Employee_ID]])</f>
        <v>EMP1236</v>
      </c>
      <c r="B238" t="str">
        <f>PROPER(TRIM(Employee_dataset[[#This Row],[First_Name]]))</f>
        <v>Charlie</v>
      </c>
      <c r="C238" t="str">
        <f>PROPER(TRIM(Employee_dataset[[#This Row],[Last_Name]]))</f>
        <v>Miller</v>
      </c>
      <c r="D238" s="6" t="str">
        <f>_xlfn.LET(
     _xlpm.a, TRIM(Employee_dataset[[#This Row],[Age]]),
     IF(
        _xlpm.a="","",
        IF(
           AND(ISNUMBER(--_xlpm.a),LEN(_xlpm.a)=2),_xlpm.a,""
          )
       )
    )</f>
        <v/>
      </c>
      <c r="E238" t="str">
        <f>TRIM(_xlfn.TEXTBEFORE(Employee_dataset[[#This Row],[Department_Region]],"-"))</f>
        <v>HR</v>
      </c>
      <c r="F238" t="str">
        <f>TRIM(_xlfn.TEXTAFTER(Employee_dataset[[#This Row],[Department_Region]],"-"))</f>
        <v>Florida</v>
      </c>
      <c r="G238" t="str">
        <f>TRIM(Employee_dataset[[#This Row],[Status]])</f>
        <v>Inactive</v>
      </c>
      <c r="H238" s="1">
        <f>_xlfn.LET(
     _xlpm.d, Employee_dataset[[#This Row],[Join_Date]],
     IF(
        ISNUMBER(_xlpm.d),_xlpm.d,""
       )
    )</f>
        <v>45161</v>
      </c>
      <c r="I238" s="6">
        <f>_xlfn.LET(
     _xlpm.s, TRIM(Employee_dataset[[#This Row],[Salary]]),
     IF(
        UPPER(_xlpm.s)="N/A","",
        IF(
           ISNUMBER(--_xlpm.s),ROUND(_xlfn.NUMBERVALUE(_xlpm.s),2),""
          )
       )
    )</f>
        <v>69508.28</v>
      </c>
      <c r="J238" t="str">
        <f>TRIM(Employee_dataset[[#This Row],[Email]])</f>
        <v>charlie.miller@example.com</v>
      </c>
      <c r="K238" t="str">
        <f>_xlfn.LET(
     _xlpm.p,TRIM(SUBSTITUTE(Employee_dataset[[#This Row],[Phone]],"-","")),
     IF(
        LEN(_xlpm.p)=10,_xlfn.CONCAT("("&amp;LEFT(_xlpm.p,3)&amp;") "&amp;MID(_xlpm.p,4,3)&amp;"-"&amp;RIGHT(_xlpm.p,4),"")
       )
     )</f>
        <v>(208) 751-0292</v>
      </c>
      <c r="L238" t="str">
        <f>TRIM(Employee_dataset[[#This Row],[Performance_Score]])</f>
        <v>Good</v>
      </c>
      <c r="M238" t="str">
        <f>TRIM(Employee_dataset[[#This Row],[Remote_Work]])</f>
        <v>FALSE</v>
      </c>
    </row>
    <row r="239" spans="1:13" x14ac:dyDescent="0.3">
      <c r="A239" t="str">
        <f>TRIM(Employee_dataset[[#This Row],[Employee_ID]])</f>
        <v>EMP1237</v>
      </c>
      <c r="B239" t="str">
        <f>PROPER(TRIM(Employee_dataset[[#This Row],[First_Name]]))</f>
        <v>Alice</v>
      </c>
      <c r="C239" t="str">
        <f>PROPER(TRIM(Employee_dataset[[#This Row],[Last_Name]]))</f>
        <v>Miller</v>
      </c>
      <c r="D239" s="6" t="str">
        <f>_xlfn.LET(
     _xlpm.a, TRIM(Employee_dataset[[#This Row],[Age]]),
     IF(
        _xlpm.a="","",
        IF(
           AND(ISNUMBER(--_xlpm.a),LEN(_xlpm.a)=2),_xlpm.a,""
          )
       )
    )</f>
        <v>30</v>
      </c>
      <c r="E239" t="str">
        <f>TRIM(_xlfn.TEXTBEFORE(Employee_dataset[[#This Row],[Department_Region]],"-"))</f>
        <v>Finance</v>
      </c>
      <c r="F239" t="str">
        <f>TRIM(_xlfn.TEXTAFTER(Employee_dataset[[#This Row],[Department_Region]],"-"))</f>
        <v>Illinois</v>
      </c>
      <c r="G239" t="str">
        <f>TRIM(Employee_dataset[[#This Row],[Status]])</f>
        <v>Inactive</v>
      </c>
      <c r="H239" s="1">
        <f>_xlfn.LET(
     _xlpm.d, Employee_dataset[[#This Row],[Join_Date]],
     IF(
        ISNUMBER(_xlpm.d),_xlpm.d,""
       )
    )</f>
        <v>44981</v>
      </c>
      <c r="I239" s="6">
        <f>_xlfn.LET(
     _xlpm.s, TRIM(Employee_dataset[[#This Row],[Salary]]),
     IF(
        UPPER(_xlpm.s)="N/A","",
        IF(
           ISNUMBER(--_xlpm.s),ROUND(_xlfn.NUMBERVALUE(_xlpm.s),2),""
          )
       )
    )</f>
        <v>58243.27</v>
      </c>
      <c r="J239" t="str">
        <f>TRIM(Employee_dataset[[#This Row],[Email]])</f>
        <v>alice.miller@example.com</v>
      </c>
      <c r="K239" t="str">
        <f>_xlfn.LET(
     _xlpm.p,TRIM(SUBSTITUTE(Employee_dataset[[#This Row],[Phone]],"-","")),
     IF(
        LEN(_xlpm.p)=10,_xlfn.CONCAT("("&amp;LEFT(_xlpm.p,3)&amp;") "&amp;MID(_xlpm.p,4,3)&amp;"-"&amp;RIGHT(_xlpm.p,4),"")
       )
     )</f>
        <v>(218) 401-1844</v>
      </c>
      <c r="L239" t="str">
        <f>TRIM(Employee_dataset[[#This Row],[Performance_Score]])</f>
        <v>Average</v>
      </c>
      <c r="M239" t="str">
        <f>TRIM(Employee_dataset[[#This Row],[Remote_Work]])</f>
        <v>FALSE</v>
      </c>
    </row>
    <row r="240" spans="1:13" x14ac:dyDescent="0.3">
      <c r="A240" t="str">
        <f>TRIM(Employee_dataset[[#This Row],[Employee_ID]])</f>
        <v>EMP1238</v>
      </c>
      <c r="B240" t="str">
        <f>PROPER(TRIM(Employee_dataset[[#This Row],[First_Name]]))</f>
        <v>Heidi</v>
      </c>
      <c r="C240" t="str">
        <f>PROPER(TRIM(Employee_dataset[[#This Row],[Last_Name]]))</f>
        <v>Williams</v>
      </c>
      <c r="D240" s="6" t="str">
        <f>_xlfn.LET(
     _xlpm.a, TRIM(Employee_dataset[[#This Row],[Age]]),
     IF(
        _xlpm.a="","",
        IF(
           AND(ISNUMBER(--_xlpm.a),LEN(_xlpm.a)=2),_xlpm.a,""
          )
       )
    )</f>
        <v>30</v>
      </c>
      <c r="E240" t="str">
        <f>TRIM(_xlfn.TEXTBEFORE(Employee_dataset[[#This Row],[Department_Region]],"-"))</f>
        <v>Sales</v>
      </c>
      <c r="F240" t="str">
        <f>TRIM(_xlfn.TEXTAFTER(Employee_dataset[[#This Row],[Department_Region]],"-"))</f>
        <v>California</v>
      </c>
      <c r="G240" t="str">
        <f>TRIM(Employee_dataset[[#This Row],[Status]])</f>
        <v>Pending</v>
      </c>
      <c r="H240" s="1">
        <f>_xlfn.LET(
     _xlpm.d, Employee_dataset[[#This Row],[Join_Date]],
     IF(
        ISNUMBER(_xlpm.d),_xlpm.d,""
       )
    )</f>
        <v>44836</v>
      </c>
      <c r="I240" s="6">
        <f>_xlfn.LET(
     _xlpm.s, TRIM(Employee_dataset[[#This Row],[Salary]]),
     IF(
        UPPER(_xlpm.s)="N/A","",
        IF(
           ISNUMBER(--_xlpm.s),ROUND(_xlfn.NUMBERVALUE(_xlpm.s),2),""
          )
       )
    )</f>
        <v>64012.480000000003</v>
      </c>
      <c r="J240" t="str">
        <f>TRIM(Employee_dataset[[#This Row],[Email]])</f>
        <v>heidi.williams@example.com</v>
      </c>
      <c r="K240" t="str">
        <f>_xlfn.LET(
     _xlpm.p,TRIM(SUBSTITUTE(Employee_dataset[[#This Row],[Phone]],"-","")),
     IF(
        LEN(_xlpm.p)=10,_xlfn.CONCAT("("&amp;LEFT(_xlpm.p,3)&amp;") "&amp;MID(_xlpm.p,4,3)&amp;"-"&amp;RIGHT(_xlpm.p,4),"")
       )
     )</f>
        <v>(826) 034-0847</v>
      </c>
      <c r="L240" t="str">
        <f>TRIM(Employee_dataset[[#This Row],[Performance_Score]])</f>
        <v>Poor</v>
      </c>
      <c r="M240" t="str">
        <f>TRIM(Employee_dataset[[#This Row],[Remote_Work]])</f>
        <v>TRUE</v>
      </c>
    </row>
    <row r="241" spans="1:13" x14ac:dyDescent="0.3">
      <c r="A241" t="str">
        <f>TRIM(Employee_dataset[[#This Row],[Employee_ID]])</f>
        <v>EMP1239</v>
      </c>
      <c r="B241" t="str">
        <f>PROPER(TRIM(Employee_dataset[[#This Row],[First_Name]]))</f>
        <v>Bob</v>
      </c>
      <c r="C241" t="str">
        <f>PROPER(TRIM(Employee_dataset[[#This Row],[Last_Name]]))</f>
        <v>Garcia</v>
      </c>
      <c r="D241" s="6" t="str">
        <f>_xlfn.LET(
     _xlpm.a, TRIM(Employee_dataset[[#This Row],[Age]]),
     IF(
        _xlpm.a="","",
        IF(
           AND(ISNUMBER(--_xlpm.a),LEN(_xlpm.a)=2),_xlpm.a,""
          )
       )
    )</f>
        <v>40</v>
      </c>
      <c r="E241" t="str">
        <f>TRIM(_xlfn.TEXTBEFORE(Employee_dataset[[#This Row],[Department_Region]],"-"))</f>
        <v>Admin</v>
      </c>
      <c r="F241" t="str">
        <f>TRIM(_xlfn.TEXTAFTER(Employee_dataset[[#This Row],[Department_Region]],"-"))</f>
        <v>Nevada</v>
      </c>
      <c r="G241" t="str">
        <f>TRIM(Employee_dataset[[#This Row],[Status]])</f>
        <v>Inactive</v>
      </c>
      <c r="H241" s="1">
        <f>_xlfn.LET(
     _xlpm.d, Employee_dataset[[#This Row],[Join_Date]],
     IF(
        ISNUMBER(_xlpm.d),_xlpm.d,""
       )
    )</f>
        <v>44010</v>
      </c>
      <c r="I241" s="6">
        <f>_xlfn.LET(
     _xlpm.s, TRIM(Employee_dataset[[#This Row],[Salary]]),
     IF(
        UPPER(_xlpm.s)="N/A","",
        IF(
           ISNUMBER(--_xlpm.s),ROUND(_xlfn.NUMBERVALUE(_xlpm.s),2),""
          )
       )
    )</f>
        <v>106735.93</v>
      </c>
      <c r="J241" t="str">
        <f>TRIM(Employee_dataset[[#This Row],[Email]])</f>
        <v>bob.garcia@example.com</v>
      </c>
      <c r="K241" t="str">
        <f>_xlfn.LET(
     _xlpm.p,TRIM(SUBSTITUTE(Employee_dataset[[#This Row],[Phone]],"-","")),
     IF(
        LEN(_xlpm.p)=10,_xlfn.CONCAT("("&amp;LEFT(_xlpm.p,3)&amp;") "&amp;MID(_xlpm.p,4,3)&amp;"-"&amp;RIGHT(_xlpm.p,4),"")
       )
     )</f>
        <v>(729) 758-5987</v>
      </c>
      <c r="L241" t="str">
        <f>TRIM(Employee_dataset[[#This Row],[Performance_Score]])</f>
        <v>Average</v>
      </c>
      <c r="M241" t="str">
        <f>TRIM(Employee_dataset[[#This Row],[Remote_Work]])</f>
        <v>TRUE</v>
      </c>
    </row>
    <row r="242" spans="1:13" x14ac:dyDescent="0.3">
      <c r="A242" t="str">
        <f>TRIM(Employee_dataset[[#This Row],[Employee_ID]])</f>
        <v>EMP1240</v>
      </c>
      <c r="B242" t="str">
        <f>PROPER(TRIM(Employee_dataset[[#This Row],[First_Name]]))</f>
        <v>Frank</v>
      </c>
      <c r="C242" t="str">
        <f>PROPER(TRIM(Employee_dataset[[#This Row],[Last_Name]]))</f>
        <v>Johnson</v>
      </c>
      <c r="D242" s="6" t="str">
        <f>_xlfn.LET(
     _xlpm.a, TRIM(Employee_dataset[[#This Row],[Age]]),
     IF(
        _xlpm.a="","",
        IF(
           AND(ISNUMBER(--_xlpm.a),LEN(_xlpm.a)=2),_xlpm.a,""
          )
       )
    )</f>
        <v>35</v>
      </c>
      <c r="E242" t="str">
        <f>TRIM(_xlfn.TEXTBEFORE(Employee_dataset[[#This Row],[Department_Region]],"-"))</f>
        <v>DevOps</v>
      </c>
      <c r="F242" t="str">
        <f>TRIM(_xlfn.TEXTAFTER(Employee_dataset[[#This Row],[Department_Region]],"-"))</f>
        <v>Texas</v>
      </c>
      <c r="G242" t="str">
        <f>TRIM(Employee_dataset[[#This Row],[Status]])</f>
        <v>Pending</v>
      </c>
      <c r="H242" s="1">
        <f>_xlfn.LET(
     _xlpm.d, Employee_dataset[[#This Row],[Join_Date]],
     IF(
        ISNUMBER(_xlpm.d),_xlpm.d,""
       )
    )</f>
        <v>44941</v>
      </c>
      <c r="I242" s="6">
        <f>_xlfn.LET(
     _xlpm.s, TRIM(Employee_dataset[[#This Row],[Salary]]),
     IF(
        UPPER(_xlpm.s)="N/A","",
        IF(
           ISNUMBER(--_xlpm.s),ROUND(_xlfn.NUMBERVALUE(_xlpm.s),2),""
          )
       )
    )</f>
        <v>70325.36</v>
      </c>
      <c r="J242" t="str">
        <f>TRIM(Employee_dataset[[#This Row],[Email]])</f>
        <v>frank.johnson@example.com</v>
      </c>
      <c r="K242" t="str">
        <f>_xlfn.LET(
     _xlpm.p,TRIM(SUBSTITUTE(Employee_dataset[[#This Row],[Phone]],"-","")),
     IF(
        LEN(_xlpm.p)=10,_xlfn.CONCAT("("&amp;LEFT(_xlpm.p,3)&amp;") "&amp;MID(_xlpm.p,4,3)&amp;"-"&amp;RIGHT(_xlpm.p,4),"")
       )
     )</f>
        <v>(310) 303-2431</v>
      </c>
      <c r="L242" t="str">
        <f>TRIM(Employee_dataset[[#This Row],[Performance_Score]])</f>
        <v>Average</v>
      </c>
      <c r="M242" t="str">
        <f>TRIM(Employee_dataset[[#This Row],[Remote_Work]])</f>
        <v>FALSE</v>
      </c>
    </row>
    <row r="243" spans="1:13" x14ac:dyDescent="0.3">
      <c r="A243" t="str">
        <f>TRIM(Employee_dataset[[#This Row],[Employee_ID]])</f>
        <v>EMP1241</v>
      </c>
      <c r="B243" t="str">
        <f>PROPER(TRIM(Employee_dataset[[#This Row],[First_Name]]))</f>
        <v>Charlie</v>
      </c>
      <c r="C243" t="str">
        <f>PROPER(TRIM(Employee_dataset[[#This Row],[Last_Name]]))</f>
        <v>Davis</v>
      </c>
      <c r="D243" s="6" t="str">
        <f>_xlfn.LET(
     _xlpm.a, TRIM(Employee_dataset[[#This Row],[Age]]),
     IF(
        _xlpm.a="","",
        IF(
           AND(ISNUMBER(--_xlpm.a),LEN(_xlpm.a)=2),_xlpm.a,""
          )
       )
    )</f>
        <v>30</v>
      </c>
      <c r="E243" t="str">
        <f>TRIM(_xlfn.TEXTBEFORE(Employee_dataset[[#This Row],[Department_Region]],"-"))</f>
        <v>HR</v>
      </c>
      <c r="F243" t="str">
        <f>TRIM(_xlfn.TEXTAFTER(Employee_dataset[[#This Row],[Department_Region]],"-"))</f>
        <v>Illinois</v>
      </c>
      <c r="G243" t="str">
        <f>TRIM(Employee_dataset[[#This Row],[Status]])</f>
        <v>Active</v>
      </c>
      <c r="H243" s="1">
        <f>_xlfn.LET(
     _xlpm.d, Employee_dataset[[#This Row],[Join_Date]],
     IF(
        ISNUMBER(_xlpm.d),_xlpm.d,""
       )
    )</f>
        <v>44079</v>
      </c>
      <c r="I243" s="6">
        <f>_xlfn.LET(
     _xlpm.s, TRIM(Employee_dataset[[#This Row],[Salary]]),
     IF(
        UPPER(_xlpm.s)="N/A","",
        IF(
           ISNUMBER(--_xlpm.s),ROUND(_xlfn.NUMBERVALUE(_xlpm.s),2),""
          )
       )
    )</f>
        <v>118959.28</v>
      </c>
      <c r="J243" t="str">
        <f>TRIM(Employee_dataset[[#This Row],[Email]])</f>
        <v>charlie.davis@example.com</v>
      </c>
      <c r="K243" t="str">
        <f>_xlfn.LET(
     _xlpm.p,TRIM(SUBSTITUTE(Employee_dataset[[#This Row],[Phone]],"-","")),
     IF(
        LEN(_xlpm.p)=10,_xlfn.CONCAT("("&amp;LEFT(_xlpm.p,3)&amp;") "&amp;MID(_xlpm.p,4,3)&amp;"-"&amp;RIGHT(_xlpm.p,4),"")
       )
     )</f>
        <v>(983) 954-2960</v>
      </c>
      <c r="L243" t="str">
        <f>TRIM(Employee_dataset[[#This Row],[Performance_Score]])</f>
        <v>Average</v>
      </c>
      <c r="M243" t="str">
        <f>TRIM(Employee_dataset[[#This Row],[Remote_Work]])</f>
        <v>TRUE</v>
      </c>
    </row>
    <row r="244" spans="1:13" x14ac:dyDescent="0.3">
      <c r="A244" t="str">
        <f>TRIM(Employee_dataset[[#This Row],[Employee_ID]])</f>
        <v>EMP1242</v>
      </c>
      <c r="B244" t="str">
        <f>PROPER(TRIM(Employee_dataset[[#This Row],[First_Name]]))</f>
        <v>David</v>
      </c>
      <c r="C244" t="str">
        <f>PROPER(TRIM(Employee_dataset[[#This Row],[Last_Name]]))</f>
        <v>Brown</v>
      </c>
      <c r="D244" s="6" t="str">
        <f>_xlfn.LET(
     _xlpm.a, TRIM(Employee_dataset[[#This Row],[Age]]),
     IF(
        _xlpm.a="","",
        IF(
           AND(ISNUMBER(--_xlpm.a),LEN(_xlpm.a)=2),_xlpm.a,""
          )
       )
    )</f>
        <v>40</v>
      </c>
      <c r="E244" t="str">
        <f>TRIM(_xlfn.TEXTBEFORE(Employee_dataset[[#This Row],[Department_Region]],"-"))</f>
        <v>Cloud Tech</v>
      </c>
      <c r="F244" t="str">
        <f>TRIM(_xlfn.TEXTAFTER(Employee_dataset[[#This Row],[Department_Region]],"-"))</f>
        <v>California</v>
      </c>
      <c r="G244" t="str">
        <f>TRIM(Employee_dataset[[#This Row],[Status]])</f>
        <v>Pending</v>
      </c>
      <c r="H244" s="1">
        <f>_xlfn.LET(
     _xlpm.d, Employee_dataset[[#This Row],[Join_Date]],
     IF(
        ISNUMBER(_xlpm.d),_xlpm.d,""
       )
    )</f>
        <v>45003</v>
      </c>
      <c r="I244" s="6">
        <f>_xlfn.LET(
     _xlpm.s, TRIM(Employee_dataset[[#This Row],[Salary]]),
     IF(
        UPPER(_xlpm.s)="N/A","",
        IF(
           ISNUMBER(--_xlpm.s),ROUND(_xlfn.NUMBERVALUE(_xlpm.s),2),""
          )
       )
    )</f>
        <v>75823.78</v>
      </c>
      <c r="J244" t="str">
        <f>TRIM(Employee_dataset[[#This Row],[Email]])</f>
        <v>david.brown@example.com</v>
      </c>
      <c r="K244" t="str">
        <f>_xlfn.LET(
     _xlpm.p,TRIM(SUBSTITUTE(Employee_dataset[[#This Row],[Phone]],"-","")),
     IF(
        LEN(_xlpm.p)=10,_xlfn.CONCAT("("&amp;LEFT(_xlpm.p,3)&amp;") "&amp;MID(_xlpm.p,4,3)&amp;"-"&amp;RIGHT(_xlpm.p,4),"")
       )
     )</f>
        <v>(844) 626-7145</v>
      </c>
      <c r="L244" t="str">
        <f>TRIM(Employee_dataset[[#This Row],[Performance_Score]])</f>
        <v>Average</v>
      </c>
      <c r="M244" t="str">
        <f>TRIM(Employee_dataset[[#This Row],[Remote_Work]])</f>
        <v>FALSE</v>
      </c>
    </row>
    <row r="245" spans="1:13" x14ac:dyDescent="0.3">
      <c r="A245" t="str">
        <f>TRIM(Employee_dataset[[#This Row],[Employee_ID]])</f>
        <v>EMP1243</v>
      </c>
      <c r="B245" t="str">
        <f>PROPER(TRIM(Employee_dataset[[#This Row],[First_Name]]))</f>
        <v>Charlie</v>
      </c>
      <c r="C245" t="str">
        <f>PROPER(TRIM(Employee_dataset[[#This Row],[Last_Name]]))</f>
        <v>Smith</v>
      </c>
      <c r="D245" s="6" t="str">
        <f>_xlfn.LET(
     _xlpm.a, TRIM(Employee_dataset[[#This Row],[Age]]),
     IF(
        _xlpm.a="","",
        IF(
           AND(ISNUMBER(--_xlpm.a),LEN(_xlpm.a)=2),_xlpm.a,""
          )
       )
    )</f>
        <v/>
      </c>
      <c r="E245" t="str">
        <f>TRIM(_xlfn.TEXTBEFORE(Employee_dataset[[#This Row],[Department_Region]],"-"))</f>
        <v>Cloud Tech</v>
      </c>
      <c r="F245" t="str">
        <f>TRIM(_xlfn.TEXTAFTER(Employee_dataset[[#This Row],[Department_Region]],"-"))</f>
        <v>Texas</v>
      </c>
      <c r="G245" t="str">
        <f>TRIM(Employee_dataset[[#This Row],[Status]])</f>
        <v>Inactive</v>
      </c>
      <c r="H245" s="1">
        <f>_xlfn.LET(
     _xlpm.d, Employee_dataset[[#This Row],[Join_Date]],
     IF(
        ISNUMBER(_xlpm.d),_xlpm.d,""
       )
    )</f>
        <v>44646</v>
      </c>
      <c r="I245" s="6">
        <f>_xlfn.LET(
     _xlpm.s, TRIM(Employee_dataset[[#This Row],[Salary]]),
     IF(
        UPPER(_xlpm.s)="N/A","",
        IF(
           ISNUMBER(--_xlpm.s),ROUND(_xlfn.NUMBERVALUE(_xlpm.s),2),""
          )
       )
    )</f>
        <v>119971.65</v>
      </c>
      <c r="J245" t="str">
        <f>TRIM(Employee_dataset[[#This Row],[Email]])</f>
        <v>charlie.smith@example.com</v>
      </c>
      <c r="K245" t="str">
        <f>_xlfn.LET(
     _xlpm.p,TRIM(SUBSTITUTE(Employee_dataset[[#This Row],[Phone]],"-","")),
     IF(
        LEN(_xlpm.p)=10,_xlfn.CONCAT("("&amp;LEFT(_xlpm.p,3)&amp;") "&amp;MID(_xlpm.p,4,3)&amp;"-"&amp;RIGHT(_xlpm.p,4),"")
       )
     )</f>
        <v>(283) 143-5988</v>
      </c>
      <c r="L245" t="str">
        <f>TRIM(Employee_dataset[[#This Row],[Performance_Score]])</f>
        <v>Average</v>
      </c>
      <c r="M245" t="str">
        <f>TRIM(Employee_dataset[[#This Row],[Remote_Work]])</f>
        <v>FALSE</v>
      </c>
    </row>
    <row r="246" spans="1:13" x14ac:dyDescent="0.3">
      <c r="A246" t="str">
        <f>TRIM(Employee_dataset[[#This Row],[Employee_ID]])</f>
        <v>EMP1244</v>
      </c>
      <c r="B246" t="str">
        <f>PROPER(TRIM(Employee_dataset[[#This Row],[First_Name]]))</f>
        <v>Grace</v>
      </c>
      <c r="C246" t="str">
        <f>PROPER(TRIM(Employee_dataset[[#This Row],[Last_Name]]))</f>
        <v>Davis</v>
      </c>
      <c r="D246" s="6" t="str">
        <f>_xlfn.LET(
     _xlpm.a, TRIM(Employee_dataset[[#This Row],[Age]]),
     IF(
        _xlpm.a="","",
        IF(
           AND(ISNUMBER(--_xlpm.a),LEN(_xlpm.a)=2),_xlpm.a,""
          )
       )
    )</f>
        <v>40</v>
      </c>
      <c r="E246" t="str">
        <f>TRIM(_xlfn.TEXTBEFORE(Employee_dataset[[#This Row],[Department_Region]],"-"))</f>
        <v>Sales</v>
      </c>
      <c r="F246" t="str">
        <f>TRIM(_xlfn.TEXTAFTER(Employee_dataset[[#This Row],[Department_Region]],"-"))</f>
        <v>Texas</v>
      </c>
      <c r="G246" t="str">
        <f>TRIM(Employee_dataset[[#This Row],[Status]])</f>
        <v>Active</v>
      </c>
      <c r="H246" s="1">
        <f>_xlfn.LET(
     _xlpm.d, Employee_dataset[[#This Row],[Join_Date]],
     IF(
        ISNUMBER(_xlpm.d),_xlpm.d,""
       )
    )</f>
        <v>44480</v>
      </c>
      <c r="I246" s="6">
        <f>_xlfn.LET(
     _xlpm.s, TRIM(Employee_dataset[[#This Row],[Salary]]),
     IF(
        UPPER(_xlpm.s)="N/A","",
        IF(
           ISNUMBER(--_xlpm.s),ROUND(_xlfn.NUMBERVALUE(_xlpm.s),2),""
          )
       )
    )</f>
        <v>94963.7</v>
      </c>
      <c r="J246" t="str">
        <f>TRIM(Employee_dataset[[#This Row],[Email]])</f>
        <v>grace.davis@example.com</v>
      </c>
      <c r="K246" t="str">
        <f>_xlfn.LET(
     _xlpm.p,TRIM(SUBSTITUTE(Employee_dataset[[#This Row],[Phone]],"-","")),
     IF(
        LEN(_xlpm.p)=10,_xlfn.CONCAT("("&amp;LEFT(_xlpm.p,3)&amp;") "&amp;MID(_xlpm.p,4,3)&amp;"-"&amp;RIGHT(_xlpm.p,4),"")
       )
     )</f>
        <v>(262) 566-0930</v>
      </c>
      <c r="L246" t="str">
        <f>TRIM(Employee_dataset[[#This Row],[Performance_Score]])</f>
        <v>Good</v>
      </c>
      <c r="M246" t="str">
        <f>TRIM(Employee_dataset[[#This Row],[Remote_Work]])</f>
        <v>FALSE</v>
      </c>
    </row>
    <row r="247" spans="1:13" x14ac:dyDescent="0.3">
      <c r="A247" t="str">
        <f>TRIM(Employee_dataset[[#This Row],[Employee_ID]])</f>
        <v>EMP1245</v>
      </c>
      <c r="B247" t="str">
        <f>PROPER(TRIM(Employee_dataset[[#This Row],[First_Name]]))</f>
        <v>Frank</v>
      </c>
      <c r="C247" t="str">
        <f>PROPER(TRIM(Employee_dataset[[#This Row],[Last_Name]]))</f>
        <v>Miller</v>
      </c>
      <c r="D247" s="6" t="str">
        <f>_xlfn.LET(
     _xlpm.a, TRIM(Employee_dataset[[#This Row],[Age]]),
     IF(
        _xlpm.a="","",
        IF(
           AND(ISNUMBER(--_xlpm.a),LEN(_xlpm.a)=2),_xlpm.a,""
          )
       )
    )</f>
        <v>30</v>
      </c>
      <c r="E247" t="str">
        <f>TRIM(_xlfn.TEXTBEFORE(Employee_dataset[[#This Row],[Department_Region]],"-"))</f>
        <v>Sales</v>
      </c>
      <c r="F247" t="str">
        <f>TRIM(_xlfn.TEXTAFTER(Employee_dataset[[#This Row],[Department_Region]],"-"))</f>
        <v>Nevada</v>
      </c>
      <c r="G247" t="str">
        <f>TRIM(Employee_dataset[[#This Row],[Status]])</f>
        <v>Pending</v>
      </c>
      <c r="H247" s="1">
        <f>_xlfn.LET(
     _xlpm.d, Employee_dataset[[#This Row],[Join_Date]],
     IF(
        ISNUMBER(_xlpm.d),_xlpm.d,""
       )
    )</f>
        <v>44203</v>
      </c>
      <c r="I247" s="6">
        <f>_xlfn.LET(
     _xlpm.s, TRIM(Employee_dataset[[#This Row],[Salary]]),
     IF(
        UPPER(_xlpm.s)="N/A","",
        IF(
           ISNUMBER(--_xlpm.s),ROUND(_xlfn.NUMBERVALUE(_xlpm.s),2),""
          )
       )
    )</f>
        <v>103744.71</v>
      </c>
      <c r="J247" t="str">
        <f>TRIM(Employee_dataset[[#This Row],[Email]])</f>
        <v>frank.miller@example.com</v>
      </c>
      <c r="K247" t="str">
        <f>_xlfn.LET(
     _xlpm.p,TRIM(SUBSTITUTE(Employee_dataset[[#This Row],[Phone]],"-","")),
     IF(
        LEN(_xlpm.p)=10,_xlfn.CONCAT("("&amp;LEFT(_xlpm.p,3)&amp;") "&amp;MID(_xlpm.p,4,3)&amp;"-"&amp;RIGHT(_xlpm.p,4),"")
       )
     )</f>
        <v>(418) 186-1514</v>
      </c>
      <c r="L247" t="str">
        <f>TRIM(Employee_dataset[[#This Row],[Performance_Score]])</f>
        <v>Average</v>
      </c>
      <c r="M247" t="str">
        <f>TRIM(Employee_dataset[[#This Row],[Remote_Work]])</f>
        <v>FALSE</v>
      </c>
    </row>
    <row r="248" spans="1:13" x14ac:dyDescent="0.3">
      <c r="A248" t="str">
        <f>TRIM(Employee_dataset[[#This Row],[Employee_ID]])</f>
        <v>EMP1246</v>
      </c>
      <c r="B248" t="str">
        <f>PROPER(TRIM(Employee_dataset[[#This Row],[First_Name]]))</f>
        <v>Alice</v>
      </c>
      <c r="C248" t="str">
        <f>PROPER(TRIM(Employee_dataset[[#This Row],[Last_Name]]))</f>
        <v>Smith</v>
      </c>
      <c r="D248" s="6" t="str">
        <f>_xlfn.LET(
     _xlpm.a, TRIM(Employee_dataset[[#This Row],[Age]]),
     IF(
        _xlpm.a="","",
        IF(
           AND(ISNUMBER(--_xlpm.a),LEN(_xlpm.a)=2),_xlpm.a,""
          )
       )
    )</f>
        <v>25</v>
      </c>
      <c r="E248" t="str">
        <f>TRIM(_xlfn.TEXTBEFORE(Employee_dataset[[#This Row],[Department_Region]],"-"))</f>
        <v>Sales</v>
      </c>
      <c r="F248" t="str">
        <f>TRIM(_xlfn.TEXTAFTER(Employee_dataset[[#This Row],[Department_Region]],"-"))</f>
        <v>New York</v>
      </c>
      <c r="G248" t="str">
        <f>TRIM(Employee_dataset[[#This Row],[Status]])</f>
        <v>Inactive</v>
      </c>
      <c r="H248" s="1">
        <f>_xlfn.LET(
     _xlpm.d, Employee_dataset[[#This Row],[Join_Date]],
     IF(
        ISNUMBER(_xlpm.d),_xlpm.d,""
       )
    )</f>
        <v>44168</v>
      </c>
      <c r="I248" s="6">
        <f>_xlfn.LET(
     _xlpm.s, TRIM(Employee_dataset[[#This Row],[Salary]]),
     IF(
        UPPER(_xlpm.s)="N/A","",
        IF(
           ISNUMBER(--_xlpm.s),ROUND(_xlfn.NUMBERVALUE(_xlpm.s),2),""
          )
       )
    )</f>
        <v>61337.69</v>
      </c>
      <c r="J248" t="str">
        <f>TRIM(Employee_dataset[[#This Row],[Email]])</f>
        <v>alice.smith@example.com</v>
      </c>
      <c r="K248" t="str">
        <f>_xlfn.LET(
     _xlpm.p,TRIM(SUBSTITUTE(Employee_dataset[[#This Row],[Phone]],"-","")),
     IF(
        LEN(_xlpm.p)=10,_xlfn.CONCAT("("&amp;LEFT(_xlpm.p,3)&amp;") "&amp;MID(_xlpm.p,4,3)&amp;"-"&amp;RIGHT(_xlpm.p,4),"")
       )
     )</f>
        <v>(542) 340-1635</v>
      </c>
      <c r="L248" t="str">
        <f>TRIM(Employee_dataset[[#This Row],[Performance_Score]])</f>
        <v>Average</v>
      </c>
      <c r="M248" t="str">
        <f>TRIM(Employee_dataset[[#This Row],[Remote_Work]])</f>
        <v>TRUE</v>
      </c>
    </row>
    <row r="249" spans="1:13" x14ac:dyDescent="0.3">
      <c r="A249" t="str">
        <f>TRIM(Employee_dataset[[#This Row],[Employee_ID]])</f>
        <v>EMP1247</v>
      </c>
      <c r="B249" t="str">
        <f>PROPER(TRIM(Employee_dataset[[#This Row],[First_Name]]))</f>
        <v>David</v>
      </c>
      <c r="C249" t="str">
        <f>PROPER(TRIM(Employee_dataset[[#This Row],[Last_Name]]))</f>
        <v>Smith</v>
      </c>
      <c r="D249" s="6" t="str">
        <f>_xlfn.LET(
     _xlpm.a, TRIM(Employee_dataset[[#This Row],[Age]]),
     IF(
        _xlpm.a="","",
        IF(
           AND(ISNUMBER(--_xlpm.a),LEN(_xlpm.a)=2),_xlpm.a,""
          )
       )
    )</f>
        <v>35</v>
      </c>
      <c r="E249" t="str">
        <f>TRIM(_xlfn.TEXTBEFORE(Employee_dataset[[#This Row],[Department_Region]],"-"))</f>
        <v>Sales</v>
      </c>
      <c r="F249" t="str">
        <f>TRIM(_xlfn.TEXTAFTER(Employee_dataset[[#This Row],[Department_Region]],"-"))</f>
        <v>California</v>
      </c>
      <c r="G249" t="str">
        <f>TRIM(Employee_dataset[[#This Row],[Status]])</f>
        <v>Active</v>
      </c>
      <c r="H249" s="1">
        <f>_xlfn.LET(
     _xlpm.d, Employee_dataset[[#This Row],[Join_Date]],
     IF(
        ISNUMBER(_xlpm.d),_xlpm.d,""
       )
    )</f>
        <v>44344</v>
      </c>
      <c r="I249" s="6">
        <f>_xlfn.LET(
     _xlpm.s, TRIM(Employee_dataset[[#This Row],[Salary]]),
     IF(
        UPPER(_xlpm.s)="N/A","",
        IF(
           ISNUMBER(--_xlpm.s),ROUND(_xlfn.NUMBERVALUE(_xlpm.s),2),""
          )
       )
    )</f>
        <v>63741.13</v>
      </c>
      <c r="J249" t="str">
        <f>TRIM(Employee_dataset[[#This Row],[Email]])</f>
        <v>david.smith@example.com</v>
      </c>
      <c r="K249" t="str">
        <f>_xlfn.LET(
     _xlpm.p,TRIM(SUBSTITUTE(Employee_dataset[[#This Row],[Phone]],"-","")),
     IF(
        LEN(_xlpm.p)=10,_xlfn.CONCAT("("&amp;LEFT(_xlpm.p,3)&amp;") "&amp;MID(_xlpm.p,4,3)&amp;"-"&amp;RIGHT(_xlpm.p,4),"")
       )
     )</f>
        <v>(112) 849-7184</v>
      </c>
      <c r="L249" t="str">
        <f>TRIM(Employee_dataset[[#This Row],[Performance_Score]])</f>
        <v>Poor</v>
      </c>
      <c r="M249" t="str">
        <f>TRIM(Employee_dataset[[#This Row],[Remote_Work]])</f>
        <v>TRUE</v>
      </c>
    </row>
    <row r="250" spans="1:13" x14ac:dyDescent="0.3">
      <c r="A250" t="str">
        <f>TRIM(Employee_dataset[[#This Row],[Employee_ID]])</f>
        <v>EMP1248</v>
      </c>
      <c r="B250" t="str">
        <f>PROPER(TRIM(Employee_dataset[[#This Row],[First_Name]]))</f>
        <v>Eva</v>
      </c>
      <c r="C250" t="str">
        <f>PROPER(TRIM(Employee_dataset[[#This Row],[Last_Name]]))</f>
        <v>Smith</v>
      </c>
      <c r="D250" s="6" t="str">
        <f>_xlfn.LET(
     _xlpm.a, TRIM(Employee_dataset[[#This Row],[Age]]),
     IF(
        _xlpm.a="","",
        IF(
           AND(ISNUMBER(--_xlpm.a),LEN(_xlpm.a)=2),_xlpm.a,""
          )
       )
    )</f>
        <v>30</v>
      </c>
      <c r="E250" t="str">
        <f>TRIM(_xlfn.TEXTBEFORE(Employee_dataset[[#This Row],[Department_Region]],"-"))</f>
        <v>DevOps</v>
      </c>
      <c r="F250" t="str">
        <f>TRIM(_xlfn.TEXTAFTER(Employee_dataset[[#This Row],[Department_Region]],"-"))</f>
        <v>California</v>
      </c>
      <c r="G250" t="str">
        <f>TRIM(Employee_dataset[[#This Row],[Status]])</f>
        <v>Pending</v>
      </c>
      <c r="H250" s="1">
        <f>_xlfn.LET(
     _xlpm.d, Employee_dataset[[#This Row],[Join_Date]],
     IF(
        ISNUMBER(_xlpm.d),_xlpm.d,""
       )
    )</f>
        <v>44923</v>
      </c>
      <c r="I250" s="6">
        <f>_xlfn.LET(
     _xlpm.s, TRIM(Employee_dataset[[#This Row],[Salary]]),
     IF(
        UPPER(_xlpm.s)="N/A","",
        IF(
           ISNUMBER(--_xlpm.s),ROUND(_xlfn.NUMBERVALUE(_xlpm.s),2),""
          )
       )
    )</f>
        <v>56539.99</v>
      </c>
      <c r="J250" t="str">
        <f>TRIM(Employee_dataset[[#This Row],[Email]])</f>
        <v>eva.smith@example.com</v>
      </c>
      <c r="K250" t="str">
        <f>_xlfn.LET(
     _xlpm.p,TRIM(SUBSTITUTE(Employee_dataset[[#This Row],[Phone]],"-","")),
     IF(
        LEN(_xlpm.p)=10,_xlfn.CONCAT("("&amp;LEFT(_xlpm.p,3)&amp;") "&amp;MID(_xlpm.p,4,3)&amp;"-"&amp;RIGHT(_xlpm.p,4),"")
       )
     )</f>
        <v>(948) 491-0255</v>
      </c>
      <c r="L250" t="str">
        <f>TRIM(Employee_dataset[[#This Row],[Performance_Score]])</f>
        <v>Excellent</v>
      </c>
      <c r="M250" t="str">
        <f>TRIM(Employee_dataset[[#This Row],[Remote_Work]])</f>
        <v>TRUE</v>
      </c>
    </row>
    <row r="251" spans="1:13" x14ac:dyDescent="0.3">
      <c r="A251" t="str">
        <f>TRIM(Employee_dataset[[#This Row],[Employee_ID]])</f>
        <v>EMP1249</v>
      </c>
      <c r="B251" t="str">
        <f>PROPER(TRIM(Employee_dataset[[#This Row],[First_Name]]))</f>
        <v>Charlie</v>
      </c>
      <c r="C251" t="str">
        <f>PROPER(TRIM(Employee_dataset[[#This Row],[Last_Name]]))</f>
        <v>Williams</v>
      </c>
      <c r="D251" s="6" t="str">
        <f>_xlfn.LET(
     _xlpm.a, TRIM(Employee_dataset[[#This Row],[Age]]),
     IF(
        _xlpm.a="","",
        IF(
           AND(ISNUMBER(--_xlpm.a),LEN(_xlpm.a)=2),_xlpm.a,""
          )
       )
    )</f>
        <v>30</v>
      </c>
      <c r="E251" t="str">
        <f>TRIM(_xlfn.TEXTBEFORE(Employee_dataset[[#This Row],[Department_Region]],"-"))</f>
        <v>DevOps</v>
      </c>
      <c r="F251" t="str">
        <f>TRIM(_xlfn.TEXTAFTER(Employee_dataset[[#This Row],[Department_Region]],"-"))</f>
        <v>Illinois</v>
      </c>
      <c r="G251" t="str">
        <f>TRIM(Employee_dataset[[#This Row],[Status]])</f>
        <v>Pending</v>
      </c>
      <c r="H251" s="1">
        <f>_xlfn.LET(
     _xlpm.d, Employee_dataset[[#This Row],[Join_Date]],
     IF(
        ISNUMBER(_xlpm.d),_xlpm.d,""
       )
    )</f>
        <v>45070</v>
      </c>
      <c r="I251" s="6">
        <f>_xlfn.LET(
     _xlpm.s, TRIM(Employee_dataset[[#This Row],[Salary]]),
     IF(
        UPPER(_xlpm.s)="N/A","",
        IF(
           ISNUMBER(--_xlpm.s),ROUND(_xlfn.NUMBERVALUE(_xlpm.s),2),""
          )
       )
    )</f>
        <v>73633.37</v>
      </c>
      <c r="J251" t="str">
        <f>TRIM(Employee_dataset[[#This Row],[Email]])</f>
        <v>charlie.williams@example.com</v>
      </c>
      <c r="K251" t="str">
        <f>_xlfn.LET(
     _xlpm.p,TRIM(SUBSTITUTE(Employee_dataset[[#This Row],[Phone]],"-","")),
     IF(
        LEN(_xlpm.p)=10,_xlfn.CONCAT("("&amp;LEFT(_xlpm.p,3)&amp;") "&amp;MID(_xlpm.p,4,3)&amp;"-"&amp;RIGHT(_xlpm.p,4),"")
       )
     )</f>
        <v>(258) 896-7923</v>
      </c>
      <c r="L251" t="str">
        <f>TRIM(Employee_dataset[[#This Row],[Performance_Score]])</f>
        <v>Good</v>
      </c>
      <c r="M251" t="str">
        <f>TRIM(Employee_dataset[[#This Row],[Remote_Work]])</f>
        <v>TRUE</v>
      </c>
    </row>
    <row r="252" spans="1:13" x14ac:dyDescent="0.3">
      <c r="A252" t="str">
        <f>TRIM(Employee_dataset[[#This Row],[Employee_ID]])</f>
        <v>EMP1250</v>
      </c>
      <c r="B252" t="str">
        <f>PROPER(TRIM(Employee_dataset[[#This Row],[First_Name]]))</f>
        <v>Alice</v>
      </c>
      <c r="C252" t="str">
        <f>PROPER(TRIM(Employee_dataset[[#This Row],[Last_Name]]))</f>
        <v>Miller</v>
      </c>
      <c r="D252" s="6" t="str">
        <f>_xlfn.LET(
     _xlpm.a, TRIM(Employee_dataset[[#This Row],[Age]]),
     IF(
        _xlpm.a="","",
        IF(
           AND(ISNUMBER(--_xlpm.a),LEN(_xlpm.a)=2),_xlpm.a,""
          )
       )
    )</f>
        <v>25</v>
      </c>
      <c r="E252" t="str">
        <f>TRIM(_xlfn.TEXTBEFORE(Employee_dataset[[#This Row],[Department_Region]],"-"))</f>
        <v>Cloud Tech</v>
      </c>
      <c r="F252" t="str">
        <f>TRIM(_xlfn.TEXTAFTER(Employee_dataset[[#This Row],[Department_Region]],"-"))</f>
        <v>Texas</v>
      </c>
      <c r="G252" t="str">
        <f>TRIM(Employee_dataset[[#This Row],[Status]])</f>
        <v>Pending</v>
      </c>
      <c r="H252" s="1">
        <f>_xlfn.LET(
     _xlpm.d, Employee_dataset[[#This Row],[Join_Date]],
     IF(
        ISNUMBER(_xlpm.d),_xlpm.d,""
       )
    )</f>
        <v>45410</v>
      </c>
      <c r="I252" s="6">
        <f>_xlfn.LET(
     _xlpm.s, TRIM(Employee_dataset[[#This Row],[Salary]]),
     IF(
        UPPER(_xlpm.s)="N/A","",
        IF(
           ISNUMBER(--_xlpm.s),ROUND(_xlfn.NUMBERVALUE(_xlpm.s),2),""
          )
       )
    )</f>
        <v>90373.99</v>
      </c>
      <c r="J252" t="str">
        <f>TRIM(Employee_dataset[[#This Row],[Email]])</f>
        <v>alice.miller@example.com</v>
      </c>
      <c r="K252" t="b">
        <f>_xlfn.LET(
     _xlpm.p,TRIM(SUBSTITUTE(Employee_dataset[[#This Row],[Phone]],"-","")),
     IF(
        LEN(_xlpm.p)=10,_xlfn.CONCAT("("&amp;LEFT(_xlpm.p,3)&amp;") "&amp;MID(_xlpm.p,4,3)&amp;"-"&amp;RIGHT(_xlpm.p,4),"")
       )
     )</f>
        <v>0</v>
      </c>
      <c r="L252" t="str">
        <f>TRIM(Employee_dataset[[#This Row],[Performance_Score]])</f>
        <v>Good</v>
      </c>
      <c r="M252" t="str">
        <f>TRIM(Employee_dataset[[#This Row],[Remote_Work]])</f>
        <v>FALSE</v>
      </c>
    </row>
    <row r="253" spans="1:13" x14ac:dyDescent="0.3">
      <c r="A253" t="str">
        <f>TRIM(Employee_dataset[[#This Row],[Employee_ID]])</f>
        <v>EMP1251</v>
      </c>
      <c r="B253" t="str">
        <f>PROPER(TRIM(Employee_dataset[[#This Row],[First_Name]]))</f>
        <v>Grace</v>
      </c>
      <c r="C253" t="str">
        <f>PROPER(TRIM(Employee_dataset[[#This Row],[Last_Name]]))</f>
        <v>Smith</v>
      </c>
      <c r="D253" s="6" t="str">
        <f>_xlfn.LET(
     _xlpm.a, TRIM(Employee_dataset[[#This Row],[Age]]),
     IF(
        _xlpm.a="","",
        IF(
           AND(ISNUMBER(--_xlpm.a),LEN(_xlpm.a)=2),_xlpm.a,""
          )
       )
    )</f>
        <v/>
      </c>
      <c r="E253" t="str">
        <f>TRIM(_xlfn.TEXTBEFORE(Employee_dataset[[#This Row],[Department_Region]],"-"))</f>
        <v>DevOps</v>
      </c>
      <c r="F253" t="str">
        <f>TRIM(_xlfn.TEXTAFTER(Employee_dataset[[#This Row],[Department_Region]],"-"))</f>
        <v>Texas</v>
      </c>
      <c r="G253" t="str">
        <f>TRIM(Employee_dataset[[#This Row],[Status]])</f>
        <v>Inactive</v>
      </c>
      <c r="H253" s="1">
        <f>_xlfn.LET(
     _xlpm.d, Employee_dataset[[#This Row],[Join_Date]],
     IF(
        ISNUMBER(_xlpm.d),_xlpm.d,""
       )
    )</f>
        <v>45651</v>
      </c>
      <c r="I253" s="6">
        <f>_xlfn.LET(
     _xlpm.s, TRIM(Employee_dataset[[#This Row],[Salary]]),
     IF(
        UPPER(_xlpm.s)="N/A","",
        IF(
           ISNUMBER(--_xlpm.s),ROUND(_xlfn.NUMBERVALUE(_xlpm.s),2),""
          )
       )
    )</f>
        <v>93901.48</v>
      </c>
      <c r="J253" t="str">
        <f>TRIM(Employee_dataset[[#This Row],[Email]])</f>
        <v>grace.smith@example.com</v>
      </c>
      <c r="K253" t="str">
        <f>_xlfn.LET(
     _xlpm.p,TRIM(SUBSTITUTE(Employee_dataset[[#This Row],[Phone]],"-","")),
     IF(
        LEN(_xlpm.p)=10,_xlfn.CONCAT("("&amp;LEFT(_xlpm.p,3)&amp;") "&amp;MID(_xlpm.p,4,3)&amp;"-"&amp;RIGHT(_xlpm.p,4),"")
       )
     )</f>
        <v>(396) 727-5783</v>
      </c>
      <c r="L253" t="str">
        <f>TRIM(Employee_dataset[[#This Row],[Performance_Score]])</f>
        <v>Good</v>
      </c>
      <c r="M253" t="str">
        <f>TRIM(Employee_dataset[[#This Row],[Remote_Work]])</f>
        <v>FALSE</v>
      </c>
    </row>
    <row r="254" spans="1:13" x14ac:dyDescent="0.3">
      <c r="A254" t="str">
        <f>TRIM(Employee_dataset[[#This Row],[Employee_ID]])</f>
        <v>EMP1252</v>
      </c>
      <c r="B254" t="str">
        <f>PROPER(TRIM(Employee_dataset[[#This Row],[First_Name]]))</f>
        <v>Eva</v>
      </c>
      <c r="C254" t="str">
        <f>PROPER(TRIM(Employee_dataset[[#This Row],[Last_Name]]))</f>
        <v>Brown</v>
      </c>
      <c r="D254" s="6" t="str">
        <f>_xlfn.LET(
     _xlpm.a, TRIM(Employee_dataset[[#This Row],[Age]]),
     IF(
        _xlpm.a="","",
        IF(
           AND(ISNUMBER(--_xlpm.a),LEN(_xlpm.a)=2),_xlpm.a,""
          )
       )
    )</f>
        <v>40</v>
      </c>
      <c r="E254" t="str">
        <f>TRIM(_xlfn.TEXTBEFORE(Employee_dataset[[#This Row],[Department_Region]],"-"))</f>
        <v>Admin</v>
      </c>
      <c r="F254" t="str">
        <f>TRIM(_xlfn.TEXTAFTER(Employee_dataset[[#This Row],[Department_Region]],"-"))</f>
        <v>Nevada</v>
      </c>
      <c r="G254" t="str">
        <f>TRIM(Employee_dataset[[#This Row],[Status]])</f>
        <v>Inactive</v>
      </c>
      <c r="H254" s="1">
        <f>_xlfn.LET(
     _xlpm.d, Employee_dataset[[#This Row],[Join_Date]],
     IF(
        ISNUMBER(_xlpm.d),_xlpm.d,""
       )
    )</f>
        <v>44440</v>
      </c>
      <c r="I254" s="6">
        <f>_xlfn.LET(
     _xlpm.s, TRIM(Employee_dataset[[#This Row],[Salary]]),
     IF(
        UPPER(_xlpm.s)="N/A","",
        IF(
           ISNUMBER(--_xlpm.s),ROUND(_xlfn.NUMBERVALUE(_xlpm.s),2),""
          )
       )
    )</f>
        <v>81748.09</v>
      </c>
      <c r="J254" t="str">
        <f>TRIM(Employee_dataset[[#This Row],[Email]])</f>
        <v>eva.brown@example.com</v>
      </c>
      <c r="K254" t="str">
        <f>_xlfn.LET(
     _xlpm.p,TRIM(SUBSTITUTE(Employee_dataset[[#This Row],[Phone]],"-","")),
     IF(
        LEN(_xlpm.p)=10,_xlfn.CONCAT("("&amp;LEFT(_xlpm.p,3)&amp;") "&amp;MID(_xlpm.p,4,3)&amp;"-"&amp;RIGHT(_xlpm.p,4),"")
       )
     )</f>
        <v>(468) 341-4650</v>
      </c>
      <c r="L254" t="str">
        <f>TRIM(Employee_dataset[[#This Row],[Performance_Score]])</f>
        <v>Average</v>
      </c>
      <c r="M254" t="str">
        <f>TRIM(Employee_dataset[[#This Row],[Remote_Work]])</f>
        <v>TRUE</v>
      </c>
    </row>
    <row r="255" spans="1:13" x14ac:dyDescent="0.3">
      <c r="A255" t="str">
        <f>TRIM(Employee_dataset[[#This Row],[Employee_ID]])</f>
        <v>EMP1253</v>
      </c>
      <c r="B255" t="str">
        <f>PROPER(TRIM(Employee_dataset[[#This Row],[First_Name]]))</f>
        <v>Charlie</v>
      </c>
      <c r="C255" t="str">
        <f>PROPER(TRIM(Employee_dataset[[#This Row],[Last_Name]]))</f>
        <v>Jones</v>
      </c>
      <c r="D255" s="6" t="str">
        <f>_xlfn.LET(
     _xlpm.a, TRIM(Employee_dataset[[#This Row],[Age]]),
     IF(
        _xlpm.a="","",
        IF(
           AND(ISNUMBER(--_xlpm.a),LEN(_xlpm.a)=2),_xlpm.a,""
          )
       )
    )</f>
        <v>40</v>
      </c>
      <c r="E255" t="str">
        <f>TRIM(_xlfn.TEXTBEFORE(Employee_dataset[[#This Row],[Department_Region]],"-"))</f>
        <v>Finance</v>
      </c>
      <c r="F255" t="str">
        <f>TRIM(_xlfn.TEXTAFTER(Employee_dataset[[#This Row],[Department_Region]],"-"))</f>
        <v>Florida</v>
      </c>
      <c r="G255" t="str">
        <f>TRIM(Employee_dataset[[#This Row],[Status]])</f>
        <v>Inactive</v>
      </c>
      <c r="H255" s="1">
        <f>_xlfn.LET(
     _xlpm.d, Employee_dataset[[#This Row],[Join_Date]],
     IF(
        ISNUMBER(_xlpm.d),_xlpm.d,""
       )
    )</f>
        <v>44248</v>
      </c>
      <c r="I255" s="6">
        <f>_xlfn.LET(
     _xlpm.s, TRIM(Employee_dataset[[#This Row],[Salary]]),
     IF(
        UPPER(_xlpm.s)="N/A","",
        IF(
           ISNUMBER(--_xlpm.s),ROUND(_xlfn.NUMBERVALUE(_xlpm.s),2),""
          )
       )
    )</f>
        <v>73813.48</v>
      </c>
      <c r="J255" t="str">
        <f>TRIM(Employee_dataset[[#This Row],[Email]])</f>
        <v>charlie.jones@example.com</v>
      </c>
      <c r="K255" t="str">
        <f>_xlfn.LET(
     _xlpm.p,TRIM(SUBSTITUTE(Employee_dataset[[#This Row],[Phone]],"-","")),
     IF(
        LEN(_xlpm.p)=10,_xlfn.CONCAT("("&amp;LEFT(_xlpm.p,3)&amp;") "&amp;MID(_xlpm.p,4,3)&amp;"-"&amp;RIGHT(_xlpm.p,4),"")
       )
     )</f>
        <v>(113) 129-0147</v>
      </c>
      <c r="L255" t="str">
        <f>TRIM(Employee_dataset[[#This Row],[Performance_Score]])</f>
        <v>Average</v>
      </c>
      <c r="M255" t="str">
        <f>TRIM(Employee_dataset[[#This Row],[Remote_Work]])</f>
        <v>FALSE</v>
      </c>
    </row>
    <row r="256" spans="1:13" x14ac:dyDescent="0.3">
      <c r="A256" t="str">
        <f>TRIM(Employee_dataset[[#This Row],[Employee_ID]])</f>
        <v>EMP1254</v>
      </c>
      <c r="B256" t="str">
        <f>PROPER(TRIM(Employee_dataset[[#This Row],[First_Name]]))</f>
        <v>Frank</v>
      </c>
      <c r="C256" t="str">
        <f>PROPER(TRIM(Employee_dataset[[#This Row],[Last_Name]]))</f>
        <v>Smith</v>
      </c>
      <c r="D256" s="6" t="str">
        <f>_xlfn.LET(
     _xlpm.a, TRIM(Employee_dataset[[#This Row],[Age]]),
     IF(
        _xlpm.a="","",
        IF(
           AND(ISNUMBER(--_xlpm.a),LEN(_xlpm.a)=2),_xlpm.a,""
          )
       )
    )</f>
        <v>35</v>
      </c>
      <c r="E256" t="str">
        <f>TRIM(_xlfn.TEXTBEFORE(Employee_dataset[[#This Row],[Department_Region]],"-"))</f>
        <v>Finance</v>
      </c>
      <c r="F256" t="str">
        <f>TRIM(_xlfn.TEXTAFTER(Employee_dataset[[#This Row],[Department_Region]],"-"))</f>
        <v>New York</v>
      </c>
      <c r="G256" t="str">
        <f>TRIM(Employee_dataset[[#This Row],[Status]])</f>
        <v>Inactive</v>
      </c>
      <c r="H256" s="1">
        <f>_xlfn.LET(
     _xlpm.d, Employee_dataset[[#This Row],[Join_Date]],
     IF(
        ISNUMBER(_xlpm.d),_xlpm.d,""
       )
    )</f>
        <v>44885</v>
      </c>
      <c r="I256" s="6">
        <f>_xlfn.LET(
     _xlpm.s, TRIM(Employee_dataset[[#This Row],[Salary]]),
     IF(
        UPPER(_xlpm.s)="N/A","",
        IF(
           ISNUMBER(--_xlpm.s),ROUND(_xlfn.NUMBERVALUE(_xlpm.s),2),""
          )
       )
    )</f>
        <v>89315.59</v>
      </c>
      <c r="J256" t="str">
        <f>TRIM(Employee_dataset[[#This Row],[Email]])</f>
        <v>frank.smith@example.com</v>
      </c>
      <c r="K256" t="str">
        <f>_xlfn.LET(
     _xlpm.p,TRIM(SUBSTITUTE(Employee_dataset[[#This Row],[Phone]],"-","")),
     IF(
        LEN(_xlpm.p)=10,_xlfn.CONCAT("("&amp;LEFT(_xlpm.p,3)&amp;") "&amp;MID(_xlpm.p,4,3)&amp;"-"&amp;RIGHT(_xlpm.p,4),"")
       )
     )</f>
        <v>(706) 827-7880</v>
      </c>
      <c r="L256" t="str">
        <f>TRIM(Employee_dataset[[#This Row],[Performance_Score]])</f>
        <v>Average</v>
      </c>
      <c r="M256" t="str">
        <f>TRIM(Employee_dataset[[#This Row],[Remote_Work]])</f>
        <v>FALSE</v>
      </c>
    </row>
    <row r="257" spans="1:13" x14ac:dyDescent="0.3">
      <c r="A257" t="str">
        <f>TRIM(Employee_dataset[[#This Row],[Employee_ID]])</f>
        <v>EMP1255</v>
      </c>
      <c r="B257" t="str">
        <f>PROPER(TRIM(Employee_dataset[[#This Row],[First_Name]]))</f>
        <v>Heidi</v>
      </c>
      <c r="C257" t="str">
        <f>PROPER(TRIM(Employee_dataset[[#This Row],[Last_Name]]))</f>
        <v>Williams</v>
      </c>
      <c r="D257" s="6" t="str">
        <f>_xlfn.LET(
     _xlpm.a, TRIM(Employee_dataset[[#This Row],[Age]]),
     IF(
        _xlpm.a="","",
        IF(
           AND(ISNUMBER(--_xlpm.a),LEN(_xlpm.a)=2),_xlpm.a,""
          )
       )
    )</f>
        <v>25</v>
      </c>
      <c r="E257" t="str">
        <f>TRIM(_xlfn.TEXTBEFORE(Employee_dataset[[#This Row],[Department_Region]],"-"))</f>
        <v>HR</v>
      </c>
      <c r="F257" t="str">
        <f>TRIM(_xlfn.TEXTAFTER(Employee_dataset[[#This Row],[Department_Region]],"-"))</f>
        <v>Florida</v>
      </c>
      <c r="G257" t="str">
        <f>TRIM(Employee_dataset[[#This Row],[Status]])</f>
        <v>Active</v>
      </c>
      <c r="H257" s="1">
        <f>_xlfn.LET(
     _xlpm.d, Employee_dataset[[#This Row],[Join_Date]],
     IF(
        ISNUMBER(_xlpm.d),_xlpm.d,""
       )
    )</f>
        <v>44119</v>
      </c>
      <c r="I257" s="6">
        <f>_xlfn.LET(
     _xlpm.s, TRIM(Employee_dataset[[#This Row],[Salary]]),
     IF(
        UPPER(_xlpm.s)="N/A","",
        IF(
           ISNUMBER(--_xlpm.s),ROUND(_xlfn.NUMBERVALUE(_xlpm.s),2),""
          )
       )
    )</f>
        <v>56776.82</v>
      </c>
      <c r="J257" t="str">
        <f>TRIM(Employee_dataset[[#This Row],[Email]])</f>
        <v>heidi.williams@example.com</v>
      </c>
      <c r="K257" t="str">
        <f>_xlfn.LET(
     _xlpm.p,TRIM(SUBSTITUTE(Employee_dataset[[#This Row],[Phone]],"-","")),
     IF(
        LEN(_xlpm.p)=10,_xlfn.CONCAT("("&amp;LEFT(_xlpm.p,3)&amp;") "&amp;MID(_xlpm.p,4,3)&amp;"-"&amp;RIGHT(_xlpm.p,4),"")
       )
     )</f>
        <v>(609) 306-8537</v>
      </c>
      <c r="L257" t="str">
        <f>TRIM(Employee_dataset[[#This Row],[Performance_Score]])</f>
        <v>Poor</v>
      </c>
      <c r="M257" t="str">
        <f>TRIM(Employee_dataset[[#This Row],[Remote_Work]])</f>
        <v>FALSE</v>
      </c>
    </row>
    <row r="258" spans="1:13" x14ac:dyDescent="0.3">
      <c r="A258" t="str">
        <f>TRIM(Employee_dataset[[#This Row],[Employee_ID]])</f>
        <v>EMP1256</v>
      </c>
      <c r="B258" t="str">
        <f>PROPER(TRIM(Employee_dataset[[#This Row],[First_Name]]))</f>
        <v>Grace</v>
      </c>
      <c r="C258" t="str">
        <f>PROPER(TRIM(Employee_dataset[[#This Row],[Last_Name]]))</f>
        <v>Davis</v>
      </c>
      <c r="D258" s="6" t="str">
        <f>_xlfn.LET(
     _xlpm.a, TRIM(Employee_dataset[[#This Row],[Age]]),
     IF(
        _xlpm.a="","",
        IF(
           AND(ISNUMBER(--_xlpm.a),LEN(_xlpm.a)=2),_xlpm.a,""
          )
       )
    )</f>
        <v/>
      </c>
      <c r="E258" t="str">
        <f>TRIM(_xlfn.TEXTBEFORE(Employee_dataset[[#This Row],[Department_Region]],"-"))</f>
        <v>Finance</v>
      </c>
      <c r="F258" t="str">
        <f>TRIM(_xlfn.TEXTAFTER(Employee_dataset[[#This Row],[Department_Region]],"-"))</f>
        <v>New York</v>
      </c>
      <c r="G258" t="str">
        <f>TRIM(Employee_dataset[[#This Row],[Status]])</f>
        <v>Active</v>
      </c>
      <c r="H258" s="1">
        <f>_xlfn.LET(
     _xlpm.d, Employee_dataset[[#This Row],[Join_Date]],
     IF(
        ISNUMBER(_xlpm.d),_xlpm.d,""
       )
    )</f>
        <v>45497</v>
      </c>
      <c r="I258" s="6">
        <f>_xlfn.LET(
     _xlpm.s, TRIM(Employee_dataset[[#This Row],[Salary]]),
     IF(
        UPPER(_xlpm.s)="N/A","",
        IF(
           ISNUMBER(--_xlpm.s),ROUND(_xlfn.NUMBERVALUE(_xlpm.s),2),""
          )
       )
    )</f>
        <v>72920.509999999995</v>
      </c>
      <c r="J258" t="str">
        <f>TRIM(Employee_dataset[[#This Row],[Email]])</f>
        <v>grace.davis@example.com</v>
      </c>
      <c r="K258" t="str">
        <f>_xlfn.LET(
     _xlpm.p,TRIM(SUBSTITUTE(Employee_dataset[[#This Row],[Phone]],"-","")),
     IF(
        LEN(_xlpm.p)=10,_xlfn.CONCAT("("&amp;LEFT(_xlpm.p,3)&amp;") "&amp;MID(_xlpm.p,4,3)&amp;"-"&amp;RIGHT(_xlpm.p,4),"")
       )
     )</f>
        <v>(909) 728-3214</v>
      </c>
      <c r="L258" t="str">
        <f>TRIM(Employee_dataset[[#This Row],[Performance_Score]])</f>
        <v>Excellent</v>
      </c>
      <c r="M258" t="str">
        <f>TRIM(Employee_dataset[[#This Row],[Remote_Work]])</f>
        <v>TRUE</v>
      </c>
    </row>
    <row r="259" spans="1:13" x14ac:dyDescent="0.3">
      <c r="A259" t="str">
        <f>TRIM(Employee_dataset[[#This Row],[Employee_ID]])</f>
        <v>EMP1257</v>
      </c>
      <c r="B259" t="str">
        <f>PROPER(TRIM(Employee_dataset[[#This Row],[First_Name]]))</f>
        <v>Frank</v>
      </c>
      <c r="C259" t="str">
        <f>PROPER(TRIM(Employee_dataset[[#This Row],[Last_Name]]))</f>
        <v>Miller</v>
      </c>
      <c r="D259" s="6" t="str">
        <f>_xlfn.LET(
     _xlpm.a, TRIM(Employee_dataset[[#This Row],[Age]]),
     IF(
        _xlpm.a="","",
        IF(
           AND(ISNUMBER(--_xlpm.a),LEN(_xlpm.a)=2),_xlpm.a,""
          )
       )
    )</f>
        <v>30</v>
      </c>
      <c r="E259" t="str">
        <f>TRIM(_xlfn.TEXTBEFORE(Employee_dataset[[#This Row],[Department_Region]],"-"))</f>
        <v>Admin</v>
      </c>
      <c r="F259" t="str">
        <f>TRIM(_xlfn.TEXTAFTER(Employee_dataset[[#This Row],[Department_Region]],"-"))</f>
        <v>Florida</v>
      </c>
      <c r="G259" t="str">
        <f>TRIM(Employee_dataset[[#This Row],[Status]])</f>
        <v>Pending</v>
      </c>
      <c r="H259" s="1">
        <f>_xlfn.LET(
     _xlpm.d, Employee_dataset[[#This Row],[Join_Date]],
     IF(
        ISNUMBER(_xlpm.d),_xlpm.d,""
       )
    )</f>
        <v>44787</v>
      </c>
      <c r="I259" s="6">
        <f>_xlfn.LET(
     _xlpm.s, TRIM(Employee_dataset[[#This Row],[Salary]]),
     IF(
        UPPER(_xlpm.s)="N/A","",
        IF(
           ISNUMBER(--_xlpm.s),ROUND(_xlfn.NUMBERVALUE(_xlpm.s),2),""
          )
       )
    )</f>
        <v>84913.18</v>
      </c>
      <c r="J259" t="str">
        <f>TRIM(Employee_dataset[[#This Row],[Email]])</f>
        <v>frank.miller@example.com</v>
      </c>
      <c r="K259" t="str">
        <f>_xlfn.LET(
     _xlpm.p,TRIM(SUBSTITUTE(Employee_dataset[[#This Row],[Phone]],"-","")),
     IF(
        LEN(_xlpm.p)=10,_xlfn.CONCAT("("&amp;LEFT(_xlpm.p,3)&amp;") "&amp;MID(_xlpm.p,4,3)&amp;"-"&amp;RIGHT(_xlpm.p,4),"")
       )
     )</f>
        <v>(285) 067-6250</v>
      </c>
      <c r="L259" t="str">
        <f>TRIM(Employee_dataset[[#This Row],[Performance_Score]])</f>
        <v>Average</v>
      </c>
      <c r="M259" t="str">
        <f>TRIM(Employee_dataset[[#This Row],[Remote_Work]])</f>
        <v>TRUE</v>
      </c>
    </row>
    <row r="260" spans="1:13" x14ac:dyDescent="0.3">
      <c r="A260" t="str">
        <f>TRIM(Employee_dataset[[#This Row],[Employee_ID]])</f>
        <v>EMP1258</v>
      </c>
      <c r="B260" t="str">
        <f>PROPER(TRIM(Employee_dataset[[#This Row],[First_Name]]))</f>
        <v>Alice</v>
      </c>
      <c r="C260" t="str">
        <f>PROPER(TRIM(Employee_dataset[[#This Row],[Last_Name]]))</f>
        <v>Garcia</v>
      </c>
      <c r="D260" s="6" t="str">
        <f>_xlfn.LET(
     _xlpm.a, TRIM(Employee_dataset[[#This Row],[Age]]),
     IF(
        _xlpm.a="","",
        IF(
           AND(ISNUMBER(--_xlpm.a),LEN(_xlpm.a)=2),_xlpm.a,""
          )
       )
    )</f>
        <v>25</v>
      </c>
      <c r="E260" t="str">
        <f>TRIM(_xlfn.TEXTBEFORE(Employee_dataset[[#This Row],[Department_Region]],"-"))</f>
        <v>Finance</v>
      </c>
      <c r="F260" t="str">
        <f>TRIM(_xlfn.TEXTAFTER(Employee_dataset[[#This Row],[Department_Region]],"-"))</f>
        <v>Illinois</v>
      </c>
      <c r="G260" t="str">
        <f>TRIM(Employee_dataset[[#This Row],[Status]])</f>
        <v>Inactive</v>
      </c>
      <c r="H260" s="1">
        <f>_xlfn.LET(
     _xlpm.d, Employee_dataset[[#This Row],[Join_Date]],
     IF(
        ISNUMBER(_xlpm.d),_xlpm.d,""
       )
    )</f>
        <v>44324</v>
      </c>
      <c r="I260" s="6">
        <f>_xlfn.LET(
     _xlpm.s, TRIM(Employee_dataset[[#This Row],[Salary]]),
     IF(
        UPPER(_xlpm.s)="N/A","",
        IF(
           ISNUMBER(--_xlpm.s),ROUND(_xlfn.NUMBERVALUE(_xlpm.s),2),""
          )
       )
    )</f>
        <v>65060.11</v>
      </c>
      <c r="J260" t="str">
        <f>TRIM(Employee_dataset[[#This Row],[Email]])</f>
        <v>alice.garcia@example.com</v>
      </c>
      <c r="K260" t="str">
        <f>_xlfn.LET(
     _xlpm.p,TRIM(SUBSTITUTE(Employee_dataset[[#This Row],[Phone]],"-","")),
     IF(
        LEN(_xlpm.p)=10,_xlfn.CONCAT("("&amp;LEFT(_xlpm.p,3)&amp;") "&amp;MID(_xlpm.p,4,3)&amp;"-"&amp;RIGHT(_xlpm.p,4),"")
       )
     )</f>
        <v>(538) 144-7442</v>
      </c>
      <c r="L260" t="str">
        <f>TRIM(Employee_dataset[[#This Row],[Performance_Score]])</f>
        <v>Excellent</v>
      </c>
      <c r="M260" t="str">
        <f>TRIM(Employee_dataset[[#This Row],[Remote_Work]])</f>
        <v>TRUE</v>
      </c>
    </row>
    <row r="261" spans="1:13" x14ac:dyDescent="0.3">
      <c r="A261" t="str">
        <f>TRIM(Employee_dataset[[#This Row],[Employee_ID]])</f>
        <v>EMP1259</v>
      </c>
      <c r="B261" t="str">
        <f>PROPER(TRIM(Employee_dataset[[#This Row],[First_Name]]))</f>
        <v>Alice</v>
      </c>
      <c r="C261" t="str">
        <f>PROPER(TRIM(Employee_dataset[[#This Row],[Last_Name]]))</f>
        <v>Williams</v>
      </c>
      <c r="D261" s="6" t="str">
        <f>_xlfn.LET(
     _xlpm.a, TRIM(Employee_dataset[[#This Row],[Age]]),
     IF(
        _xlpm.a="","",
        IF(
           AND(ISNUMBER(--_xlpm.a),LEN(_xlpm.a)=2),_xlpm.a,""
          )
       )
    )</f>
        <v>35</v>
      </c>
      <c r="E261" t="str">
        <f>TRIM(_xlfn.TEXTBEFORE(Employee_dataset[[#This Row],[Department_Region]],"-"))</f>
        <v>Finance</v>
      </c>
      <c r="F261" t="str">
        <f>TRIM(_xlfn.TEXTAFTER(Employee_dataset[[#This Row],[Department_Region]],"-"))</f>
        <v>Illinois</v>
      </c>
      <c r="G261" t="str">
        <f>TRIM(Employee_dataset[[#This Row],[Status]])</f>
        <v>Pending</v>
      </c>
      <c r="H261" s="1">
        <f>_xlfn.LET(
     _xlpm.d, Employee_dataset[[#This Row],[Join_Date]],
     IF(
        ISNUMBER(_xlpm.d),_xlpm.d,""
       )
    )</f>
        <v>45208</v>
      </c>
      <c r="I261" s="6">
        <f>_xlfn.LET(
     _xlpm.s, TRIM(Employee_dataset[[#This Row],[Salary]]),
     IF(
        UPPER(_xlpm.s)="N/A","",
        IF(
           ISNUMBER(--_xlpm.s),ROUND(_xlfn.NUMBERVALUE(_xlpm.s),2),""
          )
       )
    )</f>
        <v>82941.08</v>
      </c>
      <c r="J261" t="str">
        <f>TRIM(Employee_dataset[[#This Row],[Email]])</f>
        <v>alice.williams@example.com</v>
      </c>
      <c r="K261" t="b">
        <f>_xlfn.LET(
     _xlpm.p,TRIM(SUBSTITUTE(Employee_dataset[[#This Row],[Phone]],"-","")),
     IF(
        LEN(_xlpm.p)=10,_xlfn.CONCAT("("&amp;LEFT(_xlpm.p,3)&amp;") "&amp;MID(_xlpm.p,4,3)&amp;"-"&amp;RIGHT(_xlpm.p,4),"")
       )
     )</f>
        <v>0</v>
      </c>
      <c r="L261" t="str">
        <f>TRIM(Employee_dataset[[#This Row],[Performance_Score]])</f>
        <v>Poor</v>
      </c>
      <c r="M261" t="str">
        <f>TRIM(Employee_dataset[[#This Row],[Remote_Work]])</f>
        <v>FALSE</v>
      </c>
    </row>
    <row r="262" spans="1:13" x14ac:dyDescent="0.3">
      <c r="A262" t="str">
        <f>TRIM(Employee_dataset[[#This Row],[Employee_ID]])</f>
        <v>EMP1260</v>
      </c>
      <c r="B262" t="str">
        <f>PROPER(TRIM(Employee_dataset[[#This Row],[First_Name]]))</f>
        <v>Bob</v>
      </c>
      <c r="C262" t="str">
        <f>PROPER(TRIM(Employee_dataset[[#This Row],[Last_Name]]))</f>
        <v>Smith</v>
      </c>
      <c r="D262" s="6" t="str">
        <f>_xlfn.LET(
     _xlpm.a, TRIM(Employee_dataset[[#This Row],[Age]]),
     IF(
        _xlpm.a="","",
        IF(
           AND(ISNUMBER(--_xlpm.a),LEN(_xlpm.a)=2),_xlpm.a,""
          )
       )
    )</f>
        <v>40</v>
      </c>
      <c r="E262" t="str">
        <f>TRIM(_xlfn.TEXTBEFORE(Employee_dataset[[#This Row],[Department_Region]],"-"))</f>
        <v>Admin</v>
      </c>
      <c r="F262" t="str">
        <f>TRIM(_xlfn.TEXTAFTER(Employee_dataset[[#This Row],[Department_Region]],"-"))</f>
        <v>California</v>
      </c>
      <c r="G262" t="str">
        <f>TRIM(Employee_dataset[[#This Row],[Status]])</f>
        <v>Pending</v>
      </c>
      <c r="H262" s="1">
        <f>_xlfn.LET(
     _xlpm.d, Employee_dataset[[#This Row],[Join_Date]],
     IF(
        ISNUMBER(_xlpm.d),_xlpm.d,""
       )
    )</f>
        <v>44580</v>
      </c>
      <c r="I262" s="6">
        <f>_xlfn.LET(
     _xlpm.s, TRIM(Employee_dataset[[#This Row],[Salary]]),
     IF(
        UPPER(_xlpm.s)="N/A","",
        IF(
           ISNUMBER(--_xlpm.s),ROUND(_xlfn.NUMBERVALUE(_xlpm.s),2),""
          )
       )
    )</f>
        <v>103469.97</v>
      </c>
      <c r="J262" t="str">
        <f>TRIM(Employee_dataset[[#This Row],[Email]])</f>
        <v>bob.smith@example.com</v>
      </c>
      <c r="K262" t="b">
        <f>_xlfn.LET(
     _xlpm.p,TRIM(SUBSTITUTE(Employee_dataset[[#This Row],[Phone]],"-","")),
     IF(
        LEN(_xlpm.p)=10,_xlfn.CONCAT("("&amp;LEFT(_xlpm.p,3)&amp;") "&amp;MID(_xlpm.p,4,3)&amp;"-"&amp;RIGHT(_xlpm.p,4),"")
       )
     )</f>
        <v>0</v>
      </c>
      <c r="L262" t="str">
        <f>TRIM(Employee_dataset[[#This Row],[Performance_Score]])</f>
        <v>Good</v>
      </c>
      <c r="M262" t="str">
        <f>TRIM(Employee_dataset[[#This Row],[Remote_Work]])</f>
        <v>TRUE</v>
      </c>
    </row>
    <row r="263" spans="1:13" x14ac:dyDescent="0.3">
      <c r="A263" t="str">
        <f>TRIM(Employee_dataset[[#This Row],[Employee_ID]])</f>
        <v>EMP1261</v>
      </c>
      <c r="B263" t="str">
        <f>PROPER(TRIM(Employee_dataset[[#This Row],[First_Name]]))</f>
        <v>Grace</v>
      </c>
      <c r="C263" t="str">
        <f>PROPER(TRIM(Employee_dataset[[#This Row],[Last_Name]]))</f>
        <v>Miller</v>
      </c>
      <c r="D263" s="6" t="str">
        <f>_xlfn.LET(
     _xlpm.a, TRIM(Employee_dataset[[#This Row],[Age]]),
     IF(
        _xlpm.a="","",
        IF(
           AND(ISNUMBER(--_xlpm.a),LEN(_xlpm.a)=2),_xlpm.a,""
          )
       )
    )</f>
        <v>25</v>
      </c>
      <c r="E263" t="str">
        <f>TRIM(_xlfn.TEXTBEFORE(Employee_dataset[[#This Row],[Department_Region]],"-"))</f>
        <v>Sales</v>
      </c>
      <c r="F263" t="str">
        <f>TRIM(_xlfn.TEXTAFTER(Employee_dataset[[#This Row],[Department_Region]],"-"))</f>
        <v>Illinois</v>
      </c>
      <c r="G263" t="str">
        <f>TRIM(Employee_dataset[[#This Row],[Status]])</f>
        <v>Active</v>
      </c>
      <c r="H263" s="1">
        <f>_xlfn.LET(
     _xlpm.d, Employee_dataset[[#This Row],[Join_Date]],
     IF(
        ISNUMBER(_xlpm.d),_xlpm.d,""
       )
    )</f>
        <v>44573</v>
      </c>
      <c r="I263" s="6">
        <f>_xlfn.LET(
     _xlpm.s, TRIM(Employee_dataset[[#This Row],[Salary]]),
     IF(
        UPPER(_xlpm.s)="N/A","",
        IF(
           ISNUMBER(--_xlpm.s),ROUND(_xlfn.NUMBERVALUE(_xlpm.s),2),""
          )
       )
    )</f>
        <v>88725.6</v>
      </c>
      <c r="J263" t="str">
        <f>TRIM(Employee_dataset[[#This Row],[Email]])</f>
        <v>grace.miller@example.com</v>
      </c>
      <c r="K263" t="str">
        <f>_xlfn.LET(
     _xlpm.p,TRIM(SUBSTITUTE(Employee_dataset[[#This Row],[Phone]],"-","")),
     IF(
        LEN(_xlpm.p)=10,_xlfn.CONCAT("("&amp;LEFT(_xlpm.p,3)&amp;") "&amp;MID(_xlpm.p,4,3)&amp;"-"&amp;RIGHT(_xlpm.p,4),"")
       )
     )</f>
        <v>(526) 501-6730</v>
      </c>
      <c r="L263" t="str">
        <f>TRIM(Employee_dataset[[#This Row],[Performance_Score]])</f>
        <v>Average</v>
      </c>
      <c r="M263" t="str">
        <f>TRIM(Employee_dataset[[#This Row],[Remote_Work]])</f>
        <v>TRUE</v>
      </c>
    </row>
    <row r="264" spans="1:13" x14ac:dyDescent="0.3">
      <c r="A264" t="str">
        <f>TRIM(Employee_dataset[[#This Row],[Employee_ID]])</f>
        <v>EMP1262</v>
      </c>
      <c r="B264" t="str">
        <f>PROPER(TRIM(Employee_dataset[[#This Row],[First_Name]]))</f>
        <v>Heidi</v>
      </c>
      <c r="C264" t="str">
        <f>PROPER(TRIM(Employee_dataset[[#This Row],[Last_Name]]))</f>
        <v>Jones</v>
      </c>
      <c r="D264" s="6" t="str">
        <f>_xlfn.LET(
     _xlpm.a, TRIM(Employee_dataset[[#This Row],[Age]]),
     IF(
        _xlpm.a="","",
        IF(
           AND(ISNUMBER(--_xlpm.a),LEN(_xlpm.a)=2),_xlpm.a,""
          )
       )
    )</f>
        <v/>
      </c>
      <c r="E264" t="str">
        <f>TRIM(_xlfn.TEXTBEFORE(Employee_dataset[[#This Row],[Department_Region]],"-"))</f>
        <v>HR</v>
      </c>
      <c r="F264" t="str">
        <f>TRIM(_xlfn.TEXTAFTER(Employee_dataset[[#This Row],[Department_Region]],"-"))</f>
        <v>Illinois</v>
      </c>
      <c r="G264" t="str">
        <f>TRIM(Employee_dataset[[#This Row],[Status]])</f>
        <v>Pending</v>
      </c>
      <c r="H264" s="1">
        <f>_xlfn.LET(
     _xlpm.d, Employee_dataset[[#This Row],[Join_Date]],
     IF(
        ISNUMBER(_xlpm.d),_xlpm.d,""
       )
    )</f>
        <v>45082</v>
      </c>
      <c r="I264" s="6">
        <f>_xlfn.LET(
     _xlpm.s, TRIM(Employee_dataset[[#This Row],[Salary]]),
     IF(
        UPPER(_xlpm.s)="N/A","",
        IF(
           ISNUMBER(--_xlpm.s),ROUND(_xlfn.NUMBERVALUE(_xlpm.s),2),""
          )
       )
    )</f>
        <v>58316.77</v>
      </c>
      <c r="J264" t="str">
        <f>TRIM(Employee_dataset[[#This Row],[Email]])</f>
        <v>heidi.jones@example.com</v>
      </c>
      <c r="K264" t="str">
        <f>_xlfn.LET(
     _xlpm.p,TRIM(SUBSTITUTE(Employee_dataset[[#This Row],[Phone]],"-","")),
     IF(
        LEN(_xlpm.p)=10,_xlfn.CONCAT("("&amp;LEFT(_xlpm.p,3)&amp;") "&amp;MID(_xlpm.p,4,3)&amp;"-"&amp;RIGHT(_xlpm.p,4),"")
       )
     )</f>
        <v>(882) 617-0242</v>
      </c>
      <c r="L264" t="str">
        <f>TRIM(Employee_dataset[[#This Row],[Performance_Score]])</f>
        <v>Excellent</v>
      </c>
      <c r="M264" t="str">
        <f>TRIM(Employee_dataset[[#This Row],[Remote_Work]])</f>
        <v>TRUE</v>
      </c>
    </row>
    <row r="265" spans="1:13" x14ac:dyDescent="0.3">
      <c r="A265" t="str">
        <f>TRIM(Employee_dataset[[#This Row],[Employee_ID]])</f>
        <v>EMP1263</v>
      </c>
      <c r="B265" t="str">
        <f>PROPER(TRIM(Employee_dataset[[#This Row],[First_Name]]))</f>
        <v>Grace</v>
      </c>
      <c r="C265" t="str">
        <f>PROPER(TRIM(Employee_dataset[[#This Row],[Last_Name]]))</f>
        <v>Smith</v>
      </c>
      <c r="D265" s="6" t="str">
        <f>_xlfn.LET(
     _xlpm.a, TRIM(Employee_dataset[[#This Row],[Age]]),
     IF(
        _xlpm.a="","",
        IF(
           AND(ISNUMBER(--_xlpm.a),LEN(_xlpm.a)=2),_xlpm.a,""
          )
       )
    )</f>
        <v>35</v>
      </c>
      <c r="E265" t="str">
        <f>TRIM(_xlfn.TEXTBEFORE(Employee_dataset[[#This Row],[Department_Region]],"-"))</f>
        <v>HR</v>
      </c>
      <c r="F265" t="str">
        <f>TRIM(_xlfn.TEXTAFTER(Employee_dataset[[#This Row],[Department_Region]],"-"))</f>
        <v>Illinois</v>
      </c>
      <c r="G265" t="str">
        <f>TRIM(Employee_dataset[[#This Row],[Status]])</f>
        <v>Inactive</v>
      </c>
      <c r="H265" s="1">
        <f>_xlfn.LET(
     _xlpm.d, Employee_dataset[[#This Row],[Join_Date]],
     IF(
        ISNUMBER(_xlpm.d),_xlpm.d,""
       )
    )</f>
        <v>45377</v>
      </c>
      <c r="I265" s="6">
        <f>_xlfn.LET(
     _xlpm.s, TRIM(Employee_dataset[[#This Row],[Salary]]),
     IF(
        UPPER(_xlpm.s)="N/A","",
        IF(
           ISNUMBER(--_xlpm.s),ROUND(_xlfn.NUMBERVALUE(_xlpm.s),2),""
          )
       )
    )</f>
        <v>60098.720000000001</v>
      </c>
      <c r="J265" t="str">
        <f>TRIM(Employee_dataset[[#This Row],[Email]])</f>
        <v>grace.smith@example.com</v>
      </c>
      <c r="K265" t="str">
        <f>_xlfn.LET(
     _xlpm.p,TRIM(SUBSTITUTE(Employee_dataset[[#This Row],[Phone]],"-","")),
     IF(
        LEN(_xlpm.p)=10,_xlfn.CONCAT("("&amp;LEFT(_xlpm.p,3)&amp;") "&amp;MID(_xlpm.p,4,3)&amp;"-"&amp;RIGHT(_xlpm.p,4),"")
       )
     )</f>
        <v>(765) 456-2840</v>
      </c>
      <c r="L265" t="str">
        <f>TRIM(Employee_dataset[[#This Row],[Performance_Score]])</f>
        <v>Excellent</v>
      </c>
      <c r="M265" t="str">
        <f>TRIM(Employee_dataset[[#This Row],[Remote_Work]])</f>
        <v>TRUE</v>
      </c>
    </row>
    <row r="266" spans="1:13" x14ac:dyDescent="0.3">
      <c r="A266" t="str">
        <f>TRIM(Employee_dataset[[#This Row],[Employee_ID]])</f>
        <v>EMP1264</v>
      </c>
      <c r="B266" t="str">
        <f>PROPER(TRIM(Employee_dataset[[#This Row],[First_Name]]))</f>
        <v>Grace</v>
      </c>
      <c r="C266" t="str">
        <f>PROPER(TRIM(Employee_dataset[[#This Row],[Last_Name]]))</f>
        <v>Williams</v>
      </c>
      <c r="D266" s="6" t="str">
        <f>_xlfn.LET(
     _xlpm.a, TRIM(Employee_dataset[[#This Row],[Age]]),
     IF(
        _xlpm.a="","",
        IF(
           AND(ISNUMBER(--_xlpm.a),LEN(_xlpm.a)=2),_xlpm.a,""
          )
       )
    )</f>
        <v/>
      </c>
      <c r="E266" t="str">
        <f>TRIM(_xlfn.TEXTBEFORE(Employee_dataset[[#This Row],[Department_Region]],"-"))</f>
        <v>Cloud Tech</v>
      </c>
      <c r="F266" t="str">
        <f>TRIM(_xlfn.TEXTAFTER(Employee_dataset[[#This Row],[Department_Region]],"-"))</f>
        <v>Texas</v>
      </c>
      <c r="G266" t="str">
        <f>TRIM(Employee_dataset[[#This Row],[Status]])</f>
        <v>Active</v>
      </c>
      <c r="H266" s="1">
        <f>_xlfn.LET(
     _xlpm.d, Employee_dataset[[#This Row],[Join_Date]],
     IF(
        ISNUMBER(_xlpm.d),_xlpm.d,""
       )
    )</f>
        <v>44111</v>
      </c>
      <c r="I266" s="6">
        <f>_xlfn.LET(
     _xlpm.s, TRIM(Employee_dataset[[#This Row],[Salary]]),
     IF(
        UPPER(_xlpm.s)="N/A","",
        IF(
           ISNUMBER(--_xlpm.s),ROUND(_xlfn.NUMBERVALUE(_xlpm.s),2),""
          )
       )
    )</f>
        <v>99951.43</v>
      </c>
      <c r="J266" t="str">
        <f>TRIM(Employee_dataset[[#This Row],[Email]])</f>
        <v>grace.williams@example.com</v>
      </c>
      <c r="K266" t="str">
        <f>_xlfn.LET(
     _xlpm.p,TRIM(SUBSTITUTE(Employee_dataset[[#This Row],[Phone]],"-","")),
     IF(
        LEN(_xlpm.p)=10,_xlfn.CONCAT("("&amp;LEFT(_xlpm.p,3)&amp;") "&amp;MID(_xlpm.p,4,3)&amp;"-"&amp;RIGHT(_xlpm.p,4),"")
       )
     )</f>
        <v>(772) 256-0530</v>
      </c>
      <c r="L266" t="str">
        <f>TRIM(Employee_dataset[[#This Row],[Performance_Score]])</f>
        <v>Average</v>
      </c>
      <c r="M266" t="str">
        <f>TRIM(Employee_dataset[[#This Row],[Remote_Work]])</f>
        <v>TRUE</v>
      </c>
    </row>
    <row r="267" spans="1:13" x14ac:dyDescent="0.3">
      <c r="A267" t="str">
        <f>TRIM(Employee_dataset[[#This Row],[Employee_ID]])</f>
        <v>EMP1265</v>
      </c>
      <c r="B267" t="str">
        <f>PROPER(TRIM(Employee_dataset[[#This Row],[First_Name]]))</f>
        <v>Heidi</v>
      </c>
      <c r="C267" t="str">
        <f>PROPER(TRIM(Employee_dataset[[#This Row],[Last_Name]]))</f>
        <v>Johnson</v>
      </c>
      <c r="D267" s="6" t="str">
        <f>_xlfn.LET(
     _xlpm.a, TRIM(Employee_dataset[[#This Row],[Age]]),
     IF(
        _xlpm.a="","",
        IF(
           AND(ISNUMBER(--_xlpm.a),LEN(_xlpm.a)=2),_xlpm.a,""
          )
       )
    )</f>
        <v>30</v>
      </c>
      <c r="E267" t="str">
        <f>TRIM(_xlfn.TEXTBEFORE(Employee_dataset[[#This Row],[Department_Region]],"-"))</f>
        <v>Sales</v>
      </c>
      <c r="F267" t="str">
        <f>TRIM(_xlfn.TEXTAFTER(Employee_dataset[[#This Row],[Department_Region]],"-"))</f>
        <v>Illinois</v>
      </c>
      <c r="G267" t="str">
        <f>TRIM(Employee_dataset[[#This Row],[Status]])</f>
        <v>Active</v>
      </c>
      <c r="H267" s="1">
        <f>_xlfn.LET(
     _xlpm.d, Employee_dataset[[#This Row],[Join_Date]],
     IF(
        ISNUMBER(_xlpm.d),_xlpm.d,""
       )
    )</f>
        <v>44502</v>
      </c>
      <c r="I267" s="6">
        <f>_xlfn.LET(
     _xlpm.s, TRIM(Employee_dataset[[#This Row],[Salary]]),
     IF(
        UPPER(_xlpm.s)="N/A","",
        IF(
           ISNUMBER(--_xlpm.s),ROUND(_xlfn.NUMBERVALUE(_xlpm.s),2),""
          )
       )
    )</f>
        <v>115195.81</v>
      </c>
      <c r="J267" t="str">
        <f>TRIM(Employee_dataset[[#This Row],[Email]])</f>
        <v>heidi.johnson@example.com</v>
      </c>
      <c r="K267" t="str">
        <f>_xlfn.LET(
     _xlpm.p,TRIM(SUBSTITUTE(Employee_dataset[[#This Row],[Phone]],"-","")),
     IF(
        LEN(_xlpm.p)=10,_xlfn.CONCAT("("&amp;LEFT(_xlpm.p,3)&amp;") "&amp;MID(_xlpm.p,4,3)&amp;"-"&amp;RIGHT(_xlpm.p,4),"")
       )
     )</f>
        <v>(340) 266-5022</v>
      </c>
      <c r="L267" t="str">
        <f>TRIM(Employee_dataset[[#This Row],[Performance_Score]])</f>
        <v>Good</v>
      </c>
      <c r="M267" t="str">
        <f>TRIM(Employee_dataset[[#This Row],[Remote_Work]])</f>
        <v>TRUE</v>
      </c>
    </row>
    <row r="268" spans="1:13" x14ac:dyDescent="0.3">
      <c r="A268" t="str">
        <f>TRIM(Employee_dataset[[#This Row],[Employee_ID]])</f>
        <v>EMP1266</v>
      </c>
      <c r="B268" t="str">
        <f>PROPER(TRIM(Employee_dataset[[#This Row],[First_Name]]))</f>
        <v>Grace</v>
      </c>
      <c r="C268" t="str">
        <f>PROPER(TRIM(Employee_dataset[[#This Row],[Last_Name]]))</f>
        <v>Brown</v>
      </c>
      <c r="D268" s="6" t="str">
        <f>_xlfn.LET(
     _xlpm.a, TRIM(Employee_dataset[[#This Row],[Age]]),
     IF(
        _xlpm.a="","",
        IF(
           AND(ISNUMBER(--_xlpm.a),LEN(_xlpm.a)=2),_xlpm.a,""
          )
       )
    )</f>
        <v/>
      </c>
      <c r="E268" t="str">
        <f>TRIM(_xlfn.TEXTBEFORE(Employee_dataset[[#This Row],[Department_Region]],"-"))</f>
        <v>DevOps</v>
      </c>
      <c r="F268" t="str">
        <f>TRIM(_xlfn.TEXTAFTER(Employee_dataset[[#This Row],[Department_Region]],"-"))</f>
        <v>California</v>
      </c>
      <c r="G268" t="str">
        <f>TRIM(Employee_dataset[[#This Row],[Status]])</f>
        <v>Pending</v>
      </c>
      <c r="H268" s="1">
        <f>_xlfn.LET(
     _xlpm.d, Employee_dataset[[#This Row],[Join_Date]],
     IF(
        ISNUMBER(_xlpm.d),_xlpm.d,""
       )
    )</f>
        <v>44519</v>
      </c>
      <c r="I268" s="6">
        <f>_xlfn.LET(
     _xlpm.s, TRIM(Employee_dataset[[#This Row],[Salary]]),
     IF(
        UPPER(_xlpm.s)="N/A","",
        IF(
           ISNUMBER(--_xlpm.s),ROUND(_xlfn.NUMBERVALUE(_xlpm.s),2),""
          )
       )
    )</f>
        <v>85512.05</v>
      </c>
      <c r="J268" t="str">
        <f>TRIM(Employee_dataset[[#This Row],[Email]])</f>
        <v>grace.brown@example.com</v>
      </c>
      <c r="K268" t="str">
        <f>_xlfn.LET(
     _xlpm.p,TRIM(SUBSTITUTE(Employee_dataset[[#This Row],[Phone]],"-","")),
     IF(
        LEN(_xlpm.p)=10,_xlfn.CONCAT("("&amp;LEFT(_xlpm.p,3)&amp;") "&amp;MID(_xlpm.p,4,3)&amp;"-"&amp;RIGHT(_xlpm.p,4),"")
       )
     )</f>
        <v>(741) 678-7255</v>
      </c>
      <c r="L268" t="str">
        <f>TRIM(Employee_dataset[[#This Row],[Performance_Score]])</f>
        <v>Good</v>
      </c>
      <c r="M268" t="str">
        <f>TRIM(Employee_dataset[[#This Row],[Remote_Work]])</f>
        <v>FALSE</v>
      </c>
    </row>
    <row r="269" spans="1:13" x14ac:dyDescent="0.3">
      <c r="A269" t="str">
        <f>TRIM(Employee_dataset[[#This Row],[Employee_ID]])</f>
        <v>EMP1267</v>
      </c>
      <c r="B269" t="str">
        <f>PROPER(TRIM(Employee_dataset[[#This Row],[First_Name]]))</f>
        <v>Heidi</v>
      </c>
      <c r="C269" t="str">
        <f>PROPER(TRIM(Employee_dataset[[#This Row],[Last_Name]]))</f>
        <v>Garcia</v>
      </c>
      <c r="D269" s="6" t="str">
        <f>_xlfn.LET(
     _xlpm.a, TRIM(Employee_dataset[[#This Row],[Age]]),
     IF(
        _xlpm.a="","",
        IF(
           AND(ISNUMBER(--_xlpm.a),LEN(_xlpm.a)=2),_xlpm.a,""
          )
       )
    )</f>
        <v/>
      </c>
      <c r="E269" t="str">
        <f>TRIM(_xlfn.TEXTBEFORE(Employee_dataset[[#This Row],[Department_Region]],"-"))</f>
        <v>HR</v>
      </c>
      <c r="F269" t="str">
        <f>TRIM(_xlfn.TEXTAFTER(Employee_dataset[[#This Row],[Department_Region]],"-"))</f>
        <v>Florida</v>
      </c>
      <c r="G269" t="str">
        <f>TRIM(Employee_dataset[[#This Row],[Status]])</f>
        <v>Active</v>
      </c>
      <c r="H269" s="1">
        <f>_xlfn.LET(
     _xlpm.d, Employee_dataset[[#This Row],[Join_Date]],
     IF(
        ISNUMBER(_xlpm.d),_xlpm.d,""
       )
    )</f>
        <v>44585</v>
      </c>
      <c r="I269" s="6">
        <f>_xlfn.LET(
     _xlpm.s, TRIM(Employee_dataset[[#This Row],[Salary]]),
     IF(
        UPPER(_xlpm.s)="N/A","",
        IF(
           ISNUMBER(--_xlpm.s),ROUND(_xlfn.NUMBERVALUE(_xlpm.s),2),""
          )
       )
    )</f>
        <v>73186.77</v>
      </c>
      <c r="J269" t="str">
        <f>TRIM(Employee_dataset[[#This Row],[Email]])</f>
        <v>heidi.garcia@example.com</v>
      </c>
      <c r="K269" t="str">
        <f>_xlfn.LET(
     _xlpm.p,TRIM(SUBSTITUTE(Employee_dataset[[#This Row],[Phone]],"-","")),
     IF(
        LEN(_xlpm.p)=10,_xlfn.CONCAT("("&amp;LEFT(_xlpm.p,3)&amp;") "&amp;MID(_xlpm.p,4,3)&amp;"-"&amp;RIGHT(_xlpm.p,4),"")
       )
     )</f>
        <v>(862) 110-2257</v>
      </c>
      <c r="L269" t="str">
        <f>TRIM(Employee_dataset[[#This Row],[Performance_Score]])</f>
        <v>Good</v>
      </c>
      <c r="M269" t="str">
        <f>TRIM(Employee_dataset[[#This Row],[Remote_Work]])</f>
        <v>FALSE</v>
      </c>
    </row>
    <row r="270" spans="1:13" x14ac:dyDescent="0.3">
      <c r="A270" t="str">
        <f>TRIM(Employee_dataset[[#This Row],[Employee_ID]])</f>
        <v>EMP1268</v>
      </c>
      <c r="B270" t="str">
        <f>PROPER(TRIM(Employee_dataset[[#This Row],[First_Name]]))</f>
        <v>Grace</v>
      </c>
      <c r="C270" t="str">
        <f>PROPER(TRIM(Employee_dataset[[#This Row],[Last_Name]]))</f>
        <v>Davis</v>
      </c>
      <c r="D270" s="6" t="str">
        <f>_xlfn.LET(
     _xlpm.a, TRIM(Employee_dataset[[#This Row],[Age]]),
     IF(
        _xlpm.a="","",
        IF(
           AND(ISNUMBER(--_xlpm.a),LEN(_xlpm.a)=2),_xlpm.a,""
          )
       )
    )</f>
        <v/>
      </c>
      <c r="E270" t="str">
        <f>TRIM(_xlfn.TEXTBEFORE(Employee_dataset[[#This Row],[Department_Region]],"-"))</f>
        <v>HR</v>
      </c>
      <c r="F270" t="str">
        <f>TRIM(_xlfn.TEXTAFTER(Employee_dataset[[#This Row],[Department_Region]],"-"))</f>
        <v>Nevada</v>
      </c>
      <c r="G270" t="str">
        <f>TRIM(Employee_dataset[[#This Row],[Status]])</f>
        <v>Pending</v>
      </c>
      <c r="H270" s="1">
        <f>_xlfn.LET(
     _xlpm.d, Employee_dataset[[#This Row],[Join_Date]],
     IF(
        ISNUMBER(_xlpm.d),_xlpm.d,""
       )
    )</f>
        <v>45119</v>
      </c>
      <c r="I270" s="6">
        <f>_xlfn.LET(
     _xlpm.s, TRIM(Employee_dataset[[#This Row],[Salary]]),
     IF(
        UPPER(_xlpm.s)="N/A","",
        IF(
           ISNUMBER(--_xlpm.s),ROUND(_xlfn.NUMBERVALUE(_xlpm.s),2),""
          )
       )
    )</f>
        <v>51865.3</v>
      </c>
      <c r="J270" t="str">
        <f>TRIM(Employee_dataset[[#This Row],[Email]])</f>
        <v>grace.davis@example.com</v>
      </c>
      <c r="K270" t="b">
        <f>_xlfn.LET(
     _xlpm.p,TRIM(SUBSTITUTE(Employee_dataset[[#This Row],[Phone]],"-","")),
     IF(
        LEN(_xlpm.p)=10,_xlfn.CONCAT("("&amp;LEFT(_xlpm.p,3)&amp;") "&amp;MID(_xlpm.p,4,3)&amp;"-"&amp;RIGHT(_xlpm.p,4),"")
       )
     )</f>
        <v>0</v>
      </c>
      <c r="L270" t="str">
        <f>TRIM(Employee_dataset[[#This Row],[Performance_Score]])</f>
        <v>Poor</v>
      </c>
      <c r="M270" t="str">
        <f>TRIM(Employee_dataset[[#This Row],[Remote_Work]])</f>
        <v>TRUE</v>
      </c>
    </row>
    <row r="271" spans="1:13" x14ac:dyDescent="0.3">
      <c r="A271" t="str">
        <f>TRIM(Employee_dataset[[#This Row],[Employee_ID]])</f>
        <v>EMP1269</v>
      </c>
      <c r="B271" t="str">
        <f>PROPER(TRIM(Employee_dataset[[#This Row],[First_Name]]))</f>
        <v>David</v>
      </c>
      <c r="C271" t="str">
        <f>PROPER(TRIM(Employee_dataset[[#This Row],[Last_Name]]))</f>
        <v>Williams</v>
      </c>
      <c r="D271" s="6" t="str">
        <f>_xlfn.LET(
     _xlpm.a, TRIM(Employee_dataset[[#This Row],[Age]]),
     IF(
        _xlpm.a="","",
        IF(
           AND(ISNUMBER(--_xlpm.a),LEN(_xlpm.a)=2),_xlpm.a,""
          )
       )
    )</f>
        <v>25</v>
      </c>
      <c r="E271" t="str">
        <f>TRIM(_xlfn.TEXTBEFORE(Employee_dataset[[#This Row],[Department_Region]],"-"))</f>
        <v>Sales</v>
      </c>
      <c r="F271" t="str">
        <f>TRIM(_xlfn.TEXTAFTER(Employee_dataset[[#This Row],[Department_Region]],"-"))</f>
        <v>Florida</v>
      </c>
      <c r="G271" t="str">
        <f>TRIM(Employee_dataset[[#This Row],[Status]])</f>
        <v>Active</v>
      </c>
      <c r="H271" s="1">
        <f>_xlfn.LET(
     _xlpm.d, Employee_dataset[[#This Row],[Join_Date]],
     IF(
        ISNUMBER(_xlpm.d),_xlpm.d,""
       )
    )</f>
        <v>44904</v>
      </c>
      <c r="I271" s="6">
        <f>_xlfn.LET(
     _xlpm.s, TRIM(Employee_dataset[[#This Row],[Salary]]),
     IF(
        UPPER(_xlpm.s)="N/A","",
        IF(
           ISNUMBER(--_xlpm.s),ROUND(_xlfn.NUMBERVALUE(_xlpm.s),2),""
          )
       )
    )</f>
        <v>94031.77</v>
      </c>
      <c r="J271" t="str">
        <f>TRIM(Employee_dataset[[#This Row],[Email]])</f>
        <v>david.williams@example.com</v>
      </c>
      <c r="K271" t="str">
        <f>_xlfn.LET(
     _xlpm.p,TRIM(SUBSTITUTE(Employee_dataset[[#This Row],[Phone]],"-","")),
     IF(
        LEN(_xlpm.p)=10,_xlfn.CONCAT("("&amp;LEFT(_xlpm.p,3)&amp;") "&amp;MID(_xlpm.p,4,3)&amp;"-"&amp;RIGHT(_xlpm.p,4),"")
       )
     )</f>
        <v>(471) 639-2822</v>
      </c>
      <c r="L271" t="str">
        <f>TRIM(Employee_dataset[[#This Row],[Performance_Score]])</f>
        <v>Excellent</v>
      </c>
      <c r="M271" t="str">
        <f>TRIM(Employee_dataset[[#This Row],[Remote_Work]])</f>
        <v>TRUE</v>
      </c>
    </row>
    <row r="272" spans="1:13" x14ac:dyDescent="0.3">
      <c r="A272" t="str">
        <f>TRIM(Employee_dataset[[#This Row],[Employee_ID]])</f>
        <v>EMP1270</v>
      </c>
      <c r="B272" t="str">
        <f>PROPER(TRIM(Employee_dataset[[#This Row],[First_Name]]))</f>
        <v>Grace</v>
      </c>
      <c r="C272" t="str">
        <f>PROPER(TRIM(Employee_dataset[[#This Row],[Last_Name]]))</f>
        <v>Miller</v>
      </c>
      <c r="D272" s="6" t="str">
        <f>_xlfn.LET(
     _xlpm.a, TRIM(Employee_dataset[[#This Row],[Age]]),
     IF(
        _xlpm.a="","",
        IF(
           AND(ISNUMBER(--_xlpm.a),LEN(_xlpm.a)=2),_xlpm.a,""
          )
       )
    )</f>
        <v>30</v>
      </c>
      <c r="E272" t="str">
        <f>TRIM(_xlfn.TEXTBEFORE(Employee_dataset[[#This Row],[Department_Region]],"-"))</f>
        <v>DevOps</v>
      </c>
      <c r="F272" t="str">
        <f>TRIM(_xlfn.TEXTAFTER(Employee_dataset[[#This Row],[Department_Region]],"-"))</f>
        <v>New York</v>
      </c>
      <c r="G272" t="str">
        <f>TRIM(Employee_dataset[[#This Row],[Status]])</f>
        <v>Active</v>
      </c>
      <c r="H272" s="1">
        <f>_xlfn.LET(
     _xlpm.d, Employee_dataset[[#This Row],[Join_Date]],
     IF(
        ISNUMBER(_xlpm.d),_xlpm.d,""
       )
    )</f>
        <v>45003</v>
      </c>
      <c r="I272" s="6">
        <f>_xlfn.LET(
     _xlpm.s, TRIM(Employee_dataset[[#This Row],[Salary]]),
     IF(
        UPPER(_xlpm.s)="N/A","",
        IF(
           ISNUMBER(--_xlpm.s),ROUND(_xlfn.NUMBERVALUE(_xlpm.s),2),""
          )
       )
    )</f>
        <v>116374.36</v>
      </c>
      <c r="J272" t="str">
        <f>TRIM(Employee_dataset[[#This Row],[Email]])</f>
        <v>grace.miller@example.com</v>
      </c>
      <c r="K272" t="str">
        <f>_xlfn.LET(
     _xlpm.p,TRIM(SUBSTITUTE(Employee_dataset[[#This Row],[Phone]],"-","")),
     IF(
        LEN(_xlpm.p)=10,_xlfn.CONCAT("("&amp;LEFT(_xlpm.p,3)&amp;") "&amp;MID(_xlpm.p,4,3)&amp;"-"&amp;RIGHT(_xlpm.p,4),"")
       )
     )</f>
        <v>(414) 363-7188</v>
      </c>
      <c r="L272" t="str">
        <f>TRIM(Employee_dataset[[#This Row],[Performance_Score]])</f>
        <v>Excellent</v>
      </c>
      <c r="M272" t="str">
        <f>TRIM(Employee_dataset[[#This Row],[Remote_Work]])</f>
        <v>FALSE</v>
      </c>
    </row>
    <row r="273" spans="1:13" x14ac:dyDescent="0.3">
      <c r="A273" t="str">
        <f>TRIM(Employee_dataset[[#This Row],[Employee_ID]])</f>
        <v>EMP1271</v>
      </c>
      <c r="B273" t="str">
        <f>PROPER(TRIM(Employee_dataset[[#This Row],[First_Name]]))</f>
        <v>Alice</v>
      </c>
      <c r="C273" t="str">
        <f>PROPER(TRIM(Employee_dataset[[#This Row],[Last_Name]]))</f>
        <v>Garcia</v>
      </c>
      <c r="D273" s="6" t="str">
        <f>_xlfn.LET(
     _xlpm.a, TRIM(Employee_dataset[[#This Row],[Age]]),
     IF(
        _xlpm.a="","",
        IF(
           AND(ISNUMBER(--_xlpm.a),LEN(_xlpm.a)=2),_xlpm.a,""
          )
       )
    )</f>
        <v>40</v>
      </c>
      <c r="E273" t="str">
        <f>TRIM(_xlfn.TEXTBEFORE(Employee_dataset[[#This Row],[Department_Region]],"-"))</f>
        <v>HR</v>
      </c>
      <c r="F273" t="str">
        <f>TRIM(_xlfn.TEXTAFTER(Employee_dataset[[#This Row],[Department_Region]],"-"))</f>
        <v>Florida</v>
      </c>
      <c r="G273" t="str">
        <f>TRIM(Employee_dataset[[#This Row],[Status]])</f>
        <v>Active</v>
      </c>
      <c r="H273" s="1">
        <f>_xlfn.LET(
     _xlpm.d, Employee_dataset[[#This Row],[Join_Date]],
     IF(
        ISNUMBER(_xlpm.d),_xlpm.d,""
       )
    )</f>
        <v>44676</v>
      </c>
      <c r="I273" s="6">
        <f>_xlfn.LET(
     _xlpm.s, TRIM(Employee_dataset[[#This Row],[Salary]]),
     IF(
        UPPER(_xlpm.s)="N/A","",
        IF(
           ISNUMBER(--_xlpm.s),ROUND(_xlfn.NUMBERVALUE(_xlpm.s),2),""
          )
       )
    )</f>
        <v>98335.02</v>
      </c>
      <c r="J273" t="str">
        <f>TRIM(Employee_dataset[[#This Row],[Email]])</f>
        <v>alice.garcia@example.com</v>
      </c>
      <c r="K273" t="str">
        <f>_xlfn.LET(
     _xlpm.p,TRIM(SUBSTITUTE(Employee_dataset[[#This Row],[Phone]],"-","")),
     IF(
        LEN(_xlpm.p)=10,_xlfn.CONCAT("("&amp;LEFT(_xlpm.p,3)&amp;") "&amp;MID(_xlpm.p,4,3)&amp;"-"&amp;RIGHT(_xlpm.p,4),"")
       )
     )</f>
        <v>(239) 231-2603</v>
      </c>
      <c r="L273" t="str">
        <f>TRIM(Employee_dataset[[#This Row],[Performance_Score]])</f>
        <v>Excellent</v>
      </c>
      <c r="M273" t="str">
        <f>TRIM(Employee_dataset[[#This Row],[Remote_Work]])</f>
        <v>FALSE</v>
      </c>
    </row>
    <row r="274" spans="1:13" x14ac:dyDescent="0.3">
      <c r="A274" t="str">
        <f>TRIM(Employee_dataset[[#This Row],[Employee_ID]])</f>
        <v>EMP1272</v>
      </c>
      <c r="B274" t="str">
        <f>PROPER(TRIM(Employee_dataset[[#This Row],[First_Name]]))</f>
        <v>Heidi</v>
      </c>
      <c r="C274" t="str">
        <f>PROPER(TRIM(Employee_dataset[[#This Row],[Last_Name]]))</f>
        <v>Garcia</v>
      </c>
      <c r="D274" s="6" t="str">
        <f>_xlfn.LET(
     _xlpm.a, TRIM(Employee_dataset[[#This Row],[Age]]),
     IF(
        _xlpm.a="","",
        IF(
           AND(ISNUMBER(--_xlpm.a),LEN(_xlpm.a)=2),_xlpm.a,""
          )
       )
    )</f>
        <v>25</v>
      </c>
      <c r="E274" t="str">
        <f>TRIM(_xlfn.TEXTBEFORE(Employee_dataset[[#This Row],[Department_Region]],"-"))</f>
        <v>DevOps</v>
      </c>
      <c r="F274" t="str">
        <f>TRIM(_xlfn.TEXTAFTER(Employee_dataset[[#This Row],[Department_Region]],"-"))</f>
        <v>New York</v>
      </c>
      <c r="G274" t="str">
        <f>TRIM(Employee_dataset[[#This Row],[Status]])</f>
        <v>Pending</v>
      </c>
      <c r="H274" s="1">
        <f>_xlfn.LET(
     _xlpm.d, Employee_dataset[[#This Row],[Join_Date]],
     IF(
        ISNUMBER(_xlpm.d),_xlpm.d,""
       )
    )</f>
        <v>44255</v>
      </c>
      <c r="I274" s="6">
        <f>_xlfn.LET(
     _xlpm.s, TRIM(Employee_dataset[[#This Row],[Salary]]),
     IF(
        UPPER(_xlpm.s)="N/A","",
        IF(
           ISNUMBER(--_xlpm.s),ROUND(_xlfn.NUMBERVALUE(_xlpm.s),2),""
          )
       )
    )</f>
        <v>89262.07</v>
      </c>
      <c r="J274" t="str">
        <f>TRIM(Employee_dataset[[#This Row],[Email]])</f>
        <v>heidi.garcia@example.com</v>
      </c>
      <c r="K274" t="str">
        <f>_xlfn.LET(
     _xlpm.p,TRIM(SUBSTITUTE(Employee_dataset[[#This Row],[Phone]],"-","")),
     IF(
        LEN(_xlpm.p)=10,_xlfn.CONCAT("("&amp;LEFT(_xlpm.p,3)&amp;") "&amp;MID(_xlpm.p,4,3)&amp;"-"&amp;RIGHT(_xlpm.p,4),"")
       )
     )</f>
        <v>(326) 093-1065</v>
      </c>
      <c r="L274" t="str">
        <f>TRIM(Employee_dataset[[#This Row],[Performance_Score]])</f>
        <v>Poor</v>
      </c>
      <c r="M274" t="str">
        <f>TRIM(Employee_dataset[[#This Row],[Remote_Work]])</f>
        <v>TRUE</v>
      </c>
    </row>
    <row r="275" spans="1:13" x14ac:dyDescent="0.3">
      <c r="A275" t="str">
        <f>TRIM(Employee_dataset[[#This Row],[Employee_ID]])</f>
        <v>EMP1273</v>
      </c>
      <c r="B275" t="str">
        <f>PROPER(TRIM(Employee_dataset[[#This Row],[First_Name]]))</f>
        <v>Heidi</v>
      </c>
      <c r="C275" t="str">
        <f>PROPER(TRIM(Employee_dataset[[#This Row],[Last_Name]]))</f>
        <v>Garcia</v>
      </c>
      <c r="D275" s="6" t="str">
        <f>_xlfn.LET(
     _xlpm.a, TRIM(Employee_dataset[[#This Row],[Age]]),
     IF(
        _xlpm.a="","",
        IF(
           AND(ISNUMBER(--_xlpm.a),LEN(_xlpm.a)=2),_xlpm.a,""
          )
       )
    )</f>
        <v/>
      </c>
      <c r="E275" t="str">
        <f>TRIM(_xlfn.TEXTBEFORE(Employee_dataset[[#This Row],[Department_Region]],"-"))</f>
        <v>Finance</v>
      </c>
      <c r="F275" t="str">
        <f>TRIM(_xlfn.TEXTAFTER(Employee_dataset[[#This Row],[Department_Region]],"-"))</f>
        <v>California</v>
      </c>
      <c r="G275" t="str">
        <f>TRIM(Employee_dataset[[#This Row],[Status]])</f>
        <v>Active</v>
      </c>
      <c r="H275" s="1">
        <f>_xlfn.LET(
     _xlpm.d, Employee_dataset[[#This Row],[Join_Date]],
     IF(
        ISNUMBER(_xlpm.d),_xlpm.d,""
       )
    )</f>
        <v>44772</v>
      </c>
      <c r="I275" s="6">
        <f>_xlfn.LET(
     _xlpm.s, TRIM(Employee_dataset[[#This Row],[Salary]]),
     IF(
        UPPER(_xlpm.s)="N/A","",
        IF(
           ISNUMBER(--_xlpm.s),ROUND(_xlfn.NUMBERVALUE(_xlpm.s),2),""
          )
       )
    )</f>
        <v>113848.69</v>
      </c>
      <c r="J275" t="str">
        <f>TRIM(Employee_dataset[[#This Row],[Email]])</f>
        <v>heidi.garcia@example.com</v>
      </c>
      <c r="K275" t="str">
        <f>_xlfn.LET(
     _xlpm.p,TRIM(SUBSTITUTE(Employee_dataset[[#This Row],[Phone]],"-","")),
     IF(
        LEN(_xlpm.p)=10,_xlfn.CONCAT("("&amp;LEFT(_xlpm.p,3)&amp;") "&amp;MID(_xlpm.p,4,3)&amp;"-"&amp;RIGHT(_xlpm.p,4),"")
       )
     )</f>
        <v>(843) 356-7085</v>
      </c>
      <c r="L275" t="str">
        <f>TRIM(Employee_dataset[[#This Row],[Performance_Score]])</f>
        <v>Excellent</v>
      </c>
      <c r="M275" t="str">
        <f>TRIM(Employee_dataset[[#This Row],[Remote_Work]])</f>
        <v>TRUE</v>
      </c>
    </row>
    <row r="276" spans="1:13" x14ac:dyDescent="0.3">
      <c r="A276" t="str">
        <f>TRIM(Employee_dataset[[#This Row],[Employee_ID]])</f>
        <v>EMP1274</v>
      </c>
      <c r="B276" t="str">
        <f>PROPER(TRIM(Employee_dataset[[#This Row],[First_Name]]))</f>
        <v>Frank</v>
      </c>
      <c r="C276" t="str">
        <f>PROPER(TRIM(Employee_dataset[[#This Row],[Last_Name]]))</f>
        <v>Smith</v>
      </c>
      <c r="D276" s="6" t="str">
        <f>_xlfn.LET(
     _xlpm.a, TRIM(Employee_dataset[[#This Row],[Age]]),
     IF(
        _xlpm.a="","",
        IF(
           AND(ISNUMBER(--_xlpm.a),LEN(_xlpm.a)=2),_xlpm.a,""
          )
       )
    )</f>
        <v>35</v>
      </c>
      <c r="E276" t="str">
        <f>TRIM(_xlfn.TEXTBEFORE(Employee_dataset[[#This Row],[Department_Region]],"-"))</f>
        <v>Sales</v>
      </c>
      <c r="F276" t="str">
        <f>TRIM(_xlfn.TEXTAFTER(Employee_dataset[[#This Row],[Department_Region]],"-"))</f>
        <v>Florida</v>
      </c>
      <c r="G276" t="str">
        <f>TRIM(Employee_dataset[[#This Row],[Status]])</f>
        <v>Active</v>
      </c>
      <c r="H276" s="1">
        <f>_xlfn.LET(
     _xlpm.d, Employee_dataset[[#This Row],[Join_Date]],
     IF(
        ISNUMBER(_xlpm.d),_xlpm.d,""
       )
    )</f>
        <v>44335</v>
      </c>
      <c r="I276" s="6">
        <f>_xlfn.LET(
     _xlpm.s, TRIM(Employee_dataset[[#This Row],[Salary]]),
     IF(
        UPPER(_xlpm.s)="N/A","",
        IF(
           ISNUMBER(--_xlpm.s),ROUND(_xlfn.NUMBERVALUE(_xlpm.s),2),""
          )
       )
    )</f>
        <v>69530.45</v>
      </c>
      <c r="J276" t="str">
        <f>TRIM(Employee_dataset[[#This Row],[Email]])</f>
        <v>frank.smith@example.com</v>
      </c>
      <c r="K276" t="b">
        <f>_xlfn.LET(
     _xlpm.p,TRIM(SUBSTITUTE(Employee_dataset[[#This Row],[Phone]],"-","")),
     IF(
        LEN(_xlpm.p)=10,_xlfn.CONCAT("("&amp;LEFT(_xlpm.p,3)&amp;") "&amp;MID(_xlpm.p,4,3)&amp;"-"&amp;RIGHT(_xlpm.p,4),"")
       )
     )</f>
        <v>0</v>
      </c>
      <c r="L276" t="str">
        <f>TRIM(Employee_dataset[[#This Row],[Performance_Score]])</f>
        <v>Poor</v>
      </c>
      <c r="M276" t="str">
        <f>TRIM(Employee_dataset[[#This Row],[Remote_Work]])</f>
        <v>TRUE</v>
      </c>
    </row>
    <row r="277" spans="1:13" x14ac:dyDescent="0.3">
      <c r="A277" t="str">
        <f>TRIM(Employee_dataset[[#This Row],[Employee_ID]])</f>
        <v>EMP1275</v>
      </c>
      <c r="B277" t="str">
        <f>PROPER(TRIM(Employee_dataset[[#This Row],[First_Name]]))</f>
        <v>Eva</v>
      </c>
      <c r="C277" t="str">
        <f>PROPER(TRIM(Employee_dataset[[#This Row],[Last_Name]]))</f>
        <v>Brown</v>
      </c>
      <c r="D277" s="6" t="str">
        <f>_xlfn.LET(
     _xlpm.a, TRIM(Employee_dataset[[#This Row],[Age]]),
     IF(
        _xlpm.a="","",
        IF(
           AND(ISNUMBER(--_xlpm.a),LEN(_xlpm.a)=2),_xlpm.a,""
          )
       )
    )</f>
        <v>35</v>
      </c>
      <c r="E277" t="str">
        <f>TRIM(_xlfn.TEXTBEFORE(Employee_dataset[[#This Row],[Department_Region]],"-"))</f>
        <v>DevOps</v>
      </c>
      <c r="F277" t="str">
        <f>TRIM(_xlfn.TEXTAFTER(Employee_dataset[[#This Row],[Department_Region]],"-"))</f>
        <v>New York</v>
      </c>
      <c r="G277" t="str">
        <f>TRIM(Employee_dataset[[#This Row],[Status]])</f>
        <v>Pending</v>
      </c>
      <c r="H277" s="1">
        <f>_xlfn.LET(
     _xlpm.d, Employee_dataset[[#This Row],[Join_Date]],
     IF(
        ISNUMBER(_xlpm.d),_xlpm.d,""
       )
    )</f>
        <v>45274</v>
      </c>
      <c r="I277" s="6">
        <f>_xlfn.LET(
     _xlpm.s, TRIM(Employee_dataset[[#This Row],[Salary]]),
     IF(
        UPPER(_xlpm.s)="N/A","",
        IF(
           ISNUMBER(--_xlpm.s),ROUND(_xlfn.NUMBERVALUE(_xlpm.s),2),""
          )
       )
    )</f>
        <v>84230.22</v>
      </c>
      <c r="J277" t="str">
        <f>TRIM(Employee_dataset[[#This Row],[Email]])</f>
        <v>eva.brown@example.com</v>
      </c>
      <c r="K277" t="b">
        <f>_xlfn.LET(
     _xlpm.p,TRIM(SUBSTITUTE(Employee_dataset[[#This Row],[Phone]],"-","")),
     IF(
        LEN(_xlpm.p)=10,_xlfn.CONCAT("("&amp;LEFT(_xlpm.p,3)&amp;") "&amp;MID(_xlpm.p,4,3)&amp;"-"&amp;RIGHT(_xlpm.p,4),"")
       )
     )</f>
        <v>0</v>
      </c>
      <c r="L277" t="str">
        <f>TRIM(Employee_dataset[[#This Row],[Performance_Score]])</f>
        <v>Good</v>
      </c>
      <c r="M277" t="str">
        <f>TRIM(Employee_dataset[[#This Row],[Remote_Work]])</f>
        <v>TRUE</v>
      </c>
    </row>
    <row r="278" spans="1:13" x14ac:dyDescent="0.3">
      <c r="A278" t="str">
        <f>TRIM(Employee_dataset[[#This Row],[Employee_ID]])</f>
        <v>EMP1276</v>
      </c>
      <c r="B278" t="str">
        <f>PROPER(TRIM(Employee_dataset[[#This Row],[First_Name]]))</f>
        <v>Eva</v>
      </c>
      <c r="C278" t="str">
        <f>PROPER(TRIM(Employee_dataset[[#This Row],[Last_Name]]))</f>
        <v>Smith</v>
      </c>
      <c r="D278" s="6" t="str">
        <f>_xlfn.LET(
     _xlpm.a, TRIM(Employee_dataset[[#This Row],[Age]]),
     IF(
        _xlpm.a="","",
        IF(
           AND(ISNUMBER(--_xlpm.a),LEN(_xlpm.a)=2),_xlpm.a,""
          )
       )
    )</f>
        <v>35</v>
      </c>
      <c r="E278" t="str">
        <f>TRIM(_xlfn.TEXTBEFORE(Employee_dataset[[#This Row],[Department_Region]],"-"))</f>
        <v>Cloud Tech</v>
      </c>
      <c r="F278" t="str">
        <f>TRIM(_xlfn.TEXTAFTER(Employee_dataset[[#This Row],[Department_Region]],"-"))</f>
        <v>Illinois</v>
      </c>
      <c r="G278" t="str">
        <f>TRIM(Employee_dataset[[#This Row],[Status]])</f>
        <v>Pending</v>
      </c>
      <c r="H278" s="1">
        <f>_xlfn.LET(
     _xlpm.d, Employee_dataset[[#This Row],[Join_Date]],
     IF(
        ISNUMBER(_xlpm.d),_xlpm.d,""
       )
    )</f>
        <v>44943</v>
      </c>
      <c r="I278" s="6">
        <f>_xlfn.LET(
     _xlpm.s, TRIM(Employee_dataset[[#This Row],[Salary]]),
     IF(
        UPPER(_xlpm.s)="N/A","",
        IF(
           ISNUMBER(--_xlpm.s),ROUND(_xlfn.NUMBERVALUE(_xlpm.s),2),""
          )
       )
    )</f>
        <v>76578.59</v>
      </c>
      <c r="J278" t="str">
        <f>TRIM(Employee_dataset[[#This Row],[Email]])</f>
        <v>eva.smith@example.com</v>
      </c>
      <c r="K278" t="str">
        <f>_xlfn.LET(
     _xlpm.p,TRIM(SUBSTITUTE(Employee_dataset[[#This Row],[Phone]],"-","")),
     IF(
        LEN(_xlpm.p)=10,_xlfn.CONCAT("("&amp;LEFT(_xlpm.p,3)&amp;") "&amp;MID(_xlpm.p,4,3)&amp;"-"&amp;RIGHT(_xlpm.p,4),"")
       )
     )</f>
        <v>(916) 247-5540</v>
      </c>
      <c r="L278" t="str">
        <f>TRIM(Employee_dataset[[#This Row],[Performance_Score]])</f>
        <v>Average</v>
      </c>
      <c r="M278" t="str">
        <f>TRIM(Employee_dataset[[#This Row],[Remote_Work]])</f>
        <v>FALSE</v>
      </c>
    </row>
    <row r="279" spans="1:13" x14ac:dyDescent="0.3">
      <c r="A279" t="str">
        <f>TRIM(Employee_dataset[[#This Row],[Employee_ID]])</f>
        <v>EMP1277</v>
      </c>
      <c r="B279" t="str">
        <f>PROPER(TRIM(Employee_dataset[[#This Row],[First_Name]]))</f>
        <v>Frank</v>
      </c>
      <c r="C279" t="str">
        <f>PROPER(TRIM(Employee_dataset[[#This Row],[Last_Name]]))</f>
        <v>Miller</v>
      </c>
      <c r="D279" s="6" t="str">
        <f>_xlfn.LET(
     _xlpm.a, TRIM(Employee_dataset[[#This Row],[Age]]),
     IF(
        _xlpm.a="","",
        IF(
           AND(ISNUMBER(--_xlpm.a),LEN(_xlpm.a)=2),_xlpm.a,""
          )
       )
    )</f>
        <v>30</v>
      </c>
      <c r="E279" t="str">
        <f>TRIM(_xlfn.TEXTBEFORE(Employee_dataset[[#This Row],[Department_Region]],"-"))</f>
        <v>HR</v>
      </c>
      <c r="F279" t="str">
        <f>TRIM(_xlfn.TEXTAFTER(Employee_dataset[[#This Row],[Department_Region]],"-"))</f>
        <v>Texas</v>
      </c>
      <c r="G279" t="str">
        <f>TRIM(Employee_dataset[[#This Row],[Status]])</f>
        <v>Inactive</v>
      </c>
      <c r="H279" s="1">
        <f>_xlfn.LET(
     _xlpm.d, Employee_dataset[[#This Row],[Join_Date]],
     IF(
        ISNUMBER(_xlpm.d),_xlpm.d,""
       )
    )</f>
        <v>45293</v>
      </c>
      <c r="I279" s="6">
        <f>_xlfn.LET(
     _xlpm.s, TRIM(Employee_dataset[[#This Row],[Salary]]),
     IF(
        UPPER(_xlpm.s)="N/A","",
        IF(
           ISNUMBER(--_xlpm.s),ROUND(_xlfn.NUMBERVALUE(_xlpm.s),2),""
          )
       )
    )</f>
        <v>55532.06</v>
      </c>
      <c r="J279" t="str">
        <f>TRIM(Employee_dataset[[#This Row],[Email]])</f>
        <v>frank.miller@example.com</v>
      </c>
      <c r="K279" t="str">
        <f>_xlfn.LET(
     _xlpm.p,TRIM(SUBSTITUTE(Employee_dataset[[#This Row],[Phone]],"-","")),
     IF(
        LEN(_xlpm.p)=10,_xlfn.CONCAT("("&amp;LEFT(_xlpm.p,3)&amp;") "&amp;MID(_xlpm.p,4,3)&amp;"-"&amp;RIGHT(_xlpm.p,4),"")
       )
     )</f>
        <v>(108) 255-5988</v>
      </c>
      <c r="L279" t="str">
        <f>TRIM(Employee_dataset[[#This Row],[Performance_Score]])</f>
        <v>Excellent</v>
      </c>
      <c r="M279" t="str">
        <f>TRIM(Employee_dataset[[#This Row],[Remote_Work]])</f>
        <v>TRUE</v>
      </c>
    </row>
    <row r="280" spans="1:13" x14ac:dyDescent="0.3">
      <c r="A280" t="str">
        <f>TRIM(Employee_dataset[[#This Row],[Employee_ID]])</f>
        <v>EMP1278</v>
      </c>
      <c r="B280" t="str">
        <f>PROPER(TRIM(Employee_dataset[[#This Row],[First_Name]]))</f>
        <v>Eva</v>
      </c>
      <c r="C280" t="str">
        <f>PROPER(TRIM(Employee_dataset[[#This Row],[Last_Name]]))</f>
        <v>Smith</v>
      </c>
      <c r="D280" s="6" t="str">
        <f>_xlfn.LET(
     _xlpm.a, TRIM(Employee_dataset[[#This Row],[Age]]),
     IF(
        _xlpm.a="","",
        IF(
           AND(ISNUMBER(--_xlpm.a),LEN(_xlpm.a)=2),_xlpm.a,""
          )
       )
    )</f>
        <v>40</v>
      </c>
      <c r="E280" t="str">
        <f>TRIM(_xlfn.TEXTBEFORE(Employee_dataset[[#This Row],[Department_Region]],"-"))</f>
        <v>Admin</v>
      </c>
      <c r="F280" t="str">
        <f>TRIM(_xlfn.TEXTAFTER(Employee_dataset[[#This Row],[Department_Region]],"-"))</f>
        <v>New York</v>
      </c>
      <c r="G280" t="str">
        <f>TRIM(Employee_dataset[[#This Row],[Status]])</f>
        <v>Pending</v>
      </c>
      <c r="H280" s="1">
        <f>_xlfn.LET(
     _xlpm.d, Employee_dataset[[#This Row],[Join_Date]],
     IF(
        ISNUMBER(_xlpm.d),_xlpm.d,""
       )
    )</f>
        <v>44386</v>
      </c>
      <c r="I280" s="6">
        <f>_xlfn.LET(
     _xlpm.s, TRIM(Employee_dataset[[#This Row],[Salary]]),
     IF(
        UPPER(_xlpm.s)="N/A","",
        IF(
           ISNUMBER(--_xlpm.s),ROUND(_xlfn.NUMBERVALUE(_xlpm.s),2),""
          )
       )
    )</f>
        <v>115311.67999999999</v>
      </c>
      <c r="J280" t="str">
        <f>TRIM(Employee_dataset[[#This Row],[Email]])</f>
        <v>eva.smith@example.com</v>
      </c>
      <c r="K280" t="str">
        <f>_xlfn.LET(
     _xlpm.p,TRIM(SUBSTITUTE(Employee_dataset[[#This Row],[Phone]],"-","")),
     IF(
        LEN(_xlpm.p)=10,_xlfn.CONCAT("("&amp;LEFT(_xlpm.p,3)&amp;") "&amp;MID(_xlpm.p,4,3)&amp;"-"&amp;RIGHT(_xlpm.p,4),"")
       )
     )</f>
        <v>(534) 396-1128</v>
      </c>
      <c r="L280" t="str">
        <f>TRIM(Employee_dataset[[#This Row],[Performance_Score]])</f>
        <v>Excellent</v>
      </c>
      <c r="M280" t="str">
        <f>TRIM(Employee_dataset[[#This Row],[Remote_Work]])</f>
        <v>TRUE</v>
      </c>
    </row>
    <row r="281" spans="1:13" x14ac:dyDescent="0.3">
      <c r="A281" t="str">
        <f>TRIM(Employee_dataset[[#This Row],[Employee_ID]])</f>
        <v>EMP1279</v>
      </c>
      <c r="B281" t="str">
        <f>PROPER(TRIM(Employee_dataset[[#This Row],[First_Name]]))</f>
        <v>Charlie</v>
      </c>
      <c r="C281" t="str">
        <f>PROPER(TRIM(Employee_dataset[[#This Row],[Last_Name]]))</f>
        <v>Johnson</v>
      </c>
      <c r="D281" s="6" t="str">
        <f>_xlfn.LET(
     _xlpm.a, TRIM(Employee_dataset[[#This Row],[Age]]),
     IF(
        _xlpm.a="","",
        IF(
           AND(ISNUMBER(--_xlpm.a),LEN(_xlpm.a)=2),_xlpm.a,""
          )
       )
    )</f>
        <v>25</v>
      </c>
      <c r="E281" t="str">
        <f>TRIM(_xlfn.TEXTBEFORE(Employee_dataset[[#This Row],[Department_Region]],"-"))</f>
        <v>Sales</v>
      </c>
      <c r="F281" t="str">
        <f>TRIM(_xlfn.TEXTAFTER(Employee_dataset[[#This Row],[Department_Region]],"-"))</f>
        <v>Nevada</v>
      </c>
      <c r="G281" t="str">
        <f>TRIM(Employee_dataset[[#This Row],[Status]])</f>
        <v>Pending</v>
      </c>
      <c r="H281" s="1">
        <f>_xlfn.LET(
     _xlpm.d, Employee_dataset[[#This Row],[Join_Date]],
     IF(
        ISNUMBER(_xlpm.d),_xlpm.d,""
       )
    )</f>
        <v>44321</v>
      </c>
      <c r="I281" s="6">
        <f>_xlfn.LET(
     _xlpm.s, TRIM(Employee_dataset[[#This Row],[Salary]]),
     IF(
        UPPER(_xlpm.s)="N/A","",
        IF(
           ISNUMBER(--_xlpm.s),ROUND(_xlfn.NUMBERVALUE(_xlpm.s),2),""
          )
       )
    )</f>
        <v>66972.06</v>
      </c>
      <c r="J281" t="str">
        <f>TRIM(Employee_dataset[[#This Row],[Email]])</f>
        <v>charlie.johnson@example.com</v>
      </c>
      <c r="K281" t="str">
        <f>_xlfn.LET(
     _xlpm.p,TRIM(SUBSTITUTE(Employee_dataset[[#This Row],[Phone]],"-","")),
     IF(
        LEN(_xlpm.p)=10,_xlfn.CONCAT("("&amp;LEFT(_xlpm.p,3)&amp;") "&amp;MID(_xlpm.p,4,3)&amp;"-"&amp;RIGHT(_xlpm.p,4),"")
       )
     )</f>
        <v>(109) 337-1188</v>
      </c>
      <c r="L281" t="str">
        <f>TRIM(Employee_dataset[[#This Row],[Performance_Score]])</f>
        <v>Good</v>
      </c>
      <c r="M281" t="str">
        <f>TRIM(Employee_dataset[[#This Row],[Remote_Work]])</f>
        <v>TRUE</v>
      </c>
    </row>
    <row r="282" spans="1:13" x14ac:dyDescent="0.3">
      <c r="A282" t="str">
        <f>TRIM(Employee_dataset[[#This Row],[Employee_ID]])</f>
        <v>EMP1280</v>
      </c>
      <c r="B282" t="str">
        <f>PROPER(TRIM(Employee_dataset[[#This Row],[First_Name]]))</f>
        <v>David</v>
      </c>
      <c r="C282" t="str">
        <f>PROPER(TRIM(Employee_dataset[[#This Row],[Last_Name]]))</f>
        <v>Brown</v>
      </c>
      <c r="D282" s="6" t="str">
        <f>_xlfn.LET(
     _xlpm.a, TRIM(Employee_dataset[[#This Row],[Age]]),
     IF(
        _xlpm.a="","",
        IF(
           AND(ISNUMBER(--_xlpm.a),LEN(_xlpm.a)=2),_xlpm.a,""
          )
       )
    )</f>
        <v>30</v>
      </c>
      <c r="E282" t="str">
        <f>TRIM(_xlfn.TEXTBEFORE(Employee_dataset[[#This Row],[Department_Region]],"-"))</f>
        <v>Cloud Tech</v>
      </c>
      <c r="F282" t="str">
        <f>TRIM(_xlfn.TEXTAFTER(Employee_dataset[[#This Row],[Department_Region]],"-"))</f>
        <v>Texas</v>
      </c>
      <c r="G282" t="str">
        <f>TRIM(Employee_dataset[[#This Row],[Status]])</f>
        <v>Inactive</v>
      </c>
      <c r="H282" s="1">
        <f>_xlfn.LET(
     _xlpm.d, Employee_dataset[[#This Row],[Join_Date]],
     IF(
        ISNUMBER(_xlpm.d),_xlpm.d,""
       )
    )</f>
        <v>44507</v>
      </c>
      <c r="I282" s="6">
        <f>_xlfn.LET(
     _xlpm.s, TRIM(Employee_dataset[[#This Row],[Salary]]),
     IF(
        UPPER(_xlpm.s)="N/A","",
        IF(
           ISNUMBER(--_xlpm.s),ROUND(_xlfn.NUMBERVALUE(_xlpm.s),2),""
          )
       )
    )</f>
        <v>100215.06</v>
      </c>
      <c r="J282" t="str">
        <f>TRIM(Employee_dataset[[#This Row],[Email]])</f>
        <v>david.brown@example.com</v>
      </c>
      <c r="K282" t="str">
        <f>_xlfn.LET(
     _xlpm.p,TRIM(SUBSTITUTE(Employee_dataset[[#This Row],[Phone]],"-","")),
     IF(
        LEN(_xlpm.p)=10,_xlfn.CONCAT("("&amp;LEFT(_xlpm.p,3)&amp;") "&amp;MID(_xlpm.p,4,3)&amp;"-"&amp;RIGHT(_xlpm.p,4),"")
       )
     )</f>
        <v>(547) 382-0235</v>
      </c>
      <c r="L282" t="str">
        <f>TRIM(Employee_dataset[[#This Row],[Performance_Score]])</f>
        <v>Average</v>
      </c>
      <c r="M282" t="str">
        <f>TRIM(Employee_dataset[[#This Row],[Remote_Work]])</f>
        <v>TRUE</v>
      </c>
    </row>
    <row r="283" spans="1:13" x14ac:dyDescent="0.3">
      <c r="A283" t="str">
        <f>TRIM(Employee_dataset[[#This Row],[Employee_ID]])</f>
        <v>EMP1281</v>
      </c>
      <c r="B283" t="str">
        <f>PROPER(TRIM(Employee_dataset[[#This Row],[First_Name]]))</f>
        <v>Charlie</v>
      </c>
      <c r="C283" t="str">
        <f>PROPER(TRIM(Employee_dataset[[#This Row],[Last_Name]]))</f>
        <v>Brown</v>
      </c>
      <c r="D283" s="6" t="str">
        <f>_xlfn.LET(
     _xlpm.a, TRIM(Employee_dataset[[#This Row],[Age]]),
     IF(
        _xlpm.a="","",
        IF(
           AND(ISNUMBER(--_xlpm.a),LEN(_xlpm.a)=2),_xlpm.a,""
          )
       )
    )</f>
        <v>25</v>
      </c>
      <c r="E283" t="str">
        <f>TRIM(_xlfn.TEXTBEFORE(Employee_dataset[[#This Row],[Department_Region]],"-"))</f>
        <v>Sales</v>
      </c>
      <c r="F283" t="str">
        <f>TRIM(_xlfn.TEXTAFTER(Employee_dataset[[#This Row],[Department_Region]],"-"))</f>
        <v>New York</v>
      </c>
      <c r="G283" t="str">
        <f>TRIM(Employee_dataset[[#This Row],[Status]])</f>
        <v>Inactive</v>
      </c>
      <c r="H283" s="1">
        <f>_xlfn.LET(
     _xlpm.d, Employee_dataset[[#This Row],[Join_Date]],
     IF(
        ISNUMBER(_xlpm.d),_xlpm.d,""
       )
    )</f>
        <v>45168</v>
      </c>
      <c r="I283" s="6">
        <f>_xlfn.LET(
     _xlpm.s, TRIM(Employee_dataset[[#This Row],[Salary]]),
     IF(
        UPPER(_xlpm.s)="N/A","",
        IF(
           ISNUMBER(--_xlpm.s),ROUND(_xlfn.NUMBERVALUE(_xlpm.s),2),""
          )
       )
    )</f>
        <v>115452.25</v>
      </c>
      <c r="J283" t="str">
        <f>TRIM(Employee_dataset[[#This Row],[Email]])</f>
        <v>charlie.brown@example.com</v>
      </c>
      <c r="K283" t="str">
        <f>_xlfn.LET(
     _xlpm.p,TRIM(SUBSTITUTE(Employee_dataset[[#This Row],[Phone]],"-","")),
     IF(
        LEN(_xlpm.p)=10,_xlfn.CONCAT("("&amp;LEFT(_xlpm.p,3)&amp;") "&amp;MID(_xlpm.p,4,3)&amp;"-"&amp;RIGHT(_xlpm.p,4),"")
       )
     )</f>
        <v>(848) 557-1616</v>
      </c>
      <c r="L283" t="str">
        <f>TRIM(Employee_dataset[[#This Row],[Performance_Score]])</f>
        <v>Poor</v>
      </c>
      <c r="M283" t="str">
        <f>TRIM(Employee_dataset[[#This Row],[Remote_Work]])</f>
        <v>FALSE</v>
      </c>
    </row>
    <row r="284" spans="1:13" x14ac:dyDescent="0.3">
      <c r="A284" t="str">
        <f>TRIM(Employee_dataset[[#This Row],[Employee_ID]])</f>
        <v>EMP1282</v>
      </c>
      <c r="B284" t="str">
        <f>PROPER(TRIM(Employee_dataset[[#This Row],[First_Name]]))</f>
        <v>Heidi</v>
      </c>
      <c r="C284" t="str">
        <f>PROPER(TRIM(Employee_dataset[[#This Row],[Last_Name]]))</f>
        <v>Miller</v>
      </c>
      <c r="D284" s="6" t="str">
        <f>_xlfn.LET(
     _xlpm.a, TRIM(Employee_dataset[[#This Row],[Age]]),
     IF(
        _xlpm.a="","",
        IF(
           AND(ISNUMBER(--_xlpm.a),LEN(_xlpm.a)=2),_xlpm.a,""
          )
       )
    )</f>
        <v>30</v>
      </c>
      <c r="E284" t="str">
        <f>TRIM(_xlfn.TEXTBEFORE(Employee_dataset[[#This Row],[Department_Region]],"-"))</f>
        <v>HR</v>
      </c>
      <c r="F284" t="str">
        <f>TRIM(_xlfn.TEXTAFTER(Employee_dataset[[#This Row],[Department_Region]],"-"))</f>
        <v>California</v>
      </c>
      <c r="G284" t="str">
        <f>TRIM(Employee_dataset[[#This Row],[Status]])</f>
        <v>Inactive</v>
      </c>
      <c r="H284" s="1">
        <f>_xlfn.LET(
     _xlpm.d, Employee_dataset[[#This Row],[Join_Date]],
     IF(
        ISNUMBER(_xlpm.d),_xlpm.d,""
       )
    )</f>
        <v>45153</v>
      </c>
      <c r="I284" s="6">
        <f>_xlfn.LET(
     _xlpm.s, TRIM(Employee_dataset[[#This Row],[Salary]]),
     IF(
        UPPER(_xlpm.s)="N/A","",
        IF(
           ISNUMBER(--_xlpm.s),ROUND(_xlfn.NUMBERVALUE(_xlpm.s),2),""
          )
       )
    )</f>
        <v>54141.38</v>
      </c>
      <c r="J284" t="str">
        <f>TRIM(Employee_dataset[[#This Row],[Email]])</f>
        <v>heidi.miller@example.com</v>
      </c>
      <c r="K284" t="str">
        <f>_xlfn.LET(
     _xlpm.p,TRIM(SUBSTITUTE(Employee_dataset[[#This Row],[Phone]],"-","")),
     IF(
        LEN(_xlpm.p)=10,_xlfn.CONCAT("("&amp;LEFT(_xlpm.p,3)&amp;") "&amp;MID(_xlpm.p,4,3)&amp;"-"&amp;RIGHT(_xlpm.p,4),"")
       )
     )</f>
        <v>(688) 029-4239</v>
      </c>
      <c r="L284" t="str">
        <f>TRIM(Employee_dataset[[#This Row],[Performance_Score]])</f>
        <v>Average</v>
      </c>
      <c r="M284" t="str">
        <f>TRIM(Employee_dataset[[#This Row],[Remote_Work]])</f>
        <v>FALSE</v>
      </c>
    </row>
    <row r="285" spans="1:13" x14ac:dyDescent="0.3">
      <c r="A285" t="str">
        <f>TRIM(Employee_dataset[[#This Row],[Employee_ID]])</f>
        <v>EMP1283</v>
      </c>
      <c r="B285" t="str">
        <f>PROPER(TRIM(Employee_dataset[[#This Row],[First_Name]]))</f>
        <v>David</v>
      </c>
      <c r="C285" t="str">
        <f>PROPER(TRIM(Employee_dataset[[#This Row],[Last_Name]]))</f>
        <v>Davis</v>
      </c>
      <c r="D285" s="6" t="str">
        <f>_xlfn.LET(
     _xlpm.a, TRIM(Employee_dataset[[#This Row],[Age]]),
     IF(
        _xlpm.a="","",
        IF(
           AND(ISNUMBER(--_xlpm.a),LEN(_xlpm.a)=2),_xlpm.a,""
          )
       )
    )</f>
        <v/>
      </c>
      <c r="E285" t="str">
        <f>TRIM(_xlfn.TEXTBEFORE(Employee_dataset[[#This Row],[Department_Region]],"-"))</f>
        <v>DevOps</v>
      </c>
      <c r="F285" t="str">
        <f>TRIM(_xlfn.TEXTAFTER(Employee_dataset[[#This Row],[Department_Region]],"-"))</f>
        <v>Nevada</v>
      </c>
      <c r="G285" t="str">
        <f>TRIM(Employee_dataset[[#This Row],[Status]])</f>
        <v>Active</v>
      </c>
      <c r="H285" s="1">
        <f>_xlfn.LET(
     _xlpm.d, Employee_dataset[[#This Row],[Join_Date]],
     IF(
        ISNUMBER(_xlpm.d),_xlpm.d,""
       )
    )</f>
        <v>44189</v>
      </c>
      <c r="I285" s="6">
        <f>_xlfn.LET(
     _xlpm.s, TRIM(Employee_dataset[[#This Row],[Salary]]),
     IF(
        UPPER(_xlpm.s)="N/A","",
        IF(
           ISNUMBER(--_xlpm.s),ROUND(_xlfn.NUMBERVALUE(_xlpm.s),2),""
          )
       )
    )</f>
        <v>79251.95</v>
      </c>
      <c r="J285" t="str">
        <f>TRIM(Employee_dataset[[#This Row],[Email]])</f>
        <v>david.davis@example.com</v>
      </c>
      <c r="K285" t="str">
        <f>_xlfn.LET(
     _xlpm.p,TRIM(SUBSTITUTE(Employee_dataset[[#This Row],[Phone]],"-","")),
     IF(
        LEN(_xlpm.p)=10,_xlfn.CONCAT("("&amp;LEFT(_xlpm.p,3)&amp;") "&amp;MID(_xlpm.p,4,3)&amp;"-"&amp;RIGHT(_xlpm.p,4),"")
       )
     )</f>
        <v>(903) 678-8126</v>
      </c>
      <c r="L285" t="str">
        <f>TRIM(Employee_dataset[[#This Row],[Performance_Score]])</f>
        <v>Good</v>
      </c>
      <c r="M285" t="str">
        <f>TRIM(Employee_dataset[[#This Row],[Remote_Work]])</f>
        <v>FALSE</v>
      </c>
    </row>
    <row r="286" spans="1:13" x14ac:dyDescent="0.3">
      <c r="A286" t="str">
        <f>TRIM(Employee_dataset[[#This Row],[Employee_ID]])</f>
        <v>EMP1284</v>
      </c>
      <c r="B286" t="str">
        <f>PROPER(TRIM(Employee_dataset[[#This Row],[First_Name]]))</f>
        <v>Alice</v>
      </c>
      <c r="C286" t="str">
        <f>PROPER(TRIM(Employee_dataset[[#This Row],[Last_Name]]))</f>
        <v>Johnson</v>
      </c>
      <c r="D286" s="6" t="str">
        <f>_xlfn.LET(
     _xlpm.a, TRIM(Employee_dataset[[#This Row],[Age]]),
     IF(
        _xlpm.a="","",
        IF(
           AND(ISNUMBER(--_xlpm.a),LEN(_xlpm.a)=2),_xlpm.a,""
          )
       )
    )</f>
        <v>40</v>
      </c>
      <c r="E286" t="str">
        <f>TRIM(_xlfn.TEXTBEFORE(Employee_dataset[[#This Row],[Department_Region]],"-"))</f>
        <v>Finance</v>
      </c>
      <c r="F286" t="str">
        <f>TRIM(_xlfn.TEXTAFTER(Employee_dataset[[#This Row],[Department_Region]],"-"))</f>
        <v>New York</v>
      </c>
      <c r="G286" t="str">
        <f>TRIM(Employee_dataset[[#This Row],[Status]])</f>
        <v>Pending</v>
      </c>
      <c r="H286" s="1">
        <f>_xlfn.LET(
     _xlpm.d, Employee_dataset[[#This Row],[Join_Date]],
     IF(
        ISNUMBER(_xlpm.d),_xlpm.d,""
       )
    )</f>
        <v>45617</v>
      </c>
      <c r="I286" s="6">
        <f>_xlfn.LET(
     _xlpm.s, TRIM(Employee_dataset[[#This Row],[Salary]]),
     IF(
        UPPER(_xlpm.s)="N/A","",
        IF(
           ISNUMBER(--_xlpm.s),ROUND(_xlfn.NUMBERVALUE(_xlpm.s),2),""
          )
       )
    )</f>
        <v>114822.78</v>
      </c>
      <c r="J286" t="str">
        <f>TRIM(Employee_dataset[[#This Row],[Email]])</f>
        <v>alice.johnson@example.com</v>
      </c>
      <c r="K286" t="str">
        <f>_xlfn.LET(
     _xlpm.p,TRIM(SUBSTITUTE(Employee_dataset[[#This Row],[Phone]],"-","")),
     IF(
        LEN(_xlpm.p)=10,_xlfn.CONCAT("("&amp;LEFT(_xlpm.p,3)&amp;") "&amp;MID(_xlpm.p,4,3)&amp;"-"&amp;RIGHT(_xlpm.p,4),"")
       )
     )</f>
        <v>(868) 669-4319</v>
      </c>
      <c r="L286" t="str">
        <f>TRIM(Employee_dataset[[#This Row],[Performance_Score]])</f>
        <v>Good</v>
      </c>
      <c r="M286" t="str">
        <f>TRIM(Employee_dataset[[#This Row],[Remote_Work]])</f>
        <v>TRUE</v>
      </c>
    </row>
    <row r="287" spans="1:13" x14ac:dyDescent="0.3">
      <c r="A287" t="str">
        <f>TRIM(Employee_dataset[[#This Row],[Employee_ID]])</f>
        <v>EMP1285</v>
      </c>
      <c r="B287" t="str">
        <f>PROPER(TRIM(Employee_dataset[[#This Row],[First_Name]]))</f>
        <v>Alice</v>
      </c>
      <c r="C287" t="str">
        <f>PROPER(TRIM(Employee_dataset[[#This Row],[Last_Name]]))</f>
        <v>Williams</v>
      </c>
      <c r="D287" s="6" t="str">
        <f>_xlfn.LET(
     _xlpm.a, TRIM(Employee_dataset[[#This Row],[Age]]),
     IF(
        _xlpm.a="","",
        IF(
           AND(ISNUMBER(--_xlpm.a),LEN(_xlpm.a)=2),_xlpm.a,""
          )
       )
    )</f>
        <v>35</v>
      </c>
      <c r="E287" t="str">
        <f>TRIM(_xlfn.TEXTBEFORE(Employee_dataset[[#This Row],[Department_Region]],"-"))</f>
        <v>Sales</v>
      </c>
      <c r="F287" t="str">
        <f>TRIM(_xlfn.TEXTAFTER(Employee_dataset[[#This Row],[Department_Region]],"-"))</f>
        <v>Illinois</v>
      </c>
      <c r="G287" t="str">
        <f>TRIM(Employee_dataset[[#This Row],[Status]])</f>
        <v>Active</v>
      </c>
      <c r="H287" s="1">
        <f>_xlfn.LET(
     _xlpm.d, Employee_dataset[[#This Row],[Join_Date]],
     IF(
        ISNUMBER(_xlpm.d),_xlpm.d,""
       )
    )</f>
        <v>44517</v>
      </c>
      <c r="I287" s="6">
        <f>_xlfn.LET(
     _xlpm.s, TRIM(Employee_dataset[[#This Row],[Salary]]),
     IF(
        UPPER(_xlpm.s)="N/A","",
        IF(
           ISNUMBER(--_xlpm.s),ROUND(_xlfn.NUMBERVALUE(_xlpm.s),2),""
          )
       )
    )</f>
        <v>69919.320000000007</v>
      </c>
      <c r="J287" t="str">
        <f>TRIM(Employee_dataset[[#This Row],[Email]])</f>
        <v>alice.williams@example.com</v>
      </c>
      <c r="K287" t="str">
        <f>_xlfn.LET(
     _xlpm.p,TRIM(SUBSTITUTE(Employee_dataset[[#This Row],[Phone]],"-","")),
     IF(
        LEN(_xlpm.p)=10,_xlfn.CONCAT("("&amp;LEFT(_xlpm.p,3)&amp;") "&amp;MID(_xlpm.p,4,3)&amp;"-"&amp;RIGHT(_xlpm.p,4),"")
       )
     )</f>
        <v>(293) 908-7883</v>
      </c>
      <c r="L287" t="str">
        <f>TRIM(Employee_dataset[[#This Row],[Performance_Score]])</f>
        <v>Average</v>
      </c>
      <c r="M287" t="str">
        <f>TRIM(Employee_dataset[[#This Row],[Remote_Work]])</f>
        <v>TRUE</v>
      </c>
    </row>
    <row r="288" spans="1:13" x14ac:dyDescent="0.3">
      <c r="A288" t="str">
        <f>TRIM(Employee_dataset[[#This Row],[Employee_ID]])</f>
        <v>EMP1286</v>
      </c>
      <c r="B288" t="str">
        <f>PROPER(TRIM(Employee_dataset[[#This Row],[First_Name]]))</f>
        <v>Heidi</v>
      </c>
      <c r="C288" t="str">
        <f>PROPER(TRIM(Employee_dataset[[#This Row],[Last_Name]]))</f>
        <v>Smith</v>
      </c>
      <c r="D288" s="6" t="str">
        <f>_xlfn.LET(
     _xlpm.a, TRIM(Employee_dataset[[#This Row],[Age]]),
     IF(
        _xlpm.a="","",
        IF(
           AND(ISNUMBER(--_xlpm.a),LEN(_xlpm.a)=2),_xlpm.a,""
          )
       )
    )</f>
        <v>30</v>
      </c>
      <c r="E288" t="str">
        <f>TRIM(_xlfn.TEXTBEFORE(Employee_dataset[[#This Row],[Department_Region]],"-"))</f>
        <v>Sales</v>
      </c>
      <c r="F288" t="str">
        <f>TRIM(_xlfn.TEXTAFTER(Employee_dataset[[#This Row],[Department_Region]],"-"))</f>
        <v>Florida</v>
      </c>
      <c r="G288" t="str">
        <f>TRIM(Employee_dataset[[#This Row],[Status]])</f>
        <v>Inactive</v>
      </c>
      <c r="H288" s="1">
        <f>_xlfn.LET(
     _xlpm.d, Employee_dataset[[#This Row],[Join_Date]],
     IF(
        ISNUMBER(_xlpm.d),_xlpm.d,""
       )
    )</f>
        <v>44225</v>
      </c>
      <c r="I288" s="6">
        <f>_xlfn.LET(
     _xlpm.s, TRIM(Employee_dataset[[#This Row],[Salary]]),
     IF(
        UPPER(_xlpm.s)="N/A","",
        IF(
           ISNUMBER(--_xlpm.s),ROUND(_xlfn.NUMBERVALUE(_xlpm.s),2),""
          )
       )
    )</f>
        <v>106616.97</v>
      </c>
      <c r="J288" t="str">
        <f>TRIM(Employee_dataset[[#This Row],[Email]])</f>
        <v>heidi.smith@example.com</v>
      </c>
      <c r="K288" t="str">
        <f>_xlfn.LET(
     _xlpm.p,TRIM(SUBSTITUTE(Employee_dataset[[#This Row],[Phone]],"-","")),
     IF(
        LEN(_xlpm.p)=10,_xlfn.CONCAT("("&amp;LEFT(_xlpm.p,3)&amp;") "&amp;MID(_xlpm.p,4,3)&amp;"-"&amp;RIGHT(_xlpm.p,4),"")
       )
     )</f>
        <v>(434) 481-2307</v>
      </c>
      <c r="L288" t="str">
        <f>TRIM(Employee_dataset[[#This Row],[Performance_Score]])</f>
        <v>Poor</v>
      </c>
      <c r="M288" t="str">
        <f>TRIM(Employee_dataset[[#This Row],[Remote_Work]])</f>
        <v>FALSE</v>
      </c>
    </row>
    <row r="289" spans="1:13" x14ac:dyDescent="0.3">
      <c r="A289" t="str">
        <f>TRIM(Employee_dataset[[#This Row],[Employee_ID]])</f>
        <v>EMP1287</v>
      </c>
      <c r="B289" t="str">
        <f>PROPER(TRIM(Employee_dataset[[#This Row],[First_Name]]))</f>
        <v>Heidi</v>
      </c>
      <c r="C289" t="str">
        <f>PROPER(TRIM(Employee_dataset[[#This Row],[Last_Name]]))</f>
        <v>Jones</v>
      </c>
      <c r="D289" s="6" t="str">
        <f>_xlfn.LET(
     _xlpm.a, TRIM(Employee_dataset[[#This Row],[Age]]),
     IF(
        _xlpm.a="","",
        IF(
           AND(ISNUMBER(--_xlpm.a),LEN(_xlpm.a)=2),_xlpm.a,""
          )
       )
    )</f>
        <v>35</v>
      </c>
      <c r="E289" t="str">
        <f>TRIM(_xlfn.TEXTBEFORE(Employee_dataset[[#This Row],[Department_Region]],"-"))</f>
        <v>DevOps</v>
      </c>
      <c r="F289" t="str">
        <f>TRIM(_xlfn.TEXTAFTER(Employee_dataset[[#This Row],[Department_Region]],"-"))</f>
        <v>New York</v>
      </c>
      <c r="G289" t="str">
        <f>TRIM(Employee_dataset[[#This Row],[Status]])</f>
        <v>Active</v>
      </c>
      <c r="H289" s="1">
        <f>_xlfn.LET(
     _xlpm.d, Employee_dataset[[#This Row],[Join_Date]],
     IF(
        ISNUMBER(_xlpm.d),_xlpm.d,""
       )
    )</f>
        <v>45339</v>
      </c>
      <c r="I289" s="6">
        <f>_xlfn.LET(
     _xlpm.s, TRIM(Employee_dataset[[#This Row],[Salary]]),
     IF(
        UPPER(_xlpm.s)="N/A","",
        IF(
           ISNUMBER(--_xlpm.s),ROUND(_xlfn.NUMBERVALUE(_xlpm.s),2),""
          )
       )
    )</f>
        <v>73597.850000000006</v>
      </c>
      <c r="J289" t="str">
        <f>TRIM(Employee_dataset[[#This Row],[Email]])</f>
        <v>heidi.jones@example.com</v>
      </c>
      <c r="K289" t="str">
        <f>_xlfn.LET(
     _xlpm.p,TRIM(SUBSTITUTE(Employee_dataset[[#This Row],[Phone]],"-","")),
     IF(
        LEN(_xlpm.p)=10,_xlfn.CONCAT("("&amp;LEFT(_xlpm.p,3)&amp;") "&amp;MID(_xlpm.p,4,3)&amp;"-"&amp;RIGHT(_xlpm.p,4),"")
       )
     )</f>
        <v>(340) 242-4032</v>
      </c>
      <c r="L289" t="str">
        <f>TRIM(Employee_dataset[[#This Row],[Performance_Score]])</f>
        <v>Poor</v>
      </c>
      <c r="M289" t="str">
        <f>TRIM(Employee_dataset[[#This Row],[Remote_Work]])</f>
        <v>TRUE</v>
      </c>
    </row>
    <row r="290" spans="1:13" x14ac:dyDescent="0.3">
      <c r="A290" t="str">
        <f>TRIM(Employee_dataset[[#This Row],[Employee_ID]])</f>
        <v>EMP1288</v>
      </c>
      <c r="B290" t="str">
        <f>PROPER(TRIM(Employee_dataset[[#This Row],[First_Name]]))</f>
        <v>David</v>
      </c>
      <c r="C290" t="str">
        <f>PROPER(TRIM(Employee_dataset[[#This Row],[Last_Name]]))</f>
        <v>Smith</v>
      </c>
      <c r="D290" s="6" t="str">
        <f>_xlfn.LET(
     _xlpm.a, TRIM(Employee_dataset[[#This Row],[Age]]),
     IF(
        _xlpm.a="","",
        IF(
           AND(ISNUMBER(--_xlpm.a),LEN(_xlpm.a)=2),_xlpm.a,""
          )
       )
    )</f>
        <v>30</v>
      </c>
      <c r="E290" t="str">
        <f>TRIM(_xlfn.TEXTBEFORE(Employee_dataset[[#This Row],[Department_Region]],"-"))</f>
        <v>Sales</v>
      </c>
      <c r="F290" t="str">
        <f>TRIM(_xlfn.TEXTAFTER(Employee_dataset[[#This Row],[Department_Region]],"-"))</f>
        <v>Nevada</v>
      </c>
      <c r="G290" t="str">
        <f>TRIM(Employee_dataset[[#This Row],[Status]])</f>
        <v>Inactive</v>
      </c>
      <c r="H290" s="1">
        <f>_xlfn.LET(
     _xlpm.d, Employee_dataset[[#This Row],[Join_Date]],
     IF(
        ISNUMBER(_xlpm.d),_xlpm.d,""
       )
    )</f>
        <v>45524</v>
      </c>
      <c r="I290" s="6">
        <f>_xlfn.LET(
     _xlpm.s, TRIM(Employee_dataset[[#This Row],[Salary]]),
     IF(
        UPPER(_xlpm.s)="N/A","",
        IF(
           ISNUMBER(--_xlpm.s),ROUND(_xlfn.NUMBERVALUE(_xlpm.s),2),""
          )
       )
    )</f>
        <v>79939.23</v>
      </c>
      <c r="J290" t="str">
        <f>TRIM(Employee_dataset[[#This Row],[Email]])</f>
        <v>david.smith@example.com</v>
      </c>
      <c r="K290" t="str">
        <f>_xlfn.LET(
     _xlpm.p,TRIM(SUBSTITUTE(Employee_dataset[[#This Row],[Phone]],"-","")),
     IF(
        LEN(_xlpm.p)=10,_xlfn.CONCAT("("&amp;LEFT(_xlpm.p,3)&amp;") "&amp;MID(_xlpm.p,4,3)&amp;"-"&amp;RIGHT(_xlpm.p,4),"")
       )
     )</f>
        <v>(810) 595-5183</v>
      </c>
      <c r="L290" t="str">
        <f>TRIM(Employee_dataset[[#This Row],[Performance_Score]])</f>
        <v>Excellent</v>
      </c>
      <c r="M290" t="str">
        <f>TRIM(Employee_dataset[[#This Row],[Remote_Work]])</f>
        <v>TRUE</v>
      </c>
    </row>
    <row r="291" spans="1:13" x14ac:dyDescent="0.3">
      <c r="A291" t="str">
        <f>TRIM(Employee_dataset[[#This Row],[Employee_ID]])</f>
        <v>EMP1289</v>
      </c>
      <c r="B291" t="str">
        <f>PROPER(TRIM(Employee_dataset[[#This Row],[First_Name]]))</f>
        <v>Grace</v>
      </c>
      <c r="C291" t="str">
        <f>PROPER(TRIM(Employee_dataset[[#This Row],[Last_Name]]))</f>
        <v>Garcia</v>
      </c>
      <c r="D291" s="6" t="str">
        <f>_xlfn.LET(
     _xlpm.a, TRIM(Employee_dataset[[#This Row],[Age]]),
     IF(
        _xlpm.a="","",
        IF(
           AND(ISNUMBER(--_xlpm.a),LEN(_xlpm.a)=2),_xlpm.a,""
          )
       )
    )</f>
        <v>25</v>
      </c>
      <c r="E291" t="str">
        <f>TRIM(_xlfn.TEXTBEFORE(Employee_dataset[[#This Row],[Department_Region]],"-"))</f>
        <v>Admin</v>
      </c>
      <c r="F291" t="str">
        <f>TRIM(_xlfn.TEXTAFTER(Employee_dataset[[#This Row],[Department_Region]],"-"))</f>
        <v>New York</v>
      </c>
      <c r="G291" t="str">
        <f>TRIM(Employee_dataset[[#This Row],[Status]])</f>
        <v>Inactive</v>
      </c>
      <c r="H291" s="1">
        <f>_xlfn.LET(
     _xlpm.d, Employee_dataset[[#This Row],[Join_Date]],
     IF(
        ISNUMBER(_xlpm.d),_xlpm.d,""
       )
    )</f>
        <v>44493</v>
      </c>
      <c r="I291" s="6" t="str">
        <f>_xlfn.LET(
     _xlpm.s, TRIM(Employee_dataset[[#This Row],[Salary]]),
     IF(
        UPPER(_xlpm.s)="N/A","",
        IF(
           ISNUMBER(--_xlpm.s),ROUND(_xlfn.NUMBERVALUE(_xlpm.s),2),""
          )
       )
    )</f>
        <v/>
      </c>
      <c r="J291" t="str">
        <f>TRIM(Employee_dataset[[#This Row],[Email]])</f>
        <v>grace.garcia@example.com</v>
      </c>
      <c r="K291" t="str">
        <f>_xlfn.LET(
     _xlpm.p,TRIM(SUBSTITUTE(Employee_dataset[[#This Row],[Phone]],"-","")),
     IF(
        LEN(_xlpm.p)=10,_xlfn.CONCAT("("&amp;LEFT(_xlpm.p,3)&amp;") "&amp;MID(_xlpm.p,4,3)&amp;"-"&amp;RIGHT(_xlpm.p,4),"")
       )
     )</f>
        <v>(269) 450-0533</v>
      </c>
      <c r="L291" t="str">
        <f>TRIM(Employee_dataset[[#This Row],[Performance_Score]])</f>
        <v>Poor</v>
      </c>
      <c r="M291" t="str">
        <f>TRIM(Employee_dataset[[#This Row],[Remote_Work]])</f>
        <v>FALSE</v>
      </c>
    </row>
    <row r="292" spans="1:13" x14ac:dyDescent="0.3">
      <c r="A292" t="str">
        <f>TRIM(Employee_dataset[[#This Row],[Employee_ID]])</f>
        <v>EMP1290</v>
      </c>
      <c r="B292" t="str">
        <f>PROPER(TRIM(Employee_dataset[[#This Row],[First_Name]]))</f>
        <v>Grace</v>
      </c>
      <c r="C292" t="str">
        <f>PROPER(TRIM(Employee_dataset[[#This Row],[Last_Name]]))</f>
        <v>Smith</v>
      </c>
      <c r="D292" s="6" t="str">
        <f>_xlfn.LET(
     _xlpm.a, TRIM(Employee_dataset[[#This Row],[Age]]),
     IF(
        _xlpm.a="","",
        IF(
           AND(ISNUMBER(--_xlpm.a),LEN(_xlpm.a)=2),_xlpm.a,""
          )
       )
    )</f>
        <v>30</v>
      </c>
      <c r="E292" t="str">
        <f>TRIM(_xlfn.TEXTBEFORE(Employee_dataset[[#This Row],[Department_Region]],"-"))</f>
        <v>Finance</v>
      </c>
      <c r="F292" t="str">
        <f>TRIM(_xlfn.TEXTAFTER(Employee_dataset[[#This Row],[Department_Region]],"-"))</f>
        <v>California</v>
      </c>
      <c r="G292" t="str">
        <f>TRIM(Employee_dataset[[#This Row],[Status]])</f>
        <v>Inactive</v>
      </c>
      <c r="H292" s="1">
        <f>_xlfn.LET(
     _xlpm.d, Employee_dataset[[#This Row],[Join_Date]],
     IF(
        ISNUMBER(_xlpm.d),_xlpm.d,""
       )
    )</f>
        <v>44449</v>
      </c>
      <c r="I292" s="6">
        <f>_xlfn.LET(
     _xlpm.s, TRIM(Employee_dataset[[#This Row],[Salary]]),
     IF(
        UPPER(_xlpm.s)="N/A","",
        IF(
           ISNUMBER(--_xlpm.s),ROUND(_xlfn.NUMBERVALUE(_xlpm.s),2),""
          )
       )
    )</f>
        <v>90772.25</v>
      </c>
      <c r="J292" t="str">
        <f>TRIM(Employee_dataset[[#This Row],[Email]])</f>
        <v>grace.smith@example.com</v>
      </c>
      <c r="K292" t="str">
        <f>_xlfn.LET(
     _xlpm.p,TRIM(SUBSTITUTE(Employee_dataset[[#This Row],[Phone]],"-","")),
     IF(
        LEN(_xlpm.p)=10,_xlfn.CONCAT("("&amp;LEFT(_xlpm.p,3)&amp;") "&amp;MID(_xlpm.p,4,3)&amp;"-"&amp;RIGHT(_xlpm.p,4),"")
       )
     )</f>
        <v>(240) 891-6497</v>
      </c>
      <c r="L292" t="str">
        <f>TRIM(Employee_dataset[[#This Row],[Performance_Score]])</f>
        <v>Average</v>
      </c>
      <c r="M292" t="str">
        <f>TRIM(Employee_dataset[[#This Row],[Remote_Work]])</f>
        <v>FALSE</v>
      </c>
    </row>
    <row r="293" spans="1:13" x14ac:dyDescent="0.3">
      <c r="A293" t="str">
        <f>TRIM(Employee_dataset[[#This Row],[Employee_ID]])</f>
        <v>EMP1291</v>
      </c>
      <c r="B293" t="str">
        <f>PROPER(TRIM(Employee_dataset[[#This Row],[First_Name]]))</f>
        <v>Eva</v>
      </c>
      <c r="C293" t="str">
        <f>PROPER(TRIM(Employee_dataset[[#This Row],[Last_Name]]))</f>
        <v>Williams</v>
      </c>
      <c r="D293" s="6" t="str">
        <f>_xlfn.LET(
     _xlpm.a, TRIM(Employee_dataset[[#This Row],[Age]]),
     IF(
        _xlpm.a="","",
        IF(
           AND(ISNUMBER(--_xlpm.a),LEN(_xlpm.a)=2),_xlpm.a,""
          )
       )
    )</f>
        <v>35</v>
      </c>
      <c r="E293" t="str">
        <f>TRIM(_xlfn.TEXTBEFORE(Employee_dataset[[#This Row],[Department_Region]],"-"))</f>
        <v>DevOps</v>
      </c>
      <c r="F293" t="str">
        <f>TRIM(_xlfn.TEXTAFTER(Employee_dataset[[#This Row],[Department_Region]],"-"))</f>
        <v>New York</v>
      </c>
      <c r="G293" t="str">
        <f>TRIM(Employee_dataset[[#This Row],[Status]])</f>
        <v>Active</v>
      </c>
      <c r="H293" s="1">
        <f>_xlfn.LET(
     _xlpm.d, Employee_dataset[[#This Row],[Join_Date]],
     IF(
        ISNUMBER(_xlpm.d),_xlpm.d,""
       )
    )</f>
        <v>45198</v>
      </c>
      <c r="I293" s="6">
        <f>_xlfn.LET(
     _xlpm.s, TRIM(Employee_dataset[[#This Row],[Salary]]),
     IF(
        UPPER(_xlpm.s)="N/A","",
        IF(
           ISNUMBER(--_xlpm.s),ROUND(_xlfn.NUMBERVALUE(_xlpm.s),2),""
          )
       )
    )</f>
        <v>58275.74</v>
      </c>
      <c r="J293" t="str">
        <f>TRIM(Employee_dataset[[#This Row],[Email]])</f>
        <v>eva.williams@example.com</v>
      </c>
      <c r="K293" t="str">
        <f>_xlfn.LET(
     _xlpm.p,TRIM(SUBSTITUTE(Employee_dataset[[#This Row],[Phone]],"-","")),
     IF(
        LEN(_xlpm.p)=10,_xlfn.CONCAT("("&amp;LEFT(_xlpm.p,3)&amp;") "&amp;MID(_xlpm.p,4,3)&amp;"-"&amp;RIGHT(_xlpm.p,4),"")
       )
     )</f>
        <v>(373) 543-9626</v>
      </c>
      <c r="L293" t="str">
        <f>TRIM(Employee_dataset[[#This Row],[Performance_Score]])</f>
        <v>Good</v>
      </c>
      <c r="M293" t="str">
        <f>TRIM(Employee_dataset[[#This Row],[Remote_Work]])</f>
        <v>FALSE</v>
      </c>
    </row>
    <row r="294" spans="1:13" x14ac:dyDescent="0.3">
      <c r="A294" t="str">
        <f>TRIM(Employee_dataset[[#This Row],[Employee_ID]])</f>
        <v>EMP1292</v>
      </c>
      <c r="B294" t="str">
        <f>PROPER(TRIM(Employee_dataset[[#This Row],[First_Name]]))</f>
        <v>Grace</v>
      </c>
      <c r="C294" t="str">
        <f>PROPER(TRIM(Employee_dataset[[#This Row],[Last_Name]]))</f>
        <v>Smith</v>
      </c>
      <c r="D294" s="6" t="str">
        <f>_xlfn.LET(
     _xlpm.a, TRIM(Employee_dataset[[#This Row],[Age]]),
     IF(
        _xlpm.a="","",
        IF(
           AND(ISNUMBER(--_xlpm.a),LEN(_xlpm.a)=2),_xlpm.a,""
          )
       )
    )</f>
        <v/>
      </c>
      <c r="E294" t="str">
        <f>TRIM(_xlfn.TEXTBEFORE(Employee_dataset[[#This Row],[Department_Region]],"-"))</f>
        <v>DevOps</v>
      </c>
      <c r="F294" t="str">
        <f>TRIM(_xlfn.TEXTAFTER(Employee_dataset[[#This Row],[Department_Region]],"-"))</f>
        <v>California</v>
      </c>
      <c r="G294" t="str">
        <f>TRIM(Employee_dataset[[#This Row],[Status]])</f>
        <v>Pending</v>
      </c>
      <c r="H294" s="1">
        <f>_xlfn.LET(
     _xlpm.d, Employee_dataset[[#This Row],[Join_Date]],
     IF(
        ISNUMBER(_xlpm.d),_xlpm.d,""
       )
    )</f>
        <v>44071</v>
      </c>
      <c r="I294" s="6">
        <f>_xlfn.LET(
     _xlpm.s, TRIM(Employee_dataset[[#This Row],[Salary]]),
     IF(
        UPPER(_xlpm.s)="N/A","",
        IF(
           ISNUMBER(--_xlpm.s),ROUND(_xlfn.NUMBERVALUE(_xlpm.s),2),""
          )
       )
    )</f>
        <v>94709.79</v>
      </c>
      <c r="J294" t="str">
        <f>TRIM(Employee_dataset[[#This Row],[Email]])</f>
        <v>grace.smith@example.com</v>
      </c>
      <c r="K294" t="str">
        <f>_xlfn.LET(
     _xlpm.p,TRIM(SUBSTITUTE(Employee_dataset[[#This Row],[Phone]],"-","")),
     IF(
        LEN(_xlpm.p)=10,_xlfn.CONCAT("("&amp;LEFT(_xlpm.p,3)&amp;") "&amp;MID(_xlpm.p,4,3)&amp;"-"&amp;RIGHT(_xlpm.p,4),"")
       )
     )</f>
        <v>(365) 271-7271</v>
      </c>
      <c r="L294" t="str">
        <f>TRIM(Employee_dataset[[#This Row],[Performance_Score]])</f>
        <v>Excellent</v>
      </c>
      <c r="M294" t="str">
        <f>TRIM(Employee_dataset[[#This Row],[Remote_Work]])</f>
        <v>FALSE</v>
      </c>
    </row>
    <row r="295" spans="1:13" x14ac:dyDescent="0.3">
      <c r="A295" t="str">
        <f>TRIM(Employee_dataset[[#This Row],[Employee_ID]])</f>
        <v>EMP1293</v>
      </c>
      <c r="B295" t="str">
        <f>PROPER(TRIM(Employee_dataset[[#This Row],[First_Name]]))</f>
        <v>Frank</v>
      </c>
      <c r="C295" t="str">
        <f>PROPER(TRIM(Employee_dataset[[#This Row],[Last_Name]]))</f>
        <v>Johnson</v>
      </c>
      <c r="D295" s="6" t="str">
        <f>_xlfn.LET(
     _xlpm.a, TRIM(Employee_dataset[[#This Row],[Age]]),
     IF(
        _xlpm.a="","",
        IF(
           AND(ISNUMBER(--_xlpm.a),LEN(_xlpm.a)=2),_xlpm.a,""
          )
       )
    )</f>
        <v/>
      </c>
      <c r="E295" t="str">
        <f>TRIM(_xlfn.TEXTBEFORE(Employee_dataset[[#This Row],[Department_Region]],"-"))</f>
        <v>Admin</v>
      </c>
      <c r="F295" t="str">
        <f>TRIM(_xlfn.TEXTAFTER(Employee_dataset[[#This Row],[Department_Region]],"-"))</f>
        <v>New York</v>
      </c>
      <c r="G295" t="str">
        <f>TRIM(Employee_dataset[[#This Row],[Status]])</f>
        <v>Active</v>
      </c>
      <c r="H295" s="1">
        <f>_xlfn.LET(
     _xlpm.d, Employee_dataset[[#This Row],[Join_Date]],
     IF(
        ISNUMBER(_xlpm.d),_xlpm.d,""
       )
    )</f>
        <v>44810</v>
      </c>
      <c r="I295" s="6">
        <f>_xlfn.LET(
     _xlpm.s, TRIM(Employee_dataset[[#This Row],[Salary]]),
     IF(
        UPPER(_xlpm.s)="N/A","",
        IF(
           ISNUMBER(--_xlpm.s),ROUND(_xlfn.NUMBERVALUE(_xlpm.s),2),""
          )
       )
    )</f>
        <v>60722.99</v>
      </c>
      <c r="J295" t="str">
        <f>TRIM(Employee_dataset[[#This Row],[Email]])</f>
        <v>frank.johnson@example.com</v>
      </c>
      <c r="K295" t="str">
        <f>_xlfn.LET(
     _xlpm.p,TRIM(SUBSTITUTE(Employee_dataset[[#This Row],[Phone]],"-","")),
     IF(
        LEN(_xlpm.p)=10,_xlfn.CONCAT("("&amp;LEFT(_xlpm.p,3)&amp;") "&amp;MID(_xlpm.p,4,3)&amp;"-"&amp;RIGHT(_xlpm.p,4),"")
       )
     )</f>
        <v>(239) 724-0421</v>
      </c>
      <c r="L295" t="str">
        <f>TRIM(Employee_dataset[[#This Row],[Performance_Score]])</f>
        <v>Excellent</v>
      </c>
      <c r="M295" t="str">
        <f>TRIM(Employee_dataset[[#This Row],[Remote_Work]])</f>
        <v>TRUE</v>
      </c>
    </row>
    <row r="296" spans="1:13" x14ac:dyDescent="0.3">
      <c r="A296" t="str">
        <f>TRIM(Employee_dataset[[#This Row],[Employee_ID]])</f>
        <v>EMP1294</v>
      </c>
      <c r="B296" t="str">
        <f>PROPER(TRIM(Employee_dataset[[#This Row],[First_Name]]))</f>
        <v>Frank</v>
      </c>
      <c r="C296" t="str">
        <f>PROPER(TRIM(Employee_dataset[[#This Row],[Last_Name]]))</f>
        <v>Johnson</v>
      </c>
      <c r="D296" s="6" t="str">
        <f>_xlfn.LET(
     _xlpm.a, TRIM(Employee_dataset[[#This Row],[Age]]),
     IF(
        _xlpm.a="","",
        IF(
           AND(ISNUMBER(--_xlpm.a),LEN(_xlpm.a)=2),_xlpm.a,""
          )
       )
    )</f>
        <v>40</v>
      </c>
      <c r="E296" t="str">
        <f>TRIM(_xlfn.TEXTBEFORE(Employee_dataset[[#This Row],[Department_Region]],"-"))</f>
        <v>DevOps</v>
      </c>
      <c r="F296" t="str">
        <f>TRIM(_xlfn.TEXTAFTER(Employee_dataset[[#This Row],[Department_Region]],"-"))</f>
        <v>Illinois</v>
      </c>
      <c r="G296" t="str">
        <f>TRIM(Employee_dataset[[#This Row],[Status]])</f>
        <v>Inactive</v>
      </c>
      <c r="H296" s="1">
        <f>_xlfn.LET(
     _xlpm.d, Employee_dataset[[#This Row],[Join_Date]],
     IF(
        ISNUMBER(_xlpm.d),_xlpm.d,""
       )
    )</f>
        <v>45382</v>
      </c>
      <c r="I296" s="6">
        <f>_xlfn.LET(
     _xlpm.s, TRIM(Employee_dataset[[#This Row],[Salary]]),
     IF(
        UPPER(_xlpm.s)="N/A","",
        IF(
           ISNUMBER(--_xlpm.s),ROUND(_xlfn.NUMBERVALUE(_xlpm.s),2),""
          )
       )
    )</f>
        <v>87626.240000000005</v>
      </c>
      <c r="J296" t="str">
        <f>TRIM(Employee_dataset[[#This Row],[Email]])</f>
        <v>frank.johnson@example.com</v>
      </c>
      <c r="K296" t="str">
        <f>_xlfn.LET(
     _xlpm.p,TRIM(SUBSTITUTE(Employee_dataset[[#This Row],[Phone]],"-","")),
     IF(
        LEN(_xlpm.p)=10,_xlfn.CONCAT("("&amp;LEFT(_xlpm.p,3)&amp;") "&amp;MID(_xlpm.p,4,3)&amp;"-"&amp;RIGHT(_xlpm.p,4),"")
       )
     )</f>
        <v>(693) 121-6375</v>
      </c>
      <c r="L296" t="str">
        <f>TRIM(Employee_dataset[[#This Row],[Performance_Score]])</f>
        <v>Good</v>
      </c>
      <c r="M296" t="str">
        <f>TRIM(Employee_dataset[[#This Row],[Remote_Work]])</f>
        <v>TRUE</v>
      </c>
    </row>
    <row r="297" spans="1:13" x14ac:dyDescent="0.3">
      <c r="A297" t="str">
        <f>TRIM(Employee_dataset[[#This Row],[Employee_ID]])</f>
        <v>EMP1295</v>
      </c>
      <c r="B297" t="str">
        <f>PROPER(TRIM(Employee_dataset[[#This Row],[First_Name]]))</f>
        <v>David</v>
      </c>
      <c r="C297" t="str">
        <f>PROPER(TRIM(Employee_dataset[[#This Row],[Last_Name]]))</f>
        <v>Brown</v>
      </c>
      <c r="D297" s="6" t="str">
        <f>_xlfn.LET(
     _xlpm.a, TRIM(Employee_dataset[[#This Row],[Age]]),
     IF(
        _xlpm.a="","",
        IF(
           AND(ISNUMBER(--_xlpm.a),LEN(_xlpm.a)=2),_xlpm.a,""
          )
       )
    )</f>
        <v>30</v>
      </c>
      <c r="E297" t="str">
        <f>TRIM(_xlfn.TEXTBEFORE(Employee_dataset[[#This Row],[Department_Region]],"-"))</f>
        <v>DevOps</v>
      </c>
      <c r="F297" t="str">
        <f>TRIM(_xlfn.TEXTAFTER(Employee_dataset[[#This Row],[Department_Region]],"-"))</f>
        <v>Illinois</v>
      </c>
      <c r="G297" t="str">
        <f>TRIM(Employee_dataset[[#This Row],[Status]])</f>
        <v>Active</v>
      </c>
      <c r="H297" s="1">
        <f>_xlfn.LET(
     _xlpm.d, Employee_dataset[[#This Row],[Join_Date]],
     IF(
        ISNUMBER(_xlpm.d),_xlpm.d,""
       )
    )</f>
        <v>44907</v>
      </c>
      <c r="I297" s="6">
        <f>_xlfn.LET(
     _xlpm.s, TRIM(Employee_dataset[[#This Row],[Salary]]),
     IF(
        UPPER(_xlpm.s)="N/A","",
        IF(
           ISNUMBER(--_xlpm.s),ROUND(_xlfn.NUMBERVALUE(_xlpm.s),2),""
          )
       )
    )</f>
        <v>81272.36</v>
      </c>
      <c r="J297" t="str">
        <f>TRIM(Employee_dataset[[#This Row],[Email]])</f>
        <v>david.brown@example.com</v>
      </c>
      <c r="K297" t="str">
        <f>_xlfn.LET(
     _xlpm.p,TRIM(SUBSTITUTE(Employee_dataset[[#This Row],[Phone]],"-","")),
     IF(
        LEN(_xlpm.p)=10,_xlfn.CONCAT("("&amp;LEFT(_xlpm.p,3)&amp;") "&amp;MID(_xlpm.p,4,3)&amp;"-"&amp;RIGHT(_xlpm.p,4),"")
       )
     )</f>
        <v>(182) 091-6600</v>
      </c>
      <c r="L297" t="str">
        <f>TRIM(Employee_dataset[[#This Row],[Performance_Score]])</f>
        <v>Poor</v>
      </c>
      <c r="M297" t="str">
        <f>TRIM(Employee_dataset[[#This Row],[Remote_Work]])</f>
        <v>FALSE</v>
      </c>
    </row>
    <row r="298" spans="1:13" x14ac:dyDescent="0.3">
      <c r="A298" t="str">
        <f>TRIM(Employee_dataset[[#This Row],[Employee_ID]])</f>
        <v>EMP1296</v>
      </c>
      <c r="B298" t="str">
        <f>PROPER(TRIM(Employee_dataset[[#This Row],[First_Name]]))</f>
        <v>Bob</v>
      </c>
      <c r="C298" t="str">
        <f>PROPER(TRIM(Employee_dataset[[#This Row],[Last_Name]]))</f>
        <v>Miller</v>
      </c>
      <c r="D298" s="6" t="str">
        <f>_xlfn.LET(
     _xlpm.a, TRIM(Employee_dataset[[#This Row],[Age]]),
     IF(
        _xlpm.a="","",
        IF(
           AND(ISNUMBER(--_xlpm.a),LEN(_xlpm.a)=2),_xlpm.a,""
          )
       )
    )</f>
        <v/>
      </c>
      <c r="E298" t="str">
        <f>TRIM(_xlfn.TEXTBEFORE(Employee_dataset[[#This Row],[Department_Region]],"-"))</f>
        <v>Cloud Tech</v>
      </c>
      <c r="F298" t="str">
        <f>TRIM(_xlfn.TEXTAFTER(Employee_dataset[[#This Row],[Department_Region]],"-"))</f>
        <v>Texas</v>
      </c>
      <c r="G298" t="str">
        <f>TRIM(Employee_dataset[[#This Row],[Status]])</f>
        <v>Pending</v>
      </c>
      <c r="H298" s="1">
        <f>_xlfn.LET(
     _xlpm.d, Employee_dataset[[#This Row],[Join_Date]],
     IF(
        ISNUMBER(_xlpm.d),_xlpm.d,""
       )
    )</f>
        <v>44866</v>
      </c>
      <c r="I298" s="6">
        <f>_xlfn.LET(
     _xlpm.s, TRIM(Employee_dataset[[#This Row],[Salary]]),
     IF(
        UPPER(_xlpm.s)="N/A","",
        IF(
           ISNUMBER(--_xlpm.s),ROUND(_xlfn.NUMBERVALUE(_xlpm.s),2),""
          )
       )
    )</f>
        <v>64150.97</v>
      </c>
      <c r="J298" t="str">
        <f>TRIM(Employee_dataset[[#This Row],[Email]])</f>
        <v>bob.miller@example.com</v>
      </c>
      <c r="K298" t="b">
        <f>_xlfn.LET(
     _xlpm.p,TRIM(SUBSTITUTE(Employee_dataset[[#This Row],[Phone]],"-","")),
     IF(
        LEN(_xlpm.p)=10,_xlfn.CONCAT("("&amp;LEFT(_xlpm.p,3)&amp;") "&amp;MID(_xlpm.p,4,3)&amp;"-"&amp;RIGHT(_xlpm.p,4),"")
       )
     )</f>
        <v>0</v>
      </c>
      <c r="L298" t="str">
        <f>TRIM(Employee_dataset[[#This Row],[Performance_Score]])</f>
        <v>Good</v>
      </c>
      <c r="M298" t="str">
        <f>TRIM(Employee_dataset[[#This Row],[Remote_Work]])</f>
        <v>TRUE</v>
      </c>
    </row>
    <row r="299" spans="1:13" x14ac:dyDescent="0.3">
      <c r="A299" t="str">
        <f>TRIM(Employee_dataset[[#This Row],[Employee_ID]])</f>
        <v>EMP1297</v>
      </c>
      <c r="B299" t="str">
        <f>PROPER(TRIM(Employee_dataset[[#This Row],[First_Name]]))</f>
        <v>Charlie</v>
      </c>
      <c r="C299" t="str">
        <f>PROPER(TRIM(Employee_dataset[[#This Row],[Last_Name]]))</f>
        <v>Davis</v>
      </c>
      <c r="D299" s="6" t="str">
        <f>_xlfn.LET(
     _xlpm.a, TRIM(Employee_dataset[[#This Row],[Age]]),
     IF(
        _xlpm.a="","",
        IF(
           AND(ISNUMBER(--_xlpm.a),LEN(_xlpm.a)=2),_xlpm.a,""
          )
       )
    )</f>
        <v>35</v>
      </c>
      <c r="E299" t="str">
        <f>TRIM(_xlfn.TEXTBEFORE(Employee_dataset[[#This Row],[Department_Region]],"-"))</f>
        <v>Sales</v>
      </c>
      <c r="F299" t="str">
        <f>TRIM(_xlfn.TEXTAFTER(Employee_dataset[[#This Row],[Department_Region]],"-"))</f>
        <v>Florida</v>
      </c>
      <c r="G299" t="str">
        <f>TRIM(Employee_dataset[[#This Row],[Status]])</f>
        <v>Active</v>
      </c>
      <c r="H299" s="1">
        <f>_xlfn.LET(
     _xlpm.d, Employee_dataset[[#This Row],[Join_Date]],
     IF(
        ISNUMBER(_xlpm.d),_xlpm.d,""
       )
    )</f>
        <v>45224</v>
      </c>
      <c r="I299" s="6">
        <f>_xlfn.LET(
     _xlpm.s, TRIM(Employee_dataset[[#This Row],[Salary]]),
     IF(
        UPPER(_xlpm.s)="N/A","",
        IF(
           ISNUMBER(--_xlpm.s),ROUND(_xlfn.NUMBERVALUE(_xlpm.s),2),""
          )
       )
    )</f>
        <v>64378.1</v>
      </c>
      <c r="J299" t="str">
        <f>TRIM(Employee_dataset[[#This Row],[Email]])</f>
        <v>charlie.davis@example.com</v>
      </c>
      <c r="K299" t="str">
        <f>_xlfn.LET(
     _xlpm.p,TRIM(SUBSTITUTE(Employee_dataset[[#This Row],[Phone]],"-","")),
     IF(
        LEN(_xlpm.p)=10,_xlfn.CONCAT("("&amp;LEFT(_xlpm.p,3)&amp;") "&amp;MID(_xlpm.p,4,3)&amp;"-"&amp;RIGHT(_xlpm.p,4),"")
       )
     )</f>
        <v>(185) 132-7971</v>
      </c>
      <c r="L299" t="str">
        <f>TRIM(Employee_dataset[[#This Row],[Performance_Score]])</f>
        <v>Poor</v>
      </c>
      <c r="M299" t="str">
        <f>TRIM(Employee_dataset[[#This Row],[Remote_Work]])</f>
        <v>FALSE</v>
      </c>
    </row>
    <row r="300" spans="1:13" x14ac:dyDescent="0.3">
      <c r="A300" t="str">
        <f>TRIM(Employee_dataset[[#This Row],[Employee_ID]])</f>
        <v>EMP1298</v>
      </c>
      <c r="B300" t="str">
        <f>PROPER(TRIM(Employee_dataset[[#This Row],[First_Name]]))</f>
        <v>Bob</v>
      </c>
      <c r="C300" t="str">
        <f>PROPER(TRIM(Employee_dataset[[#This Row],[Last_Name]]))</f>
        <v>Jones</v>
      </c>
      <c r="D300" s="6" t="str">
        <f>_xlfn.LET(
     _xlpm.a, TRIM(Employee_dataset[[#This Row],[Age]]),
     IF(
        _xlpm.a="","",
        IF(
           AND(ISNUMBER(--_xlpm.a),LEN(_xlpm.a)=2),_xlpm.a,""
          )
       )
    )</f>
        <v/>
      </c>
      <c r="E300" t="str">
        <f>TRIM(_xlfn.TEXTBEFORE(Employee_dataset[[#This Row],[Department_Region]],"-"))</f>
        <v>Finance</v>
      </c>
      <c r="F300" t="str">
        <f>TRIM(_xlfn.TEXTAFTER(Employee_dataset[[#This Row],[Department_Region]],"-"))</f>
        <v>Texas</v>
      </c>
      <c r="G300" t="str">
        <f>TRIM(Employee_dataset[[#This Row],[Status]])</f>
        <v>Inactive</v>
      </c>
      <c r="H300" s="1">
        <f>_xlfn.LET(
     _xlpm.d, Employee_dataset[[#This Row],[Join_Date]],
     IF(
        ISNUMBER(_xlpm.d),_xlpm.d,""
       )
    )</f>
        <v>44101</v>
      </c>
      <c r="I300" s="6">
        <f>_xlfn.LET(
     _xlpm.s, TRIM(Employee_dataset[[#This Row],[Salary]]),
     IF(
        UPPER(_xlpm.s)="N/A","",
        IF(
           ISNUMBER(--_xlpm.s),ROUND(_xlfn.NUMBERVALUE(_xlpm.s),2),""
          )
       )
    )</f>
        <v>85927.35</v>
      </c>
      <c r="J300" t="str">
        <f>TRIM(Employee_dataset[[#This Row],[Email]])</f>
        <v>bob.jones@example.com</v>
      </c>
      <c r="K300" t="str">
        <f>_xlfn.LET(
     _xlpm.p,TRIM(SUBSTITUTE(Employee_dataset[[#This Row],[Phone]],"-","")),
     IF(
        LEN(_xlpm.p)=10,_xlfn.CONCAT("("&amp;LEFT(_xlpm.p,3)&amp;") "&amp;MID(_xlpm.p,4,3)&amp;"-"&amp;RIGHT(_xlpm.p,4),"")
       )
     )</f>
        <v>(457) 230-8480</v>
      </c>
      <c r="L300" t="str">
        <f>TRIM(Employee_dataset[[#This Row],[Performance_Score]])</f>
        <v>Good</v>
      </c>
      <c r="M300" t="str">
        <f>TRIM(Employee_dataset[[#This Row],[Remote_Work]])</f>
        <v>FALSE</v>
      </c>
    </row>
    <row r="301" spans="1:13" x14ac:dyDescent="0.3">
      <c r="A301" t="str">
        <f>TRIM(Employee_dataset[[#This Row],[Employee_ID]])</f>
        <v>EMP1299</v>
      </c>
      <c r="B301" t="str">
        <f>PROPER(TRIM(Employee_dataset[[#This Row],[First_Name]]))</f>
        <v>Alice</v>
      </c>
      <c r="C301" t="str">
        <f>PROPER(TRIM(Employee_dataset[[#This Row],[Last_Name]]))</f>
        <v>Garcia</v>
      </c>
      <c r="D301" s="6" t="str">
        <f>_xlfn.LET(
     _xlpm.a, TRIM(Employee_dataset[[#This Row],[Age]]),
     IF(
        _xlpm.a="","",
        IF(
           AND(ISNUMBER(--_xlpm.a),LEN(_xlpm.a)=2),_xlpm.a,""
          )
       )
    )</f>
        <v/>
      </c>
      <c r="E301" t="str">
        <f>TRIM(_xlfn.TEXTBEFORE(Employee_dataset[[#This Row],[Department_Region]],"-"))</f>
        <v>Finance</v>
      </c>
      <c r="F301" t="str">
        <f>TRIM(_xlfn.TEXTAFTER(Employee_dataset[[#This Row],[Department_Region]],"-"))</f>
        <v>Nevada</v>
      </c>
      <c r="G301" t="str">
        <f>TRIM(Employee_dataset[[#This Row],[Status]])</f>
        <v>Inactive</v>
      </c>
      <c r="H301" s="1">
        <f>_xlfn.LET(
     _xlpm.d, Employee_dataset[[#This Row],[Join_Date]],
     IF(
        ISNUMBER(_xlpm.d),_xlpm.d,""
       )
    )</f>
        <v>45312</v>
      </c>
      <c r="I301" s="6">
        <f>_xlfn.LET(
     _xlpm.s, TRIM(Employee_dataset[[#This Row],[Salary]]),
     IF(
        UPPER(_xlpm.s)="N/A","",
        IF(
           ISNUMBER(--_xlpm.s),ROUND(_xlfn.NUMBERVALUE(_xlpm.s),2),""
          )
       )
    )</f>
        <v>51523.93</v>
      </c>
      <c r="J301" t="str">
        <f>TRIM(Employee_dataset[[#This Row],[Email]])</f>
        <v>alice.garcia@example.com</v>
      </c>
      <c r="K301" t="b">
        <f>_xlfn.LET(
     _xlpm.p,TRIM(SUBSTITUTE(Employee_dataset[[#This Row],[Phone]],"-","")),
     IF(
        LEN(_xlpm.p)=10,_xlfn.CONCAT("("&amp;LEFT(_xlpm.p,3)&amp;") "&amp;MID(_xlpm.p,4,3)&amp;"-"&amp;RIGHT(_xlpm.p,4),"")
       )
     )</f>
        <v>0</v>
      </c>
      <c r="L301" t="str">
        <f>TRIM(Employee_dataset[[#This Row],[Performance_Score]])</f>
        <v>Average</v>
      </c>
      <c r="M301" t="str">
        <f>TRIM(Employee_dataset[[#This Row],[Remote_Work]])</f>
        <v>TRUE</v>
      </c>
    </row>
    <row r="302" spans="1:13" x14ac:dyDescent="0.3">
      <c r="A302" t="str">
        <f>TRIM(Employee_dataset[[#This Row],[Employee_ID]])</f>
        <v>EMP1300</v>
      </c>
      <c r="B302" t="str">
        <f>PROPER(TRIM(Employee_dataset[[#This Row],[First_Name]]))</f>
        <v>Alice</v>
      </c>
      <c r="C302" t="str">
        <f>PROPER(TRIM(Employee_dataset[[#This Row],[Last_Name]]))</f>
        <v>Smith</v>
      </c>
      <c r="D302" s="6" t="str">
        <f>_xlfn.LET(
     _xlpm.a, TRIM(Employee_dataset[[#This Row],[Age]]),
     IF(
        _xlpm.a="","",
        IF(
           AND(ISNUMBER(--_xlpm.a),LEN(_xlpm.a)=2),_xlpm.a,""
          )
       )
    )</f>
        <v>30</v>
      </c>
      <c r="E302" t="str">
        <f>TRIM(_xlfn.TEXTBEFORE(Employee_dataset[[#This Row],[Department_Region]],"-"))</f>
        <v>Sales</v>
      </c>
      <c r="F302" t="str">
        <f>TRIM(_xlfn.TEXTAFTER(Employee_dataset[[#This Row],[Department_Region]],"-"))</f>
        <v>Texas</v>
      </c>
      <c r="G302" t="str">
        <f>TRIM(Employee_dataset[[#This Row],[Status]])</f>
        <v>Active</v>
      </c>
      <c r="H302" s="1">
        <f>_xlfn.LET(
     _xlpm.d, Employee_dataset[[#This Row],[Join_Date]],
     IF(
        ISNUMBER(_xlpm.d),_xlpm.d,""
       )
    )</f>
        <v>44698</v>
      </c>
      <c r="I302" s="6">
        <f>_xlfn.LET(
     _xlpm.s, TRIM(Employee_dataset[[#This Row],[Salary]]),
     IF(
        UPPER(_xlpm.s)="N/A","",
        IF(
           ISNUMBER(--_xlpm.s),ROUND(_xlfn.NUMBERVALUE(_xlpm.s),2),""
          )
       )
    )</f>
        <v>74117.02</v>
      </c>
      <c r="J302" t="str">
        <f>TRIM(Employee_dataset[[#This Row],[Email]])</f>
        <v>alice.smith@example.com</v>
      </c>
      <c r="K302" t="str">
        <f>_xlfn.LET(
     _xlpm.p,TRIM(SUBSTITUTE(Employee_dataset[[#This Row],[Phone]],"-","")),
     IF(
        LEN(_xlpm.p)=10,_xlfn.CONCAT("("&amp;LEFT(_xlpm.p,3)&amp;") "&amp;MID(_xlpm.p,4,3)&amp;"-"&amp;RIGHT(_xlpm.p,4),"")
       )
     )</f>
        <v>(303) 662-5435</v>
      </c>
      <c r="L302" t="str">
        <f>TRIM(Employee_dataset[[#This Row],[Performance_Score]])</f>
        <v>Poor</v>
      </c>
      <c r="M302" t="str">
        <f>TRIM(Employee_dataset[[#This Row],[Remote_Work]])</f>
        <v>FALSE</v>
      </c>
    </row>
    <row r="303" spans="1:13" x14ac:dyDescent="0.3">
      <c r="A303" t="str">
        <f>TRIM(Employee_dataset[[#This Row],[Employee_ID]])</f>
        <v>EMP1301</v>
      </c>
      <c r="B303" t="str">
        <f>PROPER(TRIM(Employee_dataset[[#This Row],[First_Name]]))</f>
        <v>Alice</v>
      </c>
      <c r="C303" t="str">
        <f>PROPER(TRIM(Employee_dataset[[#This Row],[Last_Name]]))</f>
        <v>Smith</v>
      </c>
      <c r="D303" s="6" t="str">
        <f>_xlfn.LET(
     _xlpm.a, TRIM(Employee_dataset[[#This Row],[Age]]),
     IF(
        _xlpm.a="","",
        IF(
           AND(ISNUMBER(--_xlpm.a),LEN(_xlpm.a)=2),_xlpm.a,""
          )
       )
    )</f>
        <v>25</v>
      </c>
      <c r="E303" t="str">
        <f>TRIM(_xlfn.TEXTBEFORE(Employee_dataset[[#This Row],[Department_Region]],"-"))</f>
        <v>Finance</v>
      </c>
      <c r="F303" t="str">
        <f>TRIM(_xlfn.TEXTAFTER(Employee_dataset[[#This Row],[Department_Region]],"-"))</f>
        <v>Texas</v>
      </c>
      <c r="G303" t="str">
        <f>TRIM(Employee_dataset[[#This Row],[Status]])</f>
        <v>Inactive</v>
      </c>
      <c r="H303" s="1">
        <f>_xlfn.LET(
     _xlpm.d, Employee_dataset[[#This Row],[Join_Date]],
     IF(
        ISNUMBER(_xlpm.d),_xlpm.d,""
       )
    )</f>
        <v>44668</v>
      </c>
      <c r="I303" s="6">
        <f>_xlfn.LET(
     _xlpm.s, TRIM(Employee_dataset[[#This Row],[Salary]]),
     IF(
        UPPER(_xlpm.s)="N/A","",
        IF(
           ISNUMBER(--_xlpm.s),ROUND(_xlfn.NUMBERVALUE(_xlpm.s),2),""
          )
       )
    )</f>
        <v>62598.69</v>
      </c>
      <c r="J303" t="str">
        <f>TRIM(Employee_dataset[[#This Row],[Email]])</f>
        <v>alice.smith@example.com</v>
      </c>
      <c r="K303" t="str">
        <f>_xlfn.LET(
     _xlpm.p,TRIM(SUBSTITUTE(Employee_dataset[[#This Row],[Phone]],"-","")),
     IF(
        LEN(_xlpm.p)=10,_xlfn.CONCAT("("&amp;LEFT(_xlpm.p,3)&amp;") "&amp;MID(_xlpm.p,4,3)&amp;"-"&amp;RIGHT(_xlpm.p,4),"")
       )
     )</f>
        <v>(172) 131-4518</v>
      </c>
      <c r="L303" t="str">
        <f>TRIM(Employee_dataset[[#This Row],[Performance_Score]])</f>
        <v>Average</v>
      </c>
      <c r="M303" t="str">
        <f>TRIM(Employee_dataset[[#This Row],[Remote_Work]])</f>
        <v>TRUE</v>
      </c>
    </row>
    <row r="304" spans="1:13" x14ac:dyDescent="0.3">
      <c r="A304" t="str">
        <f>TRIM(Employee_dataset[[#This Row],[Employee_ID]])</f>
        <v>EMP1302</v>
      </c>
      <c r="B304" t="str">
        <f>PROPER(TRIM(Employee_dataset[[#This Row],[First_Name]]))</f>
        <v>Grace</v>
      </c>
      <c r="C304" t="str">
        <f>PROPER(TRIM(Employee_dataset[[#This Row],[Last_Name]]))</f>
        <v>Williams</v>
      </c>
      <c r="D304" s="6" t="str">
        <f>_xlfn.LET(
     _xlpm.a, TRIM(Employee_dataset[[#This Row],[Age]]),
     IF(
        _xlpm.a="","",
        IF(
           AND(ISNUMBER(--_xlpm.a),LEN(_xlpm.a)=2),_xlpm.a,""
          )
       )
    )</f>
        <v>35</v>
      </c>
      <c r="E304" t="str">
        <f>TRIM(_xlfn.TEXTBEFORE(Employee_dataset[[#This Row],[Department_Region]],"-"))</f>
        <v>Finance</v>
      </c>
      <c r="F304" t="str">
        <f>TRIM(_xlfn.TEXTAFTER(Employee_dataset[[#This Row],[Department_Region]],"-"))</f>
        <v>Florida</v>
      </c>
      <c r="G304" t="str">
        <f>TRIM(Employee_dataset[[#This Row],[Status]])</f>
        <v>Inactive</v>
      </c>
      <c r="H304" s="1">
        <f>_xlfn.LET(
     _xlpm.d, Employee_dataset[[#This Row],[Join_Date]],
     IF(
        ISNUMBER(_xlpm.d),_xlpm.d,""
       )
    )</f>
        <v>44600</v>
      </c>
      <c r="I304" s="6">
        <f>_xlfn.LET(
     _xlpm.s, TRIM(Employee_dataset[[#This Row],[Salary]]),
     IF(
        UPPER(_xlpm.s)="N/A","",
        IF(
           ISNUMBER(--_xlpm.s),ROUND(_xlfn.NUMBERVALUE(_xlpm.s),2),""
          )
       )
    )</f>
        <v>55617.5</v>
      </c>
      <c r="J304" t="str">
        <f>TRIM(Employee_dataset[[#This Row],[Email]])</f>
        <v>grace.williams@example.com</v>
      </c>
      <c r="K304" t="str">
        <f>_xlfn.LET(
     _xlpm.p,TRIM(SUBSTITUTE(Employee_dataset[[#This Row],[Phone]],"-","")),
     IF(
        LEN(_xlpm.p)=10,_xlfn.CONCAT("("&amp;LEFT(_xlpm.p,3)&amp;") "&amp;MID(_xlpm.p,4,3)&amp;"-"&amp;RIGHT(_xlpm.p,4),"")
       )
     )</f>
        <v>(515) 109-2267</v>
      </c>
      <c r="L304" t="str">
        <f>TRIM(Employee_dataset[[#This Row],[Performance_Score]])</f>
        <v>Excellent</v>
      </c>
      <c r="M304" t="str">
        <f>TRIM(Employee_dataset[[#This Row],[Remote_Work]])</f>
        <v>TRUE</v>
      </c>
    </row>
    <row r="305" spans="1:13" x14ac:dyDescent="0.3">
      <c r="A305" t="str">
        <f>TRIM(Employee_dataset[[#This Row],[Employee_ID]])</f>
        <v>EMP1303</v>
      </c>
      <c r="B305" t="str">
        <f>PROPER(TRIM(Employee_dataset[[#This Row],[First_Name]]))</f>
        <v>Charlie</v>
      </c>
      <c r="C305" t="str">
        <f>PROPER(TRIM(Employee_dataset[[#This Row],[Last_Name]]))</f>
        <v>Miller</v>
      </c>
      <c r="D305" s="6" t="str">
        <f>_xlfn.LET(
     _xlpm.a, TRIM(Employee_dataset[[#This Row],[Age]]),
     IF(
        _xlpm.a="","",
        IF(
           AND(ISNUMBER(--_xlpm.a),LEN(_xlpm.a)=2),_xlpm.a,""
          )
       )
    )</f>
        <v>35</v>
      </c>
      <c r="E305" t="str">
        <f>TRIM(_xlfn.TEXTBEFORE(Employee_dataset[[#This Row],[Department_Region]],"-"))</f>
        <v>Cloud Tech</v>
      </c>
      <c r="F305" t="str">
        <f>TRIM(_xlfn.TEXTAFTER(Employee_dataset[[#This Row],[Department_Region]],"-"))</f>
        <v>New York</v>
      </c>
      <c r="G305" t="str">
        <f>TRIM(Employee_dataset[[#This Row],[Status]])</f>
        <v>Pending</v>
      </c>
      <c r="H305" s="1">
        <f>_xlfn.LET(
     _xlpm.d, Employee_dataset[[#This Row],[Join_Date]],
     IF(
        ISNUMBER(_xlpm.d),_xlpm.d,""
       )
    )</f>
        <v>44635</v>
      </c>
      <c r="I305" s="6">
        <f>_xlfn.LET(
     _xlpm.s, TRIM(Employee_dataset[[#This Row],[Salary]]),
     IF(
        UPPER(_xlpm.s)="N/A","",
        IF(
           ISNUMBER(--_xlpm.s),ROUND(_xlfn.NUMBERVALUE(_xlpm.s),2),""
          )
       )
    )</f>
        <v>87018.98</v>
      </c>
      <c r="J305" t="str">
        <f>TRIM(Employee_dataset[[#This Row],[Email]])</f>
        <v>charlie.miller@example.com</v>
      </c>
      <c r="K305" t="str">
        <f>_xlfn.LET(
     _xlpm.p,TRIM(SUBSTITUTE(Employee_dataset[[#This Row],[Phone]],"-","")),
     IF(
        LEN(_xlpm.p)=10,_xlfn.CONCAT("("&amp;LEFT(_xlpm.p,3)&amp;") "&amp;MID(_xlpm.p,4,3)&amp;"-"&amp;RIGHT(_xlpm.p,4),"")
       )
     )</f>
        <v>(592) 624-9450</v>
      </c>
      <c r="L305" t="str">
        <f>TRIM(Employee_dataset[[#This Row],[Performance_Score]])</f>
        <v>Good</v>
      </c>
      <c r="M305" t="str">
        <f>TRIM(Employee_dataset[[#This Row],[Remote_Work]])</f>
        <v>TRUE</v>
      </c>
    </row>
    <row r="306" spans="1:13" x14ac:dyDescent="0.3">
      <c r="A306" t="str">
        <f>TRIM(Employee_dataset[[#This Row],[Employee_ID]])</f>
        <v>EMP1304</v>
      </c>
      <c r="B306" t="str">
        <f>PROPER(TRIM(Employee_dataset[[#This Row],[First_Name]]))</f>
        <v>David</v>
      </c>
      <c r="C306" t="str">
        <f>PROPER(TRIM(Employee_dataset[[#This Row],[Last_Name]]))</f>
        <v>Johnson</v>
      </c>
      <c r="D306" s="6" t="str">
        <f>_xlfn.LET(
     _xlpm.a, TRIM(Employee_dataset[[#This Row],[Age]]),
     IF(
        _xlpm.a="","",
        IF(
           AND(ISNUMBER(--_xlpm.a),LEN(_xlpm.a)=2),_xlpm.a,""
          )
       )
    )</f>
        <v>25</v>
      </c>
      <c r="E306" t="str">
        <f>TRIM(_xlfn.TEXTBEFORE(Employee_dataset[[#This Row],[Department_Region]],"-"))</f>
        <v>Cloud Tech</v>
      </c>
      <c r="F306" t="str">
        <f>TRIM(_xlfn.TEXTAFTER(Employee_dataset[[#This Row],[Department_Region]],"-"))</f>
        <v>California</v>
      </c>
      <c r="G306" t="str">
        <f>TRIM(Employee_dataset[[#This Row],[Status]])</f>
        <v>Inactive</v>
      </c>
      <c r="H306" s="1">
        <f>_xlfn.LET(
     _xlpm.d, Employee_dataset[[#This Row],[Join_Date]],
     IF(
        ISNUMBER(_xlpm.d),_xlpm.d,""
       )
    )</f>
        <v>45210</v>
      </c>
      <c r="I306" s="6">
        <f>_xlfn.LET(
     _xlpm.s, TRIM(Employee_dataset[[#This Row],[Salary]]),
     IF(
        UPPER(_xlpm.s)="N/A","",
        IF(
           ISNUMBER(--_xlpm.s),ROUND(_xlfn.NUMBERVALUE(_xlpm.s),2),""
          )
       )
    )</f>
        <v>100336.58</v>
      </c>
      <c r="J306" t="str">
        <f>TRIM(Employee_dataset[[#This Row],[Email]])</f>
        <v>david.johnson@example.com</v>
      </c>
      <c r="K306" t="str">
        <f>_xlfn.LET(
     _xlpm.p,TRIM(SUBSTITUTE(Employee_dataset[[#This Row],[Phone]],"-","")),
     IF(
        LEN(_xlpm.p)=10,_xlfn.CONCAT("("&amp;LEFT(_xlpm.p,3)&amp;") "&amp;MID(_xlpm.p,4,3)&amp;"-"&amp;RIGHT(_xlpm.p,4),"")
       )
     )</f>
        <v>(475) 410-2251</v>
      </c>
      <c r="L306" t="str">
        <f>TRIM(Employee_dataset[[#This Row],[Performance_Score]])</f>
        <v>Excellent</v>
      </c>
      <c r="M306" t="str">
        <f>TRIM(Employee_dataset[[#This Row],[Remote_Work]])</f>
        <v>TRUE</v>
      </c>
    </row>
    <row r="307" spans="1:13" x14ac:dyDescent="0.3">
      <c r="A307" t="str">
        <f>TRIM(Employee_dataset[[#This Row],[Employee_ID]])</f>
        <v>EMP1305</v>
      </c>
      <c r="B307" t="str">
        <f>PROPER(TRIM(Employee_dataset[[#This Row],[First_Name]]))</f>
        <v>Grace</v>
      </c>
      <c r="C307" t="str">
        <f>PROPER(TRIM(Employee_dataset[[#This Row],[Last_Name]]))</f>
        <v>Jones</v>
      </c>
      <c r="D307" s="6" t="str">
        <f>_xlfn.LET(
     _xlpm.a, TRIM(Employee_dataset[[#This Row],[Age]]),
     IF(
        _xlpm.a="","",
        IF(
           AND(ISNUMBER(--_xlpm.a),LEN(_xlpm.a)=2),_xlpm.a,""
          )
       )
    )</f>
        <v>30</v>
      </c>
      <c r="E307" t="str">
        <f>TRIM(_xlfn.TEXTBEFORE(Employee_dataset[[#This Row],[Department_Region]],"-"))</f>
        <v>Admin</v>
      </c>
      <c r="F307" t="str">
        <f>TRIM(_xlfn.TEXTAFTER(Employee_dataset[[#This Row],[Department_Region]],"-"))</f>
        <v>Florida</v>
      </c>
      <c r="G307" t="str">
        <f>TRIM(Employee_dataset[[#This Row],[Status]])</f>
        <v>Inactive</v>
      </c>
      <c r="H307" s="1">
        <f>_xlfn.LET(
     _xlpm.d, Employee_dataset[[#This Row],[Join_Date]],
     IF(
        ISNUMBER(_xlpm.d),_xlpm.d,""
       )
    )</f>
        <v>44148</v>
      </c>
      <c r="I307" s="6">
        <f>_xlfn.LET(
     _xlpm.s, TRIM(Employee_dataset[[#This Row],[Salary]]),
     IF(
        UPPER(_xlpm.s)="N/A","",
        IF(
           ISNUMBER(--_xlpm.s),ROUND(_xlfn.NUMBERVALUE(_xlpm.s),2),""
          )
       )
    )</f>
        <v>69295.48</v>
      </c>
      <c r="J307" t="str">
        <f>TRIM(Employee_dataset[[#This Row],[Email]])</f>
        <v>grace.jones@example.com</v>
      </c>
      <c r="K307" t="str">
        <f>_xlfn.LET(
     _xlpm.p,TRIM(SUBSTITUTE(Employee_dataset[[#This Row],[Phone]],"-","")),
     IF(
        LEN(_xlpm.p)=10,_xlfn.CONCAT("("&amp;LEFT(_xlpm.p,3)&amp;") "&amp;MID(_xlpm.p,4,3)&amp;"-"&amp;RIGHT(_xlpm.p,4),"")
       )
     )</f>
        <v>(677) 119-6420</v>
      </c>
      <c r="L307" t="str">
        <f>TRIM(Employee_dataset[[#This Row],[Performance_Score]])</f>
        <v>Excellent</v>
      </c>
      <c r="M307" t="str">
        <f>TRIM(Employee_dataset[[#This Row],[Remote_Work]])</f>
        <v>FALSE</v>
      </c>
    </row>
    <row r="308" spans="1:13" x14ac:dyDescent="0.3">
      <c r="A308" t="str">
        <f>TRIM(Employee_dataset[[#This Row],[Employee_ID]])</f>
        <v>EMP1306</v>
      </c>
      <c r="B308" t="str">
        <f>PROPER(TRIM(Employee_dataset[[#This Row],[First_Name]]))</f>
        <v>Bob</v>
      </c>
      <c r="C308" t="str">
        <f>PROPER(TRIM(Employee_dataset[[#This Row],[Last_Name]]))</f>
        <v>Brown</v>
      </c>
      <c r="D308" s="6" t="str">
        <f>_xlfn.LET(
     _xlpm.a, TRIM(Employee_dataset[[#This Row],[Age]]),
     IF(
        _xlpm.a="","",
        IF(
           AND(ISNUMBER(--_xlpm.a),LEN(_xlpm.a)=2),_xlpm.a,""
          )
       )
    )</f>
        <v>25</v>
      </c>
      <c r="E308" t="str">
        <f>TRIM(_xlfn.TEXTBEFORE(Employee_dataset[[#This Row],[Department_Region]],"-"))</f>
        <v>DevOps</v>
      </c>
      <c r="F308" t="str">
        <f>TRIM(_xlfn.TEXTAFTER(Employee_dataset[[#This Row],[Department_Region]],"-"))</f>
        <v>Florida</v>
      </c>
      <c r="G308" t="str">
        <f>TRIM(Employee_dataset[[#This Row],[Status]])</f>
        <v>Pending</v>
      </c>
      <c r="H308" s="1">
        <f>_xlfn.LET(
     _xlpm.d, Employee_dataset[[#This Row],[Join_Date]],
     IF(
        ISNUMBER(_xlpm.d),_xlpm.d,""
       )
    )</f>
        <v>45399</v>
      </c>
      <c r="I308" s="6">
        <f>_xlfn.LET(
     _xlpm.s, TRIM(Employee_dataset[[#This Row],[Salary]]),
     IF(
        UPPER(_xlpm.s)="N/A","",
        IF(
           ISNUMBER(--_xlpm.s),ROUND(_xlfn.NUMBERVALUE(_xlpm.s),2),""
          )
       )
    )</f>
        <v>115536.66</v>
      </c>
      <c r="J308" t="str">
        <f>TRIM(Employee_dataset[[#This Row],[Email]])</f>
        <v>bob.brown@example.com</v>
      </c>
      <c r="K308" t="str">
        <f>_xlfn.LET(
     _xlpm.p,TRIM(SUBSTITUTE(Employee_dataset[[#This Row],[Phone]],"-","")),
     IF(
        LEN(_xlpm.p)=10,_xlfn.CONCAT("("&amp;LEFT(_xlpm.p,3)&amp;") "&amp;MID(_xlpm.p,4,3)&amp;"-"&amp;RIGHT(_xlpm.p,4),"")
       )
     )</f>
        <v>(522) 655-7675</v>
      </c>
      <c r="L308" t="str">
        <f>TRIM(Employee_dataset[[#This Row],[Performance_Score]])</f>
        <v>Excellent</v>
      </c>
      <c r="M308" t="str">
        <f>TRIM(Employee_dataset[[#This Row],[Remote_Work]])</f>
        <v>TRUE</v>
      </c>
    </row>
    <row r="309" spans="1:13" x14ac:dyDescent="0.3">
      <c r="A309" t="str">
        <f>TRIM(Employee_dataset[[#This Row],[Employee_ID]])</f>
        <v>EMP1307</v>
      </c>
      <c r="B309" t="str">
        <f>PROPER(TRIM(Employee_dataset[[#This Row],[First_Name]]))</f>
        <v>David</v>
      </c>
      <c r="C309" t="str">
        <f>PROPER(TRIM(Employee_dataset[[#This Row],[Last_Name]]))</f>
        <v>Johnson</v>
      </c>
      <c r="D309" s="6" t="str">
        <f>_xlfn.LET(
     _xlpm.a, TRIM(Employee_dataset[[#This Row],[Age]]),
     IF(
        _xlpm.a="","",
        IF(
           AND(ISNUMBER(--_xlpm.a),LEN(_xlpm.a)=2),_xlpm.a,""
          )
       )
    )</f>
        <v>30</v>
      </c>
      <c r="E309" t="str">
        <f>TRIM(_xlfn.TEXTBEFORE(Employee_dataset[[#This Row],[Department_Region]],"-"))</f>
        <v>Cloud Tech</v>
      </c>
      <c r="F309" t="str">
        <f>TRIM(_xlfn.TEXTAFTER(Employee_dataset[[#This Row],[Department_Region]],"-"))</f>
        <v>Texas</v>
      </c>
      <c r="G309" t="str">
        <f>TRIM(Employee_dataset[[#This Row],[Status]])</f>
        <v>Pending</v>
      </c>
      <c r="H309" s="1">
        <f>_xlfn.LET(
     _xlpm.d, Employee_dataset[[#This Row],[Join_Date]],
     IF(
        ISNUMBER(_xlpm.d),_xlpm.d,""
       )
    )</f>
        <v>43899</v>
      </c>
      <c r="I309" s="6">
        <f>_xlfn.LET(
     _xlpm.s, TRIM(Employee_dataset[[#This Row],[Salary]]),
     IF(
        UPPER(_xlpm.s)="N/A","",
        IF(
           ISNUMBER(--_xlpm.s),ROUND(_xlfn.NUMBERVALUE(_xlpm.s),2),""
          )
       )
    )</f>
        <v>81250.87</v>
      </c>
      <c r="J309" t="str">
        <f>TRIM(Employee_dataset[[#This Row],[Email]])</f>
        <v>david.johnson@example.com</v>
      </c>
      <c r="K309" t="str">
        <f>_xlfn.LET(
     _xlpm.p,TRIM(SUBSTITUTE(Employee_dataset[[#This Row],[Phone]],"-","")),
     IF(
        LEN(_xlpm.p)=10,_xlfn.CONCAT("("&amp;LEFT(_xlpm.p,3)&amp;") "&amp;MID(_xlpm.p,4,3)&amp;"-"&amp;RIGHT(_xlpm.p,4),"")
       )
     )</f>
        <v>(952) 366-8787</v>
      </c>
      <c r="L309" t="str">
        <f>TRIM(Employee_dataset[[#This Row],[Performance_Score]])</f>
        <v>Excellent</v>
      </c>
      <c r="M309" t="str">
        <f>TRIM(Employee_dataset[[#This Row],[Remote_Work]])</f>
        <v>FALSE</v>
      </c>
    </row>
    <row r="310" spans="1:13" x14ac:dyDescent="0.3">
      <c r="A310" t="str">
        <f>TRIM(Employee_dataset[[#This Row],[Employee_ID]])</f>
        <v>EMP1308</v>
      </c>
      <c r="B310" t="str">
        <f>PROPER(TRIM(Employee_dataset[[#This Row],[First_Name]]))</f>
        <v>Alice</v>
      </c>
      <c r="C310" t="str">
        <f>PROPER(TRIM(Employee_dataset[[#This Row],[Last_Name]]))</f>
        <v>Garcia</v>
      </c>
      <c r="D310" s="6" t="str">
        <f>_xlfn.LET(
     _xlpm.a, TRIM(Employee_dataset[[#This Row],[Age]]),
     IF(
        _xlpm.a="","",
        IF(
           AND(ISNUMBER(--_xlpm.a),LEN(_xlpm.a)=2),_xlpm.a,""
          )
       )
    )</f>
        <v>30</v>
      </c>
      <c r="E310" t="str">
        <f>TRIM(_xlfn.TEXTBEFORE(Employee_dataset[[#This Row],[Department_Region]],"-"))</f>
        <v>DevOps</v>
      </c>
      <c r="F310" t="str">
        <f>TRIM(_xlfn.TEXTAFTER(Employee_dataset[[#This Row],[Department_Region]],"-"))</f>
        <v>Texas</v>
      </c>
      <c r="G310" t="str">
        <f>TRIM(Employee_dataset[[#This Row],[Status]])</f>
        <v>Inactive</v>
      </c>
      <c r="H310" s="1">
        <f>_xlfn.LET(
     _xlpm.d, Employee_dataset[[#This Row],[Join_Date]],
     IF(
        ISNUMBER(_xlpm.d),_xlpm.d,""
       )
    )</f>
        <v>44729</v>
      </c>
      <c r="I310" s="6">
        <f>_xlfn.LET(
     _xlpm.s, TRIM(Employee_dataset[[#This Row],[Salary]]),
     IF(
        UPPER(_xlpm.s)="N/A","",
        IF(
           ISNUMBER(--_xlpm.s),ROUND(_xlfn.NUMBERVALUE(_xlpm.s),2),""
          )
       )
    )</f>
        <v>66403.75</v>
      </c>
      <c r="J310" t="str">
        <f>TRIM(Employee_dataset[[#This Row],[Email]])</f>
        <v>alice.garcia@example.com</v>
      </c>
      <c r="K310" t="str">
        <f>_xlfn.LET(
     _xlpm.p,TRIM(SUBSTITUTE(Employee_dataset[[#This Row],[Phone]],"-","")),
     IF(
        LEN(_xlpm.p)=10,_xlfn.CONCAT("("&amp;LEFT(_xlpm.p,3)&amp;") "&amp;MID(_xlpm.p,4,3)&amp;"-"&amp;RIGHT(_xlpm.p,4),"")
       )
     )</f>
        <v>(788) 361-9688</v>
      </c>
      <c r="L310" t="str">
        <f>TRIM(Employee_dataset[[#This Row],[Performance_Score]])</f>
        <v>Good</v>
      </c>
      <c r="M310" t="str">
        <f>TRIM(Employee_dataset[[#This Row],[Remote_Work]])</f>
        <v>FALSE</v>
      </c>
    </row>
    <row r="311" spans="1:13" x14ac:dyDescent="0.3">
      <c r="A311" t="str">
        <f>TRIM(Employee_dataset[[#This Row],[Employee_ID]])</f>
        <v>EMP1309</v>
      </c>
      <c r="B311" t="str">
        <f>PROPER(TRIM(Employee_dataset[[#This Row],[First_Name]]))</f>
        <v>Alice</v>
      </c>
      <c r="C311" t="str">
        <f>PROPER(TRIM(Employee_dataset[[#This Row],[Last_Name]]))</f>
        <v>Miller</v>
      </c>
      <c r="D311" s="6" t="str">
        <f>_xlfn.LET(
     _xlpm.a, TRIM(Employee_dataset[[#This Row],[Age]]),
     IF(
        _xlpm.a="","",
        IF(
           AND(ISNUMBER(--_xlpm.a),LEN(_xlpm.a)=2),_xlpm.a,""
          )
       )
    )</f>
        <v>30</v>
      </c>
      <c r="E311" t="str">
        <f>TRIM(_xlfn.TEXTBEFORE(Employee_dataset[[#This Row],[Department_Region]],"-"))</f>
        <v>Sales</v>
      </c>
      <c r="F311" t="str">
        <f>TRIM(_xlfn.TEXTAFTER(Employee_dataset[[#This Row],[Department_Region]],"-"))</f>
        <v>California</v>
      </c>
      <c r="G311" t="str">
        <f>TRIM(Employee_dataset[[#This Row],[Status]])</f>
        <v>Active</v>
      </c>
      <c r="H311" s="1">
        <f>_xlfn.LET(
     _xlpm.d, Employee_dataset[[#This Row],[Join_Date]],
     IF(
        ISNUMBER(_xlpm.d),_xlpm.d,""
       )
    )</f>
        <v>45501</v>
      </c>
      <c r="I311" s="6">
        <f>_xlfn.LET(
     _xlpm.s, TRIM(Employee_dataset[[#This Row],[Salary]]),
     IF(
        UPPER(_xlpm.s)="N/A","",
        IF(
           ISNUMBER(--_xlpm.s),ROUND(_xlfn.NUMBERVALUE(_xlpm.s),2),""
          )
       )
    )</f>
        <v>114147.79</v>
      </c>
      <c r="J311" t="str">
        <f>TRIM(Employee_dataset[[#This Row],[Email]])</f>
        <v>alice.miller@example.com</v>
      </c>
      <c r="K311" t="str">
        <f>_xlfn.LET(
     _xlpm.p,TRIM(SUBSTITUTE(Employee_dataset[[#This Row],[Phone]],"-","")),
     IF(
        LEN(_xlpm.p)=10,_xlfn.CONCAT("("&amp;LEFT(_xlpm.p,3)&amp;") "&amp;MID(_xlpm.p,4,3)&amp;"-"&amp;RIGHT(_xlpm.p,4),"")
       )
     )</f>
        <v>(313) 503-0586</v>
      </c>
      <c r="L311" t="str">
        <f>TRIM(Employee_dataset[[#This Row],[Performance_Score]])</f>
        <v>Excellent</v>
      </c>
      <c r="M311" t="str">
        <f>TRIM(Employee_dataset[[#This Row],[Remote_Work]])</f>
        <v>FALSE</v>
      </c>
    </row>
    <row r="312" spans="1:13" x14ac:dyDescent="0.3">
      <c r="A312" t="str">
        <f>TRIM(Employee_dataset[[#This Row],[Employee_ID]])</f>
        <v>EMP1310</v>
      </c>
      <c r="B312" t="str">
        <f>PROPER(TRIM(Employee_dataset[[#This Row],[First_Name]]))</f>
        <v>Frank</v>
      </c>
      <c r="C312" t="str">
        <f>PROPER(TRIM(Employee_dataset[[#This Row],[Last_Name]]))</f>
        <v>Garcia</v>
      </c>
      <c r="D312" s="6" t="str">
        <f>_xlfn.LET(
     _xlpm.a, TRIM(Employee_dataset[[#This Row],[Age]]),
     IF(
        _xlpm.a="","",
        IF(
           AND(ISNUMBER(--_xlpm.a),LEN(_xlpm.a)=2),_xlpm.a,""
          )
       )
    )</f>
        <v>30</v>
      </c>
      <c r="E312" t="str">
        <f>TRIM(_xlfn.TEXTBEFORE(Employee_dataset[[#This Row],[Department_Region]],"-"))</f>
        <v>HR</v>
      </c>
      <c r="F312" t="str">
        <f>TRIM(_xlfn.TEXTAFTER(Employee_dataset[[#This Row],[Department_Region]],"-"))</f>
        <v>New York</v>
      </c>
      <c r="G312" t="str">
        <f>TRIM(Employee_dataset[[#This Row],[Status]])</f>
        <v>Pending</v>
      </c>
      <c r="H312" s="1">
        <f>_xlfn.LET(
     _xlpm.d, Employee_dataset[[#This Row],[Join_Date]],
     IF(
        ISNUMBER(_xlpm.d),_xlpm.d,""
       )
    )</f>
        <v>44898</v>
      </c>
      <c r="I312" s="6">
        <f>_xlfn.LET(
     _xlpm.s, TRIM(Employee_dataset[[#This Row],[Salary]]),
     IF(
        UPPER(_xlpm.s)="N/A","",
        IF(
           ISNUMBER(--_xlpm.s),ROUND(_xlfn.NUMBERVALUE(_xlpm.s),2),""
          )
       )
    )</f>
        <v>65472.99</v>
      </c>
      <c r="J312" t="str">
        <f>TRIM(Employee_dataset[[#This Row],[Email]])</f>
        <v>frank.garcia@example.com</v>
      </c>
      <c r="K312" t="str">
        <f>_xlfn.LET(
     _xlpm.p,TRIM(SUBSTITUTE(Employee_dataset[[#This Row],[Phone]],"-","")),
     IF(
        LEN(_xlpm.p)=10,_xlfn.CONCAT("("&amp;LEFT(_xlpm.p,3)&amp;") "&amp;MID(_xlpm.p,4,3)&amp;"-"&amp;RIGHT(_xlpm.p,4),"")
       )
     )</f>
        <v>(210) 552-4727</v>
      </c>
      <c r="L312" t="str">
        <f>TRIM(Employee_dataset[[#This Row],[Performance_Score]])</f>
        <v>Good</v>
      </c>
      <c r="M312" t="str">
        <f>TRIM(Employee_dataset[[#This Row],[Remote_Work]])</f>
        <v>FALSE</v>
      </c>
    </row>
    <row r="313" spans="1:13" x14ac:dyDescent="0.3">
      <c r="A313" t="str">
        <f>TRIM(Employee_dataset[[#This Row],[Employee_ID]])</f>
        <v>EMP1311</v>
      </c>
      <c r="B313" t="str">
        <f>PROPER(TRIM(Employee_dataset[[#This Row],[First_Name]]))</f>
        <v>Alice</v>
      </c>
      <c r="C313" t="str">
        <f>PROPER(TRIM(Employee_dataset[[#This Row],[Last_Name]]))</f>
        <v>Davis</v>
      </c>
      <c r="D313" s="6" t="str">
        <f>_xlfn.LET(
     _xlpm.a, TRIM(Employee_dataset[[#This Row],[Age]]),
     IF(
        _xlpm.a="","",
        IF(
           AND(ISNUMBER(--_xlpm.a),LEN(_xlpm.a)=2),_xlpm.a,""
          )
       )
    )</f>
        <v/>
      </c>
      <c r="E313" t="str">
        <f>TRIM(_xlfn.TEXTBEFORE(Employee_dataset[[#This Row],[Department_Region]],"-"))</f>
        <v>Sales</v>
      </c>
      <c r="F313" t="str">
        <f>TRIM(_xlfn.TEXTAFTER(Employee_dataset[[#This Row],[Department_Region]],"-"))</f>
        <v>Nevada</v>
      </c>
      <c r="G313" t="str">
        <f>TRIM(Employee_dataset[[#This Row],[Status]])</f>
        <v>Active</v>
      </c>
      <c r="H313" s="1">
        <f>_xlfn.LET(
     _xlpm.d, Employee_dataset[[#This Row],[Join_Date]],
     IF(
        ISNUMBER(_xlpm.d),_xlpm.d,""
       )
    )</f>
        <v>45113</v>
      </c>
      <c r="I313" s="6">
        <f>_xlfn.LET(
     _xlpm.s, TRIM(Employee_dataset[[#This Row],[Salary]]),
     IF(
        UPPER(_xlpm.s)="N/A","",
        IF(
           ISNUMBER(--_xlpm.s),ROUND(_xlfn.NUMBERVALUE(_xlpm.s),2),""
          )
       )
    )</f>
        <v>97512.51</v>
      </c>
      <c r="J313" t="str">
        <f>TRIM(Employee_dataset[[#This Row],[Email]])</f>
        <v>alice.davis@example.com</v>
      </c>
      <c r="K313" t="str">
        <f>_xlfn.LET(
     _xlpm.p,TRIM(SUBSTITUTE(Employee_dataset[[#This Row],[Phone]],"-","")),
     IF(
        LEN(_xlpm.p)=10,_xlfn.CONCAT("("&amp;LEFT(_xlpm.p,3)&amp;") "&amp;MID(_xlpm.p,4,3)&amp;"-"&amp;RIGHT(_xlpm.p,4),"")
       )
     )</f>
        <v>(633) 302-1259</v>
      </c>
      <c r="L313" t="str">
        <f>TRIM(Employee_dataset[[#This Row],[Performance_Score]])</f>
        <v>Good</v>
      </c>
      <c r="M313" t="str">
        <f>TRIM(Employee_dataset[[#This Row],[Remote_Work]])</f>
        <v>TRUE</v>
      </c>
    </row>
    <row r="314" spans="1:13" x14ac:dyDescent="0.3">
      <c r="A314" t="str">
        <f>TRIM(Employee_dataset[[#This Row],[Employee_ID]])</f>
        <v>EMP1312</v>
      </c>
      <c r="B314" t="str">
        <f>PROPER(TRIM(Employee_dataset[[#This Row],[First_Name]]))</f>
        <v>Alice</v>
      </c>
      <c r="C314" t="str">
        <f>PROPER(TRIM(Employee_dataset[[#This Row],[Last_Name]]))</f>
        <v>Brown</v>
      </c>
      <c r="D314" s="6" t="str">
        <f>_xlfn.LET(
     _xlpm.a, TRIM(Employee_dataset[[#This Row],[Age]]),
     IF(
        _xlpm.a="","",
        IF(
           AND(ISNUMBER(--_xlpm.a),LEN(_xlpm.a)=2),_xlpm.a,""
          )
       )
    )</f>
        <v>35</v>
      </c>
      <c r="E314" t="str">
        <f>TRIM(_xlfn.TEXTBEFORE(Employee_dataset[[#This Row],[Department_Region]],"-"))</f>
        <v>DevOps</v>
      </c>
      <c r="F314" t="str">
        <f>TRIM(_xlfn.TEXTAFTER(Employee_dataset[[#This Row],[Department_Region]],"-"))</f>
        <v>Nevada</v>
      </c>
      <c r="G314" t="str">
        <f>TRIM(Employee_dataset[[#This Row],[Status]])</f>
        <v>Inactive</v>
      </c>
      <c r="H314" s="1">
        <f>_xlfn.LET(
     _xlpm.d, Employee_dataset[[#This Row],[Join_Date]],
     IF(
        ISNUMBER(_xlpm.d),_xlpm.d,""
       )
    )</f>
        <v>45440</v>
      </c>
      <c r="I314" s="6">
        <f>_xlfn.LET(
     _xlpm.s, TRIM(Employee_dataset[[#This Row],[Salary]]),
     IF(
        UPPER(_xlpm.s)="N/A","",
        IF(
           ISNUMBER(--_xlpm.s),ROUND(_xlfn.NUMBERVALUE(_xlpm.s),2),""
          )
       )
    )</f>
        <v>86712.41</v>
      </c>
      <c r="J314" t="str">
        <f>TRIM(Employee_dataset[[#This Row],[Email]])</f>
        <v>alice.brown@example.com</v>
      </c>
      <c r="K314" t="str">
        <f>_xlfn.LET(
     _xlpm.p,TRIM(SUBSTITUTE(Employee_dataset[[#This Row],[Phone]],"-","")),
     IF(
        LEN(_xlpm.p)=10,_xlfn.CONCAT("("&amp;LEFT(_xlpm.p,3)&amp;") "&amp;MID(_xlpm.p,4,3)&amp;"-"&amp;RIGHT(_xlpm.p,4),"")
       )
     )</f>
        <v>(650) 191-7919</v>
      </c>
      <c r="L314" t="str">
        <f>TRIM(Employee_dataset[[#This Row],[Performance_Score]])</f>
        <v>Average</v>
      </c>
      <c r="M314" t="str">
        <f>TRIM(Employee_dataset[[#This Row],[Remote_Work]])</f>
        <v>TRUE</v>
      </c>
    </row>
    <row r="315" spans="1:13" x14ac:dyDescent="0.3">
      <c r="A315" t="str">
        <f>TRIM(Employee_dataset[[#This Row],[Employee_ID]])</f>
        <v>EMP1313</v>
      </c>
      <c r="B315" t="str">
        <f>PROPER(TRIM(Employee_dataset[[#This Row],[First_Name]]))</f>
        <v>Grace</v>
      </c>
      <c r="C315" t="str">
        <f>PROPER(TRIM(Employee_dataset[[#This Row],[Last_Name]]))</f>
        <v>Davis</v>
      </c>
      <c r="D315" s="6" t="str">
        <f>_xlfn.LET(
     _xlpm.a, TRIM(Employee_dataset[[#This Row],[Age]]),
     IF(
        _xlpm.a="","",
        IF(
           AND(ISNUMBER(--_xlpm.a),LEN(_xlpm.a)=2),_xlpm.a,""
          )
       )
    )</f>
        <v>30</v>
      </c>
      <c r="E315" t="str">
        <f>TRIM(_xlfn.TEXTBEFORE(Employee_dataset[[#This Row],[Department_Region]],"-"))</f>
        <v>HR</v>
      </c>
      <c r="F315" t="str">
        <f>TRIM(_xlfn.TEXTAFTER(Employee_dataset[[#This Row],[Department_Region]],"-"))</f>
        <v>Florida</v>
      </c>
      <c r="G315" t="str">
        <f>TRIM(Employee_dataset[[#This Row],[Status]])</f>
        <v>Active</v>
      </c>
      <c r="H315" s="1">
        <f>_xlfn.LET(
     _xlpm.d, Employee_dataset[[#This Row],[Join_Date]],
     IF(
        ISNUMBER(_xlpm.d),_xlpm.d,""
       )
    )</f>
        <v>45376</v>
      </c>
      <c r="I315" s="6">
        <f>_xlfn.LET(
     _xlpm.s, TRIM(Employee_dataset[[#This Row],[Salary]]),
     IF(
        UPPER(_xlpm.s)="N/A","",
        IF(
           ISNUMBER(--_xlpm.s),ROUND(_xlfn.NUMBERVALUE(_xlpm.s),2),""
          )
       )
    )</f>
        <v>87654.98</v>
      </c>
      <c r="J315" t="str">
        <f>TRIM(Employee_dataset[[#This Row],[Email]])</f>
        <v>grace.davis@example.com</v>
      </c>
      <c r="K315" t="str">
        <f>_xlfn.LET(
     _xlpm.p,TRIM(SUBSTITUTE(Employee_dataset[[#This Row],[Phone]],"-","")),
     IF(
        LEN(_xlpm.p)=10,_xlfn.CONCAT("("&amp;LEFT(_xlpm.p,3)&amp;") "&amp;MID(_xlpm.p,4,3)&amp;"-"&amp;RIGHT(_xlpm.p,4),"")
       )
     )</f>
        <v>(252) 131-0961</v>
      </c>
      <c r="L315" t="str">
        <f>TRIM(Employee_dataset[[#This Row],[Performance_Score]])</f>
        <v>Poor</v>
      </c>
      <c r="M315" t="str">
        <f>TRIM(Employee_dataset[[#This Row],[Remote_Work]])</f>
        <v>FALSE</v>
      </c>
    </row>
    <row r="316" spans="1:13" x14ac:dyDescent="0.3">
      <c r="A316" t="str">
        <f>TRIM(Employee_dataset[[#This Row],[Employee_ID]])</f>
        <v>EMP1314</v>
      </c>
      <c r="B316" t="str">
        <f>PROPER(TRIM(Employee_dataset[[#This Row],[First_Name]]))</f>
        <v>David</v>
      </c>
      <c r="C316" t="str">
        <f>PROPER(TRIM(Employee_dataset[[#This Row],[Last_Name]]))</f>
        <v>Williams</v>
      </c>
      <c r="D316" s="6" t="str">
        <f>_xlfn.LET(
     _xlpm.a, TRIM(Employee_dataset[[#This Row],[Age]]),
     IF(
        _xlpm.a="","",
        IF(
           AND(ISNUMBER(--_xlpm.a),LEN(_xlpm.a)=2),_xlpm.a,""
          )
       )
    )</f>
        <v>35</v>
      </c>
      <c r="E316" t="str">
        <f>TRIM(_xlfn.TEXTBEFORE(Employee_dataset[[#This Row],[Department_Region]],"-"))</f>
        <v>DevOps</v>
      </c>
      <c r="F316" t="str">
        <f>TRIM(_xlfn.TEXTAFTER(Employee_dataset[[#This Row],[Department_Region]],"-"))</f>
        <v>New York</v>
      </c>
      <c r="G316" t="str">
        <f>TRIM(Employee_dataset[[#This Row],[Status]])</f>
        <v>Inactive</v>
      </c>
      <c r="H316" s="1">
        <f>_xlfn.LET(
     _xlpm.d, Employee_dataset[[#This Row],[Join_Date]],
     IF(
        ISNUMBER(_xlpm.d),_xlpm.d,""
       )
    )</f>
        <v>43949</v>
      </c>
      <c r="I316" s="6">
        <f>_xlfn.LET(
     _xlpm.s, TRIM(Employee_dataset[[#This Row],[Salary]]),
     IF(
        UPPER(_xlpm.s)="N/A","",
        IF(
           ISNUMBER(--_xlpm.s),ROUND(_xlfn.NUMBERVALUE(_xlpm.s),2),""
          )
       )
    )</f>
        <v>89367.02</v>
      </c>
      <c r="J316" t="str">
        <f>TRIM(Employee_dataset[[#This Row],[Email]])</f>
        <v>david.williams@example.com</v>
      </c>
      <c r="K316" t="str">
        <f>_xlfn.LET(
     _xlpm.p,TRIM(SUBSTITUTE(Employee_dataset[[#This Row],[Phone]],"-","")),
     IF(
        LEN(_xlpm.p)=10,_xlfn.CONCAT("("&amp;LEFT(_xlpm.p,3)&amp;") "&amp;MID(_xlpm.p,4,3)&amp;"-"&amp;RIGHT(_xlpm.p,4),"")
       )
     )</f>
        <v>(272) 847-6569</v>
      </c>
      <c r="L316" t="str">
        <f>TRIM(Employee_dataset[[#This Row],[Performance_Score]])</f>
        <v>Poor</v>
      </c>
      <c r="M316" t="str">
        <f>TRIM(Employee_dataset[[#This Row],[Remote_Work]])</f>
        <v>FALSE</v>
      </c>
    </row>
    <row r="317" spans="1:13" x14ac:dyDescent="0.3">
      <c r="A317" t="str">
        <f>TRIM(Employee_dataset[[#This Row],[Employee_ID]])</f>
        <v>EMP1315</v>
      </c>
      <c r="B317" t="str">
        <f>PROPER(TRIM(Employee_dataset[[#This Row],[First_Name]]))</f>
        <v>Charlie</v>
      </c>
      <c r="C317" t="str">
        <f>PROPER(TRIM(Employee_dataset[[#This Row],[Last_Name]]))</f>
        <v>Garcia</v>
      </c>
      <c r="D317" s="6" t="str">
        <f>_xlfn.LET(
     _xlpm.a, TRIM(Employee_dataset[[#This Row],[Age]]),
     IF(
        _xlpm.a="","",
        IF(
           AND(ISNUMBER(--_xlpm.a),LEN(_xlpm.a)=2),_xlpm.a,""
          )
       )
    )</f>
        <v>40</v>
      </c>
      <c r="E317" t="str">
        <f>TRIM(_xlfn.TEXTBEFORE(Employee_dataset[[#This Row],[Department_Region]],"-"))</f>
        <v>Admin</v>
      </c>
      <c r="F317" t="str">
        <f>TRIM(_xlfn.TEXTAFTER(Employee_dataset[[#This Row],[Department_Region]],"-"))</f>
        <v>California</v>
      </c>
      <c r="G317" t="str">
        <f>TRIM(Employee_dataset[[#This Row],[Status]])</f>
        <v>Active</v>
      </c>
      <c r="H317" s="1">
        <f>_xlfn.LET(
     _xlpm.d, Employee_dataset[[#This Row],[Join_Date]],
     IF(
        ISNUMBER(_xlpm.d),_xlpm.d,""
       )
    )</f>
        <v>44507</v>
      </c>
      <c r="I317" s="6">
        <f>_xlfn.LET(
     _xlpm.s, TRIM(Employee_dataset[[#This Row],[Salary]]),
     IF(
        UPPER(_xlpm.s)="N/A","",
        IF(
           ISNUMBER(--_xlpm.s),ROUND(_xlfn.NUMBERVALUE(_xlpm.s),2),""
          )
       )
    )</f>
        <v>95269.41</v>
      </c>
      <c r="J317" t="str">
        <f>TRIM(Employee_dataset[[#This Row],[Email]])</f>
        <v>charlie.garcia@example.com</v>
      </c>
      <c r="K317" t="str">
        <f>_xlfn.LET(
     _xlpm.p,TRIM(SUBSTITUTE(Employee_dataset[[#This Row],[Phone]],"-","")),
     IF(
        LEN(_xlpm.p)=10,_xlfn.CONCAT("("&amp;LEFT(_xlpm.p,3)&amp;") "&amp;MID(_xlpm.p,4,3)&amp;"-"&amp;RIGHT(_xlpm.p,4),"")
       )
     )</f>
        <v>(412) 009-2819</v>
      </c>
      <c r="L317" t="str">
        <f>TRIM(Employee_dataset[[#This Row],[Performance_Score]])</f>
        <v>Good</v>
      </c>
      <c r="M317" t="str">
        <f>TRIM(Employee_dataset[[#This Row],[Remote_Work]])</f>
        <v>TRUE</v>
      </c>
    </row>
    <row r="318" spans="1:13" x14ac:dyDescent="0.3">
      <c r="A318" t="str">
        <f>TRIM(Employee_dataset[[#This Row],[Employee_ID]])</f>
        <v>EMP1316</v>
      </c>
      <c r="B318" t="str">
        <f>PROPER(TRIM(Employee_dataset[[#This Row],[First_Name]]))</f>
        <v>Frank</v>
      </c>
      <c r="C318" t="str">
        <f>PROPER(TRIM(Employee_dataset[[#This Row],[Last_Name]]))</f>
        <v>Williams</v>
      </c>
      <c r="D318" s="6" t="str">
        <f>_xlfn.LET(
     _xlpm.a, TRIM(Employee_dataset[[#This Row],[Age]]),
     IF(
        _xlpm.a="","",
        IF(
           AND(ISNUMBER(--_xlpm.a),LEN(_xlpm.a)=2),_xlpm.a,""
          )
       )
    )</f>
        <v>25</v>
      </c>
      <c r="E318" t="str">
        <f>TRIM(_xlfn.TEXTBEFORE(Employee_dataset[[#This Row],[Department_Region]],"-"))</f>
        <v>Sales</v>
      </c>
      <c r="F318" t="str">
        <f>TRIM(_xlfn.TEXTAFTER(Employee_dataset[[#This Row],[Department_Region]],"-"))</f>
        <v>Nevada</v>
      </c>
      <c r="G318" t="str">
        <f>TRIM(Employee_dataset[[#This Row],[Status]])</f>
        <v>Active</v>
      </c>
      <c r="H318" s="1">
        <f>_xlfn.LET(
     _xlpm.d, Employee_dataset[[#This Row],[Join_Date]],
     IF(
        ISNUMBER(_xlpm.d),_xlpm.d,""
       )
    )</f>
        <v>43936</v>
      </c>
      <c r="I318" s="6">
        <f>_xlfn.LET(
     _xlpm.s, TRIM(Employee_dataset[[#This Row],[Salary]]),
     IF(
        UPPER(_xlpm.s)="N/A","",
        IF(
           ISNUMBER(--_xlpm.s),ROUND(_xlfn.NUMBERVALUE(_xlpm.s),2),""
          )
       )
    )</f>
        <v>68792.31</v>
      </c>
      <c r="J318" t="str">
        <f>TRIM(Employee_dataset[[#This Row],[Email]])</f>
        <v>frank.williams@example.com</v>
      </c>
      <c r="K318" t="str">
        <f>_xlfn.LET(
     _xlpm.p,TRIM(SUBSTITUTE(Employee_dataset[[#This Row],[Phone]],"-","")),
     IF(
        LEN(_xlpm.p)=10,_xlfn.CONCAT("("&amp;LEFT(_xlpm.p,3)&amp;") "&amp;MID(_xlpm.p,4,3)&amp;"-"&amp;RIGHT(_xlpm.p,4),"")
       )
     )</f>
        <v>(667) 849-8435</v>
      </c>
      <c r="L318" t="str">
        <f>TRIM(Employee_dataset[[#This Row],[Performance_Score]])</f>
        <v>Average</v>
      </c>
      <c r="M318" t="str">
        <f>TRIM(Employee_dataset[[#This Row],[Remote_Work]])</f>
        <v>FALSE</v>
      </c>
    </row>
    <row r="319" spans="1:13" x14ac:dyDescent="0.3">
      <c r="A319" t="str">
        <f>TRIM(Employee_dataset[[#This Row],[Employee_ID]])</f>
        <v>EMP1317</v>
      </c>
      <c r="B319" t="str">
        <f>PROPER(TRIM(Employee_dataset[[#This Row],[First_Name]]))</f>
        <v>Alice</v>
      </c>
      <c r="C319" t="str">
        <f>PROPER(TRIM(Employee_dataset[[#This Row],[Last_Name]]))</f>
        <v>Smith</v>
      </c>
      <c r="D319" s="6" t="str">
        <f>_xlfn.LET(
     _xlpm.a, TRIM(Employee_dataset[[#This Row],[Age]]),
     IF(
        _xlpm.a="","",
        IF(
           AND(ISNUMBER(--_xlpm.a),LEN(_xlpm.a)=2),_xlpm.a,""
          )
       )
    )</f>
        <v>25</v>
      </c>
      <c r="E319" t="str">
        <f>TRIM(_xlfn.TEXTBEFORE(Employee_dataset[[#This Row],[Department_Region]],"-"))</f>
        <v>Admin</v>
      </c>
      <c r="F319" t="str">
        <f>TRIM(_xlfn.TEXTAFTER(Employee_dataset[[#This Row],[Department_Region]],"-"))</f>
        <v>Illinois</v>
      </c>
      <c r="G319" t="str">
        <f>TRIM(Employee_dataset[[#This Row],[Status]])</f>
        <v>Pending</v>
      </c>
      <c r="H319" s="1">
        <f>_xlfn.LET(
     _xlpm.d, Employee_dataset[[#This Row],[Join_Date]],
     IF(
        ISNUMBER(_xlpm.d),_xlpm.d,""
       )
    )</f>
        <v>45206</v>
      </c>
      <c r="I319" s="6">
        <f>_xlfn.LET(
     _xlpm.s, TRIM(Employee_dataset[[#This Row],[Salary]]),
     IF(
        UPPER(_xlpm.s)="N/A","",
        IF(
           ISNUMBER(--_xlpm.s),ROUND(_xlfn.NUMBERVALUE(_xlpm.s),2),""
          )
       )
    )</f>
        <v>89119.53</v>
      </c>
      <c r="J319" t="str">
        <f>TRIM(Employee_dataset[[#This Row],[Email]])</f>
        <v>alice.smith@example.com</v>
      </c>
      <c r="K319" t="str">
        <f>_xlfn.LET(
     _xlpm.p,TRIM(SUBSTITUTE(Employee_dataset[[#This Row],[Phone]],"-","")),
     IF(
        LEN(_xlpm.p)=10,_xlfn.CONCAT("("&amp;LEFT(_xlpm.p,3)&amp;") "&amp;MID(_xlpm.p,4,3)&amp;"-"&amp;RIGHT(_xlpm.p,4),"")
       )
     )</f>
        <v>(241) 862-3689</v>
      </c>
      <c r="L319" t="str">
        <f>TRIM(Employee_dataset[[#This Row],[Performance_Score]])</f>
        <v>Good</v>
      </c>
      <c r="M319" t="str">
        <f>TRIM(Employee_dataset[[#This Row],[Remote_Work]])</f>
        <v>TRUE</v>
      </c>
    </row>
    <row r="320" spans="1:13" x14ac:dyDescent="0.3">
      <c r="A320" t="str">
        <f>TRIM(Employee_dataset[[#This Row],[Employee_ID]])</f>
        <v>EMP1318</v>
      </c>
      <c r="B320" t="str">
        <f>PROPER(TRIM(Employee_dataset[[#This Row],[First_Name]]))</f>
        <v>Frank</v>
      </c>
      <c r="C320" t="str">
        <f>PROPER(TRIM(Employee_dataset[[#This Row],[Last_Name]]))</f>
        <v>Davis</v>
      </c>
      <c r="D320" s="6" t="str">
        <f>_xlfn.LET(
     _xlpm.a, TRIM(Employee_dataset[[#This Row],[Age]]),
     IF(
        _xlpm.a="","",
        IF(
           AND(ISNUMBER(--_xlpm.a),LEN(_xlpm.a)=2),_xlpm.a,""
          )
       )
    )</f>
        <v>35</v>
      </c>
      <c r="E320" t="str">
        <f>TRIM(_xlfn.TEXTBEFORE(Employee_dataset[[#This Row],[Department_Region]],"-"))</f>
        <v>Cloud Tech</v>
      </c>
      <c r="F320" t="str">
        <f>TRIM(_xlfn.TEXTAFTER(Employee_dataset[[#This Row],[Department_Region]],"-"))</f>
        <v>New York</v>
      </c>
      <c r="G320" t="str">
        <f>TRIM(Employee_dataset[[#This Row],[Status]])</f>
        <v>Active</v>
      </c>
      <c r="H320" s="1">
        <f>_xlfn.LET(
     _xlpm.d, Employee_dataset[[#This Row],[Join_Date]],
     IF(
        ISNUMBER(_xlpm.d),_xlpm.d,""
       )
    )</f>
        <v>45349</v>
      </c>
      <c r="I320" s="6">
        <f>_xlfn.LET(
     _xlpm.s, TRIM(Employee_dataset[[#This Row],[Salary]]),
     IF(
        UPPER(_xlpm.s)="N/A","",
        IF(
           ISNUMBER(--_xlpm.s),ROUND(_xlfn.NUMBERVALUE(_xlpm.s),2),""
          )
       )
    )</f>
        <v>58212.13</v>
      </c>
      <c r="J320" t="str">
        <f>TRIM(Employee_dataset[[#This Row],[Email]])</f>
        <v>frank.davis@example.com</v>
      </c>
      <c r="K320" t="str">
        <f>_xlfn.LET(
     _xlpm.p,TRIM(SUBSTITUTE(Employee_dataset[[#This Row],[Phone]],"-","")),
     IF(
        LEN(_xlpm.p)=10,_xlfn.CONCAT("("&amp;LEFT(_xlpm.p,3)&amp;") "&amp;MID(_xlpm.p,4,3)&amp;"-"&amp;RIGHT(_xlpm.p,4),"")
       )
     )</f>
        <v>(362) 891-7755</v>
      </c>
      <c r="L320" t="str">
        <f>TRIM(Employee_dataset[[#This Row],[Performance_Score]])</f>
        <v>Good</v>
      </c>
      <c r="M320" t="str">
        <f>TRIM(Employee_dataset[[#This Row],[Remote_Work]])</f>
        <v>FALSE</v>
      </c>
    </row>
    <row r="321" spans="1:13" x14ac:dyDescent="0.3">
      <c r="A321" t="str">
        <f>TRIM(Employee_dataset[[#This Row],[Employee_ID]])</f>
        <v>EMP1319</v>
      </c>
      <c r="B321" t="str">
        <f>PROPER(TRIM(Employee_dataset[[#This Row],[First_Name]]))</f>
        <v>Heidi</v>
      </c>
      <c r="C321" t="str">
        <f>PROPER(TRIM(Employee_dataset[[#This Row],[Last_Name]]))</f>
        <v>Miller</v>
      </c>
      <c r="D321" s="6" t="str">
        <f>_xlfn.LET(
     _xlpm.a, TRIM(Employee_dataset[[#This Row],[Age]]),
     IF(
        _xlpm.a="","",
        IF(
           AND(ISNUMBER(--_xlpm.a),LEN(_xlpm.a)=2),_xlpm.a,""
          )
       )
    )</f>
        <v>30</v>
      </c>
      <c r="E321" t="str">
        <f>TRIM(_xlfn.TEXTBEFORE(Employee_dataset[[#This Row],[Department_Region]],"-"))</f>
        <v>DevOps</v>
      </c>
      <c r="F321" t="str">
        <f>TRIM(_xlfn.TEXTAFTER(Employee_dataset[[#This Row],[Department_Region]],"-"))</f>
        <v>Illinois</v>
      </c>
      <c r="G321" t="str">
        <f>TRIM(Employee_dataset[[#This Row],[Status]])</f>
        <v>Pending</v>
      </c>
      <c r="H321" s="1">
        <f>_xlfn.LET(
     _xlpm.d, Employee_dataset[[#This Row],[Join_Date]],
     IF(
        ISNUMBER(_xlpm.d),_xlpm.d,""
       )
    )</f>
        <v>44249</v>
      </c>
      <c r="I321" s="6">
        <f>_xlfn.LET(
     _xlpm.s, TRIM(Employee_dataset[[#This Row],[Salary]]),
     IF(
        UPPER(_xlpm.s)="N/A","",
        IF(
           ISNUMBER(--_xlpm.s),ROUND(_xlfn.NUMBERVALUE(_xlpm.s),2),""
          )
       )
    )</f>
        <v>77764.240000000005</v>
      </c>
      <c r="J321" t="str">
        <f>TRIM(Employee_dataset[[#This Row],[Email]])</f>
        <v>heidi.miller@example.com</v>
      </c>
      <c r="K321" t="str">
        <f>_xlfn.LET(
     _xlpm.p,TRIM(SUBSTITUTE(Employee_dataset[[#This Row],[Phone]],"-","")),
     IF(
        LEN(_xlpm.p)=10,_xlfn.CONCAT("("&amp;LEFT(_xlpm.p,3)&amp;") "&amp;MID(_xlpm.p,4,3)&amp;"-"&amp;RIGHT(_xlpm.p,4),"")
       )
     )</f>
        <v>(620) 563-4110</v>
      </c>
      <c r="L321" t="str">
        <f>TRIM(Employee_dataset[[#This Row],[Performance_Score]])</f>
        <v>Good</v>
      </c>
      <c r="M321" t="str">
        <f>TRIM(Employee_dataset[[#This Row],[Remote_Work]])</f>
        <v>TRUE</v>
      </c>
    </row>
    <row r="322" spans="1:13" x14ac:dyDescent="0.3">
      <c r="A322" t="str">
        <f>TRIM(Employee_dataset[[#This Row],[Employee_ID]])</f>
        <v>EMP1320</v>
      </c>
      <c r="B322" t="str">
        <f>PROPER(TRIM(Employee_dataset[[#This Row],[First_Name]]))</f>
        <v>Frank</v>
      </c>
      <c r="C322" t="str">
        <f>PROPER(TRIM(Employee_dataset[[#This Row],[Last_Name]]))</f>
        <v>Garcia</v>
      </c>
      <c r="D322" s="6" t="str">
        <f>_xlfn.LET(
     _xlpm.a, TRIM(Employee_dataset[[#This Row],[Age]]),
     IF(
        _xlpm.a="","",
        IF(
           AND(ISNUMBER(--_xlpm.a),LEN(_xlpm.a)=2),_xlpm.a,""
          )
       )
    )</f>
        <v>35</v>
      </c>
      <c r="E322" t="str">
        <f>TRIM(_xlfn.TEXTBEFORE(Employee_dataset[[#This Row],[Department_Region]],"-"))</f>
        <v>Finance</v>
      </c>
      <c r="F322" t="str">
        <f>TRIM(_xlfn.TEXTAFTER(Employee_dataset[[#This Row],[Department_Region]],"-"))</f>
        <v>Florida</v>
      </c>
      <c r="G322" t="str">
        <f>TRIM(Employee_dataset[[#This Row],[Status]])</f>
        <v>Pending</v>
      </c>
      <c r="H322" s="1">
        <f>_xlfn.LET(
     _xlpm.d, Employee_dataset[[#This Row],[Join_Date]],
     IF(
        ISNUMBER(_xlpm.d),_xlpm.d,""
       )
    )</f>
        <v>45159</v>
      </c>
      <c r="I322" s="6">
        <f>_xlfn.LET(
     _xlpm.s, TRIM(Employee_dataset[[#This Row],[Salary]]),
     IF(
        UPPER(_xlpm.s)="N/A","",
        IF(
           ISNUMBER(--_xlpm.s),ROUND(_xlfn.NUMBERVALUE(_xlpm.s),2),""
          )
       )
    )</f>
        <v>75148.17</v>
      </c>
      <c r="J322" t="str">
        <f>TRIM(Employee_dataset[[#This Row],[Email]])</f>
        <v>frank.garcia@example.com</v>
      </c>
      <c r="K322" t="str">
        <f>_xlfn.LET(
     _xlpm.p,TRIM(SUBSTITUTE(Employee_dataset[[#This Row],[Phone]],"-","")),
     IF(
        LEN(_xlpm.p)=10,_xlfn.CONCAT("("&amp;LEFT(_xlpm.p,3)&amp;") "&amp;MID(_xlpm.p,4,3)&amp;"-"&amp;RIGHT(_xlpm.p,4),"")
       )
     )</f>
        <v>(595) 034-2810</v>
      </c>
      <c r="L322" t="str">
        <f>TRIM(Employee_dataset[[#This Row],[Performance_Score]])</f>
        <v>Average</v>
      </c>
      <c r="M322" t="str">
        <f>TRIM(Employee_dataset[[#This Row],[Remote_Work]])</f>
        <v>FALSE</v>
      </c>
    </row>
    <row r="323" spans="1:13" x14ac:dyDescent="0.3">
      <c r="A323" t="str">
        <f>TRIM(Employee_dataset[[#This Row],[Employee_ID]])</f>
        <v>EMP1321</v>
      </c>
      <c r="B323" t="str">
        <f>PROPER(TRIM(Employee_dataset[[#This Row],[First_Name]]))</f>
        <v>Heidi</v>
      </c>
      <c r="C323" t="str">
        <f>PROPER(TRIM(Employee_dataset[[#This Row],[Last_Name]]))</f>
        <v>Jones</v>
      </c>
      <c r="D323" s="6" t="str">
        <f>_xlfn.LET(
     _xlpm.a, TRIM(Employee_dataset[[#This Row],[Age]]),
     IF(
        _xlpm.a="","",
        IF(
           AND(ISNUMBER(--_xlpm.a),LEN(_xlpm.a)=2),_xlpm.a,""
          )
       )
    )</f>
        <v>40</v>
      </c>
      <c r="E323" t="str">
        <f>TRIM(_xlfn.TEXTBEFORE(Employee_dataset[[#This Row],[Department_Region]],"-"))</f>
        <v>Cloud Tech</v>
      </c>
      <c r="F323" t="str">
        <f>TRIM(_xlfn.TEXTAFTER(Employee_dataset[[#This Row],[Department_Region]],"-"))</f>
        <v>Nevada</v>
      </c>
      <c r="G323" t="str">
        <f>TRIM(Employee_dataset[[#This Row],[Status]])</f>
        <v>Inactive</v>
      </c>
      <c r="H323" s="1">
        <f>_xlfn.LET(
     _xlpm.d, Employee_dataset[[#This Row],[Join_Date]],
     IF(
        ISNUMBER(_xlpm.d),_xlpm.d,""
       )
    )</f>
        <v>45390</v>
      </c>
      <c r="I323" s="6">
        <f>_xlfn.LET(
     _xlpm.s, TRIM(Employee_dataset[[#This Row],[Salary]]),
     IF(
        UPPER(_xlpm.s)="N/A","",
        IF(
           ISNUMBER(--_xlpm.s),ROUND(_xlfn.NUMBERVALUE(_xlpm.s),2),""
          )
       )
    )</f>
        <v>108781.18</v>
      </c>
      <c r="J323" t="str">
        <f>TRIM(Employee_dataset[[#This Row],[Email]])</f>
        <v>heidi.jones@example.com</v>
      </c>
      <c r="K323" t="str">
        <f>_xlfn.LET(
     _xlpm.p,TRIM(SUBSTITUTE(Employee_dataset[[#This Row],[Phone]],"-","")),
     IF(
        LEN(_xlpm.p)=10,_xlfn.CONCAT("("&amp;LEFT(_xlpm.p,3)&amp;") "&amp;MID(_xlpm.p,4,3)&amp;"-"&amp;RIGHT(_xlpm.p,4),"")
       )
     )</f>
        <v>(390) 438-3033</v>
      </c>
      <c r="L323" t="str">
        <f>TRIM(Employee_dataset[[#This Row],[Performance_Score]])</f>
        <v>Poor</v>
      </c>
      <c r="M323" t="str">
        <f>TRIM(Employee_dataset[[#This Row],[Remote_Work]])</f>
        <v>FALSE</v>
      </c>
    </row>
    <row r="324" spans="1:13" x14ac:dyDescent="0.3">
      <c r="A324" t="str">
        <f>TRIM(Employee_dataset[[#This Row],[Employee_ID]])</f>
        <v>EMP1322</v>
      </c>
      <c r="B324" t="str">
        <f>PROPER(TRIM(Employee_dataset[[#This Row],[First_Name]]))</f>
        <v>Frank</v>
      </c>
      <c r="C324" t="str">
        <f>PROPER(TRIM(Employee_dataset[[#This Row],[Last_Name]]))</f>
        <v>Brown</v>
      </c>
      <c r="D324" s="6" t="str">
        <f>_xlfn.LET(
     _xlpm.a, TRIM(Employee_dataset[[#This Row],[Age]]),
     IF(
        _xlpm.a="","",
        IF(
           AND(ISNUMBER(--_xlpm.a),LEN(_xlpm.a)=2),_xlpm.a,""
          )
       )
    )</f>
        <v>35</v>
      </c>
      <c r="E324" t="str">
        <f>TRIM(_xlfn.TEXTBEFORE(Employee_dataset[[#This Row],[Department_Region]],"-"))</f>
        <v>Finance</v>
      </c>
      <c r="F324" t="str">
        <f>TRIM(_xlfn.TEXTAFTER(Employee_dataset[[#This Row],[Department_Region]],"-"))</f>
        <v>Texas</v>
      </c>
      <c r="G324" t="str">
        <f>TRIM(Employee_dataset[[#This Row],[Status]])</f>
        <v>Pending</v>
      </c>
      <c r="H324" s="1">
        <f>_xlfn.LET(
     _xlpm.d, Employee_dataset[[#This Row],[Join_Date]],
     IF(
        ISNUMBER(_xlpm.d),_xlpm.d,""
       )
    )</f>
        <v>45600</v>
      </c>
      <c r="I324" s="6">
        <f>_xlfn.LET(
     _xlpm.s, TRIM(Employee_dataset[[#This Row],[Salary]]),
     IF(
        UPPER(_xlpm.s)="N/A","",
        IF(
           ISNUMBER(--_xlpm.s),ROUND(_xlfn.NUMBERVALUE(_xlpm.s),2),""
          )
       )
    )</f>
        <v>65489.19</v>
      </c>
      <c r="J324" t="str">
        <f>TRIM(Employee_dataset[[#This Row],[Email]])</f>
        <v>frank.brown@example.com</v>
      </c>
      <c r="K324" t="str">
        <f>_xlfn.LET(
     _xlpm.p,TRIM(SUBSTITUTE(Employee_dataset[[#This Row],[Phone]],"-","")),
     IF(
        LEN(_xlpm.p)=10,_xlfn.CONCAT("("&amp;LEFT(_xlpm.p,3)&amp;") "&amp;MID(_xlpm.p,4,3)&amp;"-"&amp;RIGHT(_xlpm.p,4),"")
       )
     )</f>
        <v>(199) 097-0050</v>
      </c>
      <c r="L324" t="str">
        <f>TRIM(Employee_dataset[[#This Row],[Performance_Score]])</f>
        <v>Average</v>
      </c>
      <c r="M324" t="str">
        <f>TRIM(Employee_dataset[[#This Row],[Remote_Work]])</f>
        <v>TRUE</v>
      </c>
    </row>
    <row r="325" spans="1:13" x14ac:dyDescent="0.3">
      <c r="A325" t="str">
        <f>TRIM(Employee_dataset[[#This Row],[Employee_ID]])</f>
        <v>EMP1323</v>
      </c>
      <c r="B325" t="str">
        <f>PROPER(TRIM(Employee_dataset[[#This Row],[First_Name]]))</f>
        <v>Eva</v>
      </c>
      <c r="C325" t="str">
        <f>PROPER(TRIM(Employee_dataset[[#This Row],[Last_Name]]))</f>
        <v>Johnson</v>
      </c>
      <c r="D325" s="6" t="str">
        <f>_xlfn.LET(
     _xlpm.a, TRIM(Employee_dataset[[#This Row],[Age]]),
     IF(
        _xlpm.a="","",
        IF(
           AND(ISNUMBER(--_xlpm.a),LEN(_xlpm.a)=2),_xlpm.a,""
          )
       )
    )</f>
        <v/>
      </c>
      <c r="E325" t="str">
        <f>TRIM(_xlfn.TEXTBEFORE(Employee_dataset[[#This Row],[Department_Region]],"-"))</f>
        <v>Sales</v>
      </c>
      <c r="F325" t="str">
        <f>TRIM(_xlfn.TEXTAFTER(Employee_dataset[[#This Row],[Department_Region]],"-"))</f>
        <v>Illinois</v>
      </c>
      <c r="G325" t="str">
        <f>TRIM(Employee_dataset[[#This Row],[Status]])</f>
        <v>Pending</v>
      </c>
      <c r="H325" s="1">
        <f>_xlfn.LET(
     _xlpm.d, Employee_dataset[[#This Row],[Join_Date]],
     IF(
        ISNUMBER(_xlpm.d),_xlpm.d,""
       )
    )</f>
        <v>44686</v>
      </c>
      <c r="I325" s="6">
        <f>_xlfn.LET(
     _xlpm.s, TRIM(Employee_dataset[[#This Row],[Salary]]),
     IF(
        UPPER(_xlpm.s)="N/A","",
        IF(
           ISNUMBER(--_xlpm.s),ROUND(_xlfn.NUMBERVALUE(_xlpm.s),2),""
          )
       )
    )</f>
        <v>70663.460000000006</v>
      </c>
      <c r="J325" t="str">
        <f>TRIM(Employee_dataset[[#This Row],[Email]])</f>
        <v>eva.johnson@example.com</v>
      </c>
      <c r="K325" t="str">
        <f>_xlfn.LET(
     _xlpm.p,TRIM(SUBSTITUTE(Employee_dataset[[#This Row],[Phone]],"-","")),
     IF(
        LEN(_xlpm.p)=10,_xlfn.CONCAT("("&amp;LEFT(_xlpm.p,3)&amp;") "&amp;MID(_xlpm.p,4,3)&amp;"-"&amp;RIGHT(_xlpm.p,4),"")
       )
     )</f>
        <v>(405) 468-3564</v>
      </c>
      <c r="L325" t="str">
        <f>TRIM(Employee_dataset[[#This Row],[Performance_Score]])</f>
        <v>Excellent</v>
      </c>
      <c r="M325" t="str">
        <f>TRIM(Employee_dataset[[#This Row],[Remote_Work]])</f>
        <v>FALSE</v>
      </c>
    </row>
    <row r="326" spans="1:13" x14ac:dyDescent="0.3">
      <c r="A326" t="str">
        <f>TRIM(Employee_dataset[[#This Row],[Employee_ID]])</f>
        <v>EMP1324</v>
      </c>
      <c r="B326" t="str">
        <f>PROPER(TRIM(Employee_dataset[[#This Row],[First_Name]]))</f>
        <v>David</v>
      </c>
      <c r="C326" t="str">
        <f>PROPER(TRIM(Employee_dataset[[#This Row],[Last_Name]]))</f>
        <v>Miller</v>
      </c>
      <c r="D326" s="6" t="str">
        <f>_xlfn.LET(
     _xlpm.a, TRIM(Employee_dataset[[#This Row],[Age]]),
     IF(
        _xlpm.a="","",
        IF(
           AND(ISNUMBER(--_xlpm.a),LEN(_xlpm.a)=2),_xlpm.a,""
          )
       )
    )</f>
        <v>40</v>
      </c>
      <c r="E326" t="str">
        <f>TRIM(_xlfn.TEXTBEFORE(Employee_dataset[[#This Row],[Department_Region]],"-"))</f>
        <v>Sales</v>
      </c>
      <c r="F326" t="str">
        <f>TRIM(_xlfn.TEXTAFTER(Employee_dataset[[#This Row],[Department_Region]],"-"))</f>
        <v>New York</v>
      </c>
      <c r="G326" t="str">
        <f>TRIM(Employee_dataset[[#This Row],[Status]])</f>
        <v>Inactive</v>
      </c>
      <c r="H326" s="1">
        <f>_xlfn.LET(
     _xlpm.d, Employee_dataset[[#This Row],[Join_Date]],
     IF(
        ISNUMBER(_xlpm.d),_xlpm.d,""
       )
    )</f>
        <v>44958</v>
      </c>
      <c r="I326" s="6">
        <f>_xlfn.LET(
     _xlpm.s, TRIM(Employee_dataset[[#This Row],[Salary]]),
     IF(
        UPPER(_xlpm.s)="N/A","",
        IF(
           ISNUMBER(--_xlpm.s),ROUND(_xlfn.NUMBERVALUE(_xlpm.s),2),""
          )
       )
    )</f>
        <v>95822.56</v>
      </c>
      <c r="J326" t="str">
        <f>TRIM(Employee_dataset[[#This Row],[Email]])</f>
        <v>david.miller@example.com</v>
      </c>
      <c r="K326" t="str">
        <f>_xlfn.LET(
     _xlpm.p,TRIM(SUBSTITUTE(Employee_dataset[[#This Row],[Phone]],"-","")),
     IF(
        LEN(_xlpm.p)=10,_xlfn.CONCAT("("&amp;LEFT(_xlpm.p,3)&amp;") "&amp;MID(_xlpm.p,4,3)&amp;"-"&amp;RIGHT(_xlpm.p,4),"")
       )
     )</f>
        <v>(215) 681-8208</v>
      </c>
      <c r="L326" t="str">
        <f>TRIM(Employee_dataset[[#This Row],[Performance_Score]])</f>
        <v>Average</v>
      </c>
      <c r="M326" t="str">
        <f>TRIM(Employee_dataset[[#This Row],[Remote_Work]])</f>
        <v>FALSE</v>
      </c>
    </row>
    <row r="327" spans="1:13" x14ac:dyDescent="0.3">
      <c r="A327" t="str">
        <f>TRIM(Employee_dataset[[#This Row],[Employee_ID]])</f>
        <v>EMP1325</v>
      </c>
      <c r="B327" t="str">
        <f>PROPER(TRIM(Employee_dataset[[#This Row],[First_Name]]))</f>
        <v>Eva</v>
      </c>
      <c r="C327" t="str">
        <f>PROPER(TRIM(Employee_dataset[[#This Row],[Last_Name]]))</f>
        <v>Miller</v>
      </c>
      <c r="D327" s="6" t="str">
        <f>_xlfn.LET(
     _xlpm.a, TRIM(Employee_dataset[[#This Row],[Age]]),
     IF(
        _xlpm.a="","",
        IF(
           AND(ISNUMBER(--_xlpm.a),LEN(_xlpm.a)=2),_xlpm.a,""
          )
       )
    )</f>
        <v>40</v>
      </c>
      <c r="E327" t="str">
        <f>TRIM(_xlfn.TEXTBEFORE(Employee_dataset[[#This Row],[Department_Region]],"-"))</f>
        <v>DevOps</v>
      </c>
      <c r="F327" t="str">
        <f>TRIM(_xlfn.TEXTAFTER(Employee_dataset[[#This Row],[Department_Region]],"-"))</f>
        <v>Nevada</v>
      </c>
      <c r="G327" t="str">
        <f>TRIM(Employee_dataset[[#This Row],[Status]])</f>
        <v>Pending</v>
      </c>
      <c r="H327" s="1">
        <f>_xlfn.LET(
     _xlpm.d, Employee_dataset[[#This Row],[Join_Date]],
     IF(
        ISNUMBER(_xlpm.d),_xlpm.d,""
       )
    )</f>
        <v>44835</v>
      </c>
      <c r="I327" s="6">
        <f>_xlfn.LET(
     _xlpm.s, TRIM(Employee_dataset[[#This Row],[Salary]]),
     IF(
        UPPER(_xlpm.s)="N/A","",
        IF(
           ISNUMBER(--_xlpm.s),ROUND(_xlfn.NUMBERVALUE(_xlpm.s),2),""
          )
       )
    )</f>
        <v>82258.03</v>
      </c>
      <c r="J327" t="str">
        <f>TRIM(Employee_dataset[[#This Row],[Email]])</f>
        <v>eva.miller@example.com</v>
      </c>
      <c r="K327" t="str">
        <f>_xlfn.LET(
     _xlpm.p,TRIM(SUBSTITUTE(Employee_dataset[[#This Row],[Phone]],"-","")),
     IF(
        LEN(_xlpm.p)=10,_xlfn.CONCAT("("&amp;LEFT(_xlpm.p,3)&amp;") "&amp;MID(_xlpm.p,4,3)&amp;"-"&amp;RIGHT(_xlpm.p,4),"")
       )
     )</f>
        <v>(679) 042-2710</v>
      </c>
      <c r="L327" t="str">
        <f>TRIM(Employee_dataset[[#This Row],[Performance_Score]])</f>
        <v>Average</v>
      </c>
      <c r="M327" t="str">
        <f>TRIM(Employee_dataset[[#This Row],[Remote_Work]])</f>
        <v>TRUE</v>
      </c>
    </row>
    <row r="328" spans="1:13" x14ac:dyDescent="0.3">
      <c r="A328" t="str">
        <f>TRIM(Employee_dataset[[#This Row],[Employee_ID]])</f>
        <v>EMP1326</v>
      </c>
      <c r="B328" t="str">
        <f>PROPER(TRIM(Employee_dataset[[#This Row],[First_Name]]))</f>
        <v>Frank</v>
      </c>
      <c r="C328" t="str">
        <f>PROPER(TRIM(Employee_dataset[[#This Row],[Last_Name]]))</f>
        <v>Williams</v>
      </c>
      <c r="D328" s="6" t="str">
        <f>_xlfn.LET(
     _xlpm.a, TRIM(Employee_dataset[[#This Row],[Age]]),
     IF(
        _xlpm.a="","",
        IF(
           AND(ISNUMBER(--_xlpm.a),LEN(_xlpm.a)=2),_xlpm.a,""
          )
       )
    )</f>
        <v>30</v>
      </c>
      <c r="E328" t="str">
        <f>TRIM(_xlfn.TEXTBEFORE(Employee_dataset[[#This Row],[Department_Region]],"-"))</f>
        <v>Admin</v>
      </c>
      <c r="F328" t="str">
        <f>TRIM(_xlfn.TEXTAFTER(Employee_dataset[[#This Row],[Department_Region]],"-"))</f>
        <v>Nevada</v>
      </c>
      <c r="G328" t="str">
        <f>TRIM(Employee_dataset[[#This Row],[Status]])</f>
        <v>Pending</v>
      </c>
      <c r="H328" s="1">
        <f>_xlfn.LET(
     _xlpm.d, Employee_dataset[[#This Row],[Join_Date]],
     IF(
        ISNUMBER(_xlpm.d),_xlpm.d,""
       )
    )</f>
        <v>44831</v>
      </c>
      <c r="I328" s="6">
        <f>_xlfn.LET(
     _xlpm.s, TRIM(Employee_dataset[[#This Row],[Salary]]),
     IF(
        UPPER(_xlpm.s)="N/A","",
        IF(
           ISNUMBER(--_xlpm.s),ROUND(_xlfn.NUMBERVALUE(_xlpm.s),2),""
          )
       )
    )</f>
        <v>62883.34</v>
      </c>
      <c r="J328" t="str">
        <f>TRIM(Employee_dataset[[#This Row],[Email]])</f>
        <v>frank.williams@example.com</v>
      </c>
      <c r="K328" t="str">
        <f>_xlfn.LET(
     _xlpm.p,TRIM(SUBSTITUTE(Employee_dataset[[#This Row],[Phone]],"-","")),
     IF(
        LEN(_xlpm.p)=10,_xlfn.CONCAT("("&amp;LEFT(_xlpm.p,3)&amp;") "&amp;MID(_xlpm.p,4,3)&amp;"-"&amp;RIGHT(_xlpm.p,4),"")
       )
     )</f>
        <v>(332) 288-9856</v>
      </c>
      <c r="L328" t="str">
        <f>TRIM(Employee_dataset[[#This Row],[Performance_Score]])</f>
        <v>Average</v>
      </c>
      <c r="M328" t="str">
        <f>TRIM(Employee_dataset[[#This Row],[Remote_Work]])</f>
        <v>FALSE</v>
      </c>
    </row>
    <row r="329" spans="1:13" x14ac:dyDescent="0.3">
      <c r="A329" t="str">
        <f>TRIM(Employee_dataset[[#This Row],[Employee_ID]])</f>
        <v>EMP1327</v>
      </c>
      <c r="B329" t="str">
        <f>PROPER(TRIM(Employee_dataset[[#This Row],[First_Name]]))</f>
        <v>Alice</v>
      </c>
      <c r="C329" t="str">
        <f>PROPER(TRIM(Employee_dataset[[#This Row],[Last_Name]]))</f>
        <v>Davis</v>
      </c>
      <c r="D329" s="6" t="str">
        <f>_xlfn.LET(
     _xlpm.a, TRIM(Employee_dataset[[#This Row],[Age]]),
     IF(
        _xlpm.a="","",
        IF(
           AND(ISNUMBER(--_xlpm.a),LEN(_xlpm.a)=2),_xlpm.a,""
          )
       )
    )</f>
        <v/>
      </c>
      <c r="E329" t="str">
        <f>TRIM(_xlfn.TEXTBEFORE(Employee_dataset[[#This Row],[Department_Region]],"-"))</f>
        <v>Cloud Tech</v>
      </c>
      <c r="F329" t="str">
        <f>TRIM(_xlfn.TEXTAFTER(Employee_dataset[[#This Row],[Department_Region]],"-"))</f>
        <v>Texas</v>
      </c>
      <c r="G329" t="str">
        <f>TRIM(Employee_dataset[[#This Row],[Status]])</f>
        <v>Pending</v>
      </c>
      <c r="H329" s="1">
        <f>_xlfn.LET(
     _xlpm.d, Employee_dataset[[#This Row],[Join_Date]],
     IF(
        ISNUMBER(_xlpm.d),_xlpm.d,""
       )
    )</f>
        <v>43930</v>
      </c>
      <c r="I329" s="6">
        <f>_xlfn.LET(
     _xlpm.s, TRIM(Employee_dataset[[#This Row],[Salary]]),
     IF(
        UPPER(_xlpm.s)="N/A","",
        IF(
           ISNUMBER(--_xlpm.s),ROUND(_xlfn.NUMBERVALUE(_xlpm.s),2),""
          )
       )
    )</f>
        <v>103503.72</v>
      </c>
      <c r="J329" t="str">
        <f>TRIM(Employee_dataset[[#This Row],[Email]])</f>
        <v>alice.davis@example.com</v>
      </c>
      <c r="K329" t="str">
        <f>_xlfn.LET(
     _xlpm.p,TRIM(SUBSTITUTE(Employee_dataset[[#This Row],[Phone]],"-","")),
     IF(
        LEN(_xlpm.p)=10,_xlfn.CONCAT("("&amp;LEFT(_xlpm.p,3)&amp;") "&amp;MID(_xlpm.p,4,3)&amp;"-"&amp;RIGHT(_xlpm.p,4),"")
       )
     )</f>
        <v>(254) 596-0632</v>
      </c>
      <c r="L329" t="str">
        <f>TRIM(Employee_dataset[[#This Row],[Performance_Score]])</f>
        <v>Average</v>
      </c>
      <c r="M329" t="str">
        <f>TRIM(Employee_dataset[[#This Row],[Remote_Work]])</f>
        <v>TRUE</v>
      </c>
    </row>
    <row r="330" spans="1:13" x14ac:dyDescent="0.3">
      <c r="A330" t="str">
        <f>TRIM(Employee_dataset[[#This Row],[Employee_ID]])</f>
        <v>EMP1328</v>
      </c>
      <c r="B330" t="str">
        <f>PROPER(TRIM(Employee_dataset[[#This Row],[First_Name]]))</f>
        <v>David</v>
      </c>
      <c r="C330" t="str">
        <f>PROPER(TRIM(Employee_dataset[[#This Row],[Last_Name]]))</f>
        <v>Garcia</v>
      </c>
      <c r="D330" s="6" t="str">
        <f>_xlfn.LET(
     _xlpm.a, TRIM(Employee_dataset[[#This Row],[Age]]),
     IF(
        _xlpm.a="","",
        IF(
           AND(ISNUMBER(--_xlpm.a),LEN(_xlpm.a)=2),_xlpm.a,""
          )
       )
    )</f>
        <v>25</v>
      </c>
      <c r="E330" t="str">
        <f>TRIM(_xlfn.TEXTBEFORE(Employee_dataset[[#This Row],[Department_Region]],"-"))</f>
        <v>DevOps</v>
      </c>
      <c r="F330" t="str">
        <f>TRIM(_xlfn.TEXTAFTER(Employee_dataset[[#This Row],[Department_Region]],"-"))</f>
        <v>New York</v>
      </c>
      <c r="G330" t="str">
        <f>TRIM(Employee_dataset[[#This Row],[Status]])</f>
        <v>Active</v>
      </c>
      <c r="H330" s="1">
        <f>_xlfn.LET(
     _xlpm.d, Employee_dataset[[#This Row],[Join_Date]],
     IF(
        ISNUMBER(_xlpm.d),_xlpm.d,""
       )
    )</f>
        <v>44278</v>
      </c>
      <c r="I330" s="6">
        <f>_xlfn.LET(
     _xlpm.s, TRIM(Employee_dataset[[#This Row],[Salary]]),
     IF(
        UPPER(_xlpm.s)="N/A","",
        IF(
           ISNUMBER(--_xlpm.s),ROUND(_xlfn.NUMBERVALUE(_xlpm.s),2),""
          )
       )
    )</f>
        <v>85401.3</v>
      </c>
      <c r="J330" t="str">
        <f>TRIM(Employee_dataset[[#This Row],[Email]])</f>
        <v>david.garcia@example.com</v>
      </c>
      <c r="K330" t="str">
        <f>_xlfn.LET(
     _xlpm.p,TRIM(SUBSTITUTE(Employee_dataset[[#This Row],[Phone]],"-","")),
     IF(
        LEN(_xlpm.p)=10,_xlfn.CONCAT("("&amp;LEFT(_xlpm.p,3)&amp;") "&amp;MID(_xlpm.p,4,3)&amp;"-"&amp;RIGHT(_xlpm.p,4),"")
       )
     )</f>
        <v>(991) 297-1023</v>
      </c>
      <c r="L330" t="str">
        <f>TRIM(Employee_dataset[[#This Row],[Performance_Score]])</f>
        <v>Poor</v>
      </c>
      <c r="M330" t="str">
        <f>TRIM(Employee_dataset[[#This Row],[Remote_Work]])</f>
        <v>TRUE</v>
      </c>
    </row>
    <row r="331" spans="1:13" x14ac:dyDescent="0.3">
      <c r="A331" t="str">
        <f>TRIM(Employee_dataset[[#This Row],[Employee_ID]])</f>
        <v>EMP1329</v>
      </c>
      <c r="B331" t="str">
        <f>PROPER(TRIM(Employee_dataset[[#This Row],[First_Name]]))</f>
        <v>Heidi</v>
      </c>
      <c r="C331" t="str">
        <f>PROPER(TRIM(Employee_dataset[[#This Row],[Last_Name]]))</f>
        <v>Garcia</v>
      </c>
      <c r="D331" s="6" t="str">
        <f>_xlfn.LET(
     _xlpm.a, TRIM(Employee_dataset[[#This Row],[Age]]),
     IF(
        _xlpm.a="","",
        IF(
           AND(ISNUMBER(--_xlpm.a),LEN(_xlpm.a)=2),_xlpm.a,""
          )
       )
    )</f>
        <v>40</v>
      </c>
      <c r="E331" t="str">
        <f>TRIM(_xlfn.TEXTBEFORE(Employee_dataset[[#This Row],[Department_Region]],"-"))</f>
        <v>Cloud Tech</v>
      </c>
      <c r="F331" t="str">
        <f>TRIM(_xlfn.TEXTAFTER(Employee_dataset[[#This Row],[Department_Region]],"-"))</f>
        <v>Texas</v>
      </c>
      <c r="G331" t="str">
        <f>TRIM(Employee_dataset[[#This Row],[Status]])</f>
        <v>Pending</v>
      </c>
      <c r="H331" s="1">
        <f>_xlfn.LET(
     _xlpm.d, Employee_dataset[[#This Row],[Join_Date]],
     IF(
        ISNUMBER(_xlpm.d),_xlpm.d,""
       )
    )</f>
        <v>44960</v>
      </c>
      <c r="I331" s="6" t="str">
        <f>_xlfn.LET(
     _xlpm.s, TRIM(Employee_dataset[[#This Row],[Salary]]),
     IF(
        UPPER(_xlpm.s)="N/A","",
        IF(
           ISNUMBER(--_xlpm.s),ROUND(_xlfn.NUMBERVALUE(_xlpm.s),2),""
          )
       )
    )</f>
        <v/>
      </c>
      <c r="J331" t="str">
        <f>TRIM(Employee_dataset[[#This Row],[Email]])</f>
        <v>heidi.garcia@example.com</v>
      </c>
      <c r="K331" t="str">
        <f>_xlfn.LET(
     _xlpm.p,TRIM(SUBSTITUTE(Employee_dataset[[#This Row],[Phone]],"-","")),
     IF(
        LEN(_xlpm.p)=10,_xlfn.CONCAT("("&amp;LEFT(_xlpm.p,3)&amp;") "&amp;MID(_xlpm.p,4,3)&amp;"-"&amp;RIGHT(_xlpm.p,4),"")
       )
     )</f>
        <v>(817) 175-2420</v>
      </c>
      <c r="L331" t="str">
        <f>TRIM(Employee_dataset[[#This Row],[Performance_Score]])</f>
        <v>Excellent</v>
      </c>
      <c r="M331" t="str">
        <f>TRIM(Employee_dataset[[#This Row],[Remote_Work]])</f>
        <v>FALSE</v>
      </c>
    </row>
    <row r="332" spans="1:13" x14ac:dyDescent="0.3">
      <c r="A332" t="str">
        <f>TRIM(Employee_dataset[[#This Row],[Employee_ID]])</f>
        <v>EMP1330</v>
      </c>
      <c r="B332" t="str">
        <f>PROPER(TRIM(Employee_dataset[[#This Row],[First_Name]]))</f>
        <v>Eva</v>
      </c>
      <c r="C332" t="str">
        <f>PROPER(TRIM(Employee_dataset[[#This Row],[Last_Name]]))</f>
        <v>Smith</v>
      </c>
      <c r="D332" s="6" t="str">
        <f>_xlfn.LET(
     _xlpm.a, TRIM(Employee_dataset[[#This Row],[Age]]),
     IF(
        _xlpm.a="","",
        IF(
           AND(ISNUMBER(--_xlpm.a),LEN(_xlpm.a)=2),_xlpm.a,""
          )
       )
    )</f>
        <v/>
      </c>
      <c r="E332" t="str">
        <f>TRIM(_xlfn.TEXTBEFORE(Employee_dataset[[#This Row],[Department_Region]],"-"))</f>
        <v>HR</v>
      </c>
      <c r="F332" t="str">
        <f>TRIM(_xlfn.TEXTAFTER(Employee_dataset[[#This Row],[Department_Region]],"-"))</f>
        <v>Texas</v>
      </c>
      <c r="G332" t="str">
        <f>TRIM(Employee_dataset[[#This Row],[Status]])</f>
        <v>Pending</v>
      </c>
      <c r="H332" s="1">
        <f>_xlfn.LET(
     _xlpm.d, Employee_dataset[[#This Row],[Join_Date]],
     IF(
        ISNUMBER(_xlpm.d),_xlpm.d,""
       )
    )</f>
        <v>45496</v>
      </c>
      <c r="I332" s="6">
        <f>_xlfn.LET(
     _xlpm.s, TRIM(Employee_dataset[[#This Row],[Salary]]),
     IF(
        UPPER(_xlpm.s)="N/A","",
        IF(
           ISNUMBER(--_xlpm.s),ROUND(_xlfn.NUMBERVALUE(_xlpm.s),2),""
          )
       )
    )</f>
        <v>98850.14</v>
      </c>
      <c r="J332" t="str">
        <f>TRIM(Employee_dataset[[#This Row],[Email]])</f>
        <v>eva.smith@example.com</v>
      </c>
      <c r="K332" t="str">
        <f>_xlfn.LET(
     _xlpm.p,TRIM(SUBSTITUTE(Employee_dataset[[#This Row],[Phone]],"-","")),
     IF(
        LEN(_xlpm.p)=10,_xlfn.CONCAT("("&amp;LEFT(_xlpm.p,3)&amp;") "&amp;MID(_xlpm.p,4,3)&amp;"-"&amp;RIGHT(_xlpm.p,4),"")
       )
     )</f>
        <v>(495) 511-2746</v>
      </c>
      <c r="L332" t="str">
        <f>TRIM(Employee_dataset[[#This Row],[Performance_Score]])</f>
        <v>Poor</v>
      </c>
      <c r="M332" t="str">
        <f>TRIM(Employee_dataset[[#This Row],[Remote_Work]])</f>
        <v>FALSE</v>
      </c>
    </row>
    <row r="333" spans="1:13" x14ac:dyDescent="0.3">
      <c r="A333" t="str">
        <f>TRIM(Employee_dataset[[#This Row],[Employee_ID]])</f>
        <v>EMP1331</v>
      </c>
      <c r="B333" t="str">
        <f>PROPER(TRIM(Employee_dataset[[#This Row],[First_Name]]))</f>
        <v>Charlie</v>
      </c>
      <c r="C333" t="str">
        <f>PROPER(TRIM(Employee_dataset[[#This Row],[Last_Name]]))</f>
        <v>Smith</v>
      </c>
      <c r="D333" s="6" t="str">
        <f>_xlfn.LET(
     _xlpm.a, TRIM(Employee_dataset[[#This Row],[Age]]),
     IF(
        _xlpm.a="","",
        IF(
           AND(ISNUMBER(--_xlpm.a),LEN(_xlpm.a)=2),_xlpm.a,""
          )
       )
    )</f>
        <v>25</v>
      </c>
      <c r="E333" t="str">
        <f>TRIM(_xlfn.TEXTBEFORE(Employee_dataset[[#This Row],[Department_Region]],"-"))</f>
        <v>Cloud Tech</v>
      </c>
      <c r="F333" t="str">
        <f>TRIM(_xlfn.TEXTAFTER(Employee_dataset[[#This Row],[Department_Region]],"-"))</f>
        <v>Illinois</v>
      </c>
      <c r="G333" t="str">
        <f>TRIM(Employee_dataset[[#This Row],[Status]])</f>
        <v>Active</v>
      </c>
      <c r="H333" s="1">
        <f>_xlfn.LET(
     _xlpm.d, Employee_dataset[[#This Row],[Join_Date]],
     IF(
        ISNUMBER(_xlpm.d),_xlpm.d,""
       )
    )</f>
        <v>44324</v>
      </c>
      <c r="I333" s="6">
        <f>_xlfn.LET(
     _xlpm.s, TRIM(Employee_dataset[[#This Row],[Salary]]),
     IF(
        UPPER(_xlpm.s)="N/A","",
        IF(
           ISNUMBER(--_xlpm.s),ROUND(_xlfn.NUMBERVALUE(_xlpm.s),2),""
          )
       )
    )</f>
        <v>63435.24</v>
      </c>
      <c r="J333" t="str">
        <f>TRIM(Employee_dataset[[#This Row],[Email]])</f>
        <v>charlie.smith@example.com</v>
      </c>
      <c r="K333" t="str">
        <f>_xlfn.LET(
     _xlpm.p,TRIM(SUBSTITUTE(Employee_dataset[[#This Row],[Phone]],"-","")),
     IF(
        LEN(_xlpm.p)=10,_xlfn.CONCAT("("&amp;LEFT(_xlpm.p,3)&amp;") "&amp;MID(_xlpm.p,4,3)&amp;"-"&amp;RIGHT(_xlpm.p,4),"")
       )
     )</f>
        <v>(472) 197-0545</v>
      </c>
      <c r="L333" t="str">
        <f>TRIM(Employee_dataset[[#This Row],[Performance_Score]])</f>
        <v>Poor</v>
      </c>
      <c r="M333" t="str">
        <f>TRIM(Employee_dataset[[#This Row],[Remote_Work]])</f>
        <v>FALSE</v>
      </c>
    </row>
    <row r="334" spans="1:13" x14ac:dyDescent="0.3">
      <c r="A334" t="str">
        <f>TRIM(Employee_dataset[[#This Row],[Employee_ID]])</f>
        <v>EMP1332</v>
      </c>
      <c r="B334" t="str">
        <f>PROPER(TRIM(Employee_dataset[[#This Row],[First_Name]]))</f>
        <v>Frank</v>
      </c>
      <c r="C334" t="str">
        <f>PROPER(TRIM(Employee_dataset[[#This Row],[Last_Name]]))</f>
        <v>Brown</v>
      </c>
      <c r="D334" s="6" t="str">
        <f>_xlfn.LET(
     _xlpm.a, TRIM(Employee_dataset[[#This Row],[Age]]),
     IF(
        _xlpm.a="","",
        IF(
           AND(ISNUMBER(--_xlpm.a),LEN(_xlpm.a)=2),_xlpm.a,""
          )
       )
    )</f>
        <v>35</v>
      </c>
      <c r="E334" t="str">
        <f>TRIM(_xlfn.TEXTBEFORE(Employee_dataset[[#This Row],[Department_Region]],"-"))</f>
        <v>Finance</v>
      </c>
      <c r="F334" t="str">
        <f>TRIM(_xlfn.TEXTAFTER(Employee_dataset[[#This Row],[Department_Region]],"-"))</f>
        <v>Texas</v>
      </c>
      <c r="G334" t="str">
        <f>TRIM(Employee_dataset[[#This Row],[Status]])</f>
        <v>Inactive</v>
      </c>
      <c r="H334" s="1">
        <f>_xlfn.LET(
     _xlpm.d, Employee_dataset[[#This Row],[Join_Date]],
     IF(
        ISNUMBER(_xlpm.d),_xlpm.d,""
       )
    )</f>
        <v>44662</v>
      </c>
      <c r="I334" s="6">
        <f>_xlfn.LET(
     _xlpm.s, TRIM(Employee_dataset[[#This Row],[Salary]]),
     IF(
        UPPER(_xlpm.s)="N/A","",
        IF(
           ISNUMBER(--_xlpm.s),ROUND(_xlfn.NUMBERVALUE(_xlpm.s),2),""
          )
       )
    )</f>
        <v>82129.84</v>
      </c>
      <c r="J334" t="str">
        <f>TRIM(Employee_dataset[[#This Row],[Email]])</f>
        <v>frank.brown@example.com</v>
      </c>
      <c r="K334" t="str">
        <f>_xlfn.LET(
     _xlpm.p,TRIM(SUBSTITUTE(Employee_dataset[[#This Row],[Phone]],"-","")),
     IF(
        LEN(_xlpm.p)=10,_xlfn.CONCAT("("&amp;LEFT(_xlpm.p,3)&amp;") "&amp;MID(_xlpm.p,4,3)&amp;"-"&amp;RIGHT(_xlpm.p,4),"")
       )
     )</f>
        <v>(692) 758-9550</v>
      </c>
      <c r="L334" t="str">
        <f>TRIM(Employee_dataset[[#This Row],[Performance_Score]])</f>
        <v>Average</v>
      </c>
      <c r="M334" t="str">
        <f>TRIM(Employee_dataset[[#This Row],[Remote_Work]])</f>
        <v>FALSE</v>
      </c>
    </row>
    <row r="335" spans="1:13" x14ac:dyDescent="0.3">
      <c r="A335" t="str">
        <f>TRIM(Employee_dataset[[#This Row],[Employee_ID]])</f>
        <v>EMP1333</v>
      </c>
      <c r="B335" t="str">
        <f>PROPER(TRIM(Employee_dataset[[#This Row],[First_Name]]))</f>
        <v>David</v>
      </c>
      <c r="C335" t="str">
        <f>PROPER(TRIM(Employee_dataset[[#This Row],[Last_Name]]))</f>
        <v>Williams</v>
      </c>
      <c r="D335" s="6" t="str">
        <f>_xlfn.LET(
     _xlpm.a, TRIM(Employee_dataset[[#This Row],[Age]]),
     IF(
        _xlpm.a="","",
        IF(
           AND(ISNUMBER(--_xlpm.a),LEN(_xlpm.a)=2),_xlpm.a,""
          )
       )
    )</f>
        <v>35</v>
      </c>
      <c r="E335" t="str">
        <f>TRIM(_xlfn.TEXTBEFORE(Employee_dataset[[#This Row],[Department_Region]],"-"))</f>
        <v>DevOps</v>
      </c>
      <c r="F335" t="str">
        <f>TRIM(_xlfn.TEXTAFTER(Employee_dataset[[#This Row],[Department_Region]],"-"))</f>
        <v>Texas</v>
      </c>
      <c r="G335" t="str">
        <f>TRIM(Employee_dataset[[#This Row],[Status]])</f>
        <v>Pending</v>
      </c>
      <c r="H335" s="1">
        <f>_xlfn.LET(
     _xlpm.d, Employee_dataset[[#This Row],[Join_Date]],
     IF(
        ISNUMBER(_xlpm.d),_xlpm.d,""
       )
    )</f>
        <v>45588</v>
      </c>
      <c r="I335" s="6">
        <f>_xlfn.LET(
     _xlpm.s, TRIM(Employee_dataset[[#This Row],[Salary]]),
     IF(
        UPPER(_xlpm.s)="N/A","",
        IF(
           ISNUMBER(--_xlpm.s),ROUND(_xlfn.NUMBERVALUE(_xlpm.s),2),""
          )
       )
    )</f>
        <v>95492.61</v>
      </c>
      <c r="J335" t="str">
        <f>TRIM(Employee_dataset[[#This Row],[Email]])</f>
        <v>david.williams@example.com</v>
      </c>
      <c r="K335" t="str">
        <f>_xlfn.LET(
     _xlpm.p,TRIM(SUBSTITUTE(Employee_dataset[[#This Row],[Phone]],"-","")),
     IF(
        LEN(_xlpm.p)=10,_xlfn.CONCAT("("&amp;LEFT(_xlpm.p,3)&amp;") "&amp;MID(_xlpm.p,4,3)&amp;"-"&amp;RIGHT(_xlpm.p,4),"")
       )
     )</f>
        <v>(687) 409-0379</v>
      </c>
      <c r="L335" t="str">
        <f>TRIM(Employee_dataset[[#This Row],[Performance_Score]])</f>
        <v>Good</v>
      </c>
      <c r="M335" t="str">
        <f>TRIM(Employee_dataset[[#This Row],[Remote_Work]])</f>
        <v>FALSE</v>
      </c>
    </row>
    <row r="336" spans="1:13" x14ac:dyDescent="0.3">
      <c r="A336" t="str">
        <f>TRIM(Employee_dataset[[#This Row],[Employee_ID]])</f>
        <v>EMP1334</v>
      </c>
      <c r="B336" t="str">
        <f>PROPER(TRIM(Employee_dataset[[#This Row],[First_Name]]))</f>
        <v>Grace</v>
      </c>
      <c r="C336" t="str">
        <f>PROPER(TRIM(Employee_dataset[[#This Row],[Last_Name]]))</f>
        <v>Miller</v>
      </c>
      <c r="D336" s="6" t="str">
        <f>_xlfn.LET(
     _xlpm.a, TRIM(Employee_dataset[[#This Row],[Age]]),
     IF(
        _xlpm.a="","",
        IF(
           AND(ISNUMBER(--_xlpm.a),LEN(_xlpm.a)=2),_xlpm.a,""
          )
       )
    )</f>
        <v>40</v>
      </c>
      <c r="E336" t="str">
        <f>TRIM(_xlfn.TEXTBEFORE(Employee_dataset[[#This Row],[Department_Region]],"-"))</f>
        <v>Finance</v>
      </c>
      <c r="F336" t="str">
        <f>TRIM(_xlfn.TEXTAFTER(Employee_dataset[[#This Row],[Department_Region]],"-"))</f>
        <v>Illinois</v>
      </c>
      <c r="G336" t="str">
        <f>TRIM(Employee_dataset[[#This Row],[Status]])</f>
        <v>Inactive</v>
      </c>
      <c r="H336" s="1">
        <f>_xlfn.LET(
     _xlpm.d, Employee_dataset[[#This Row],[Join_Date]],
     IF(
        ISNUMBER(_xlpm.d),_xlpm.d,""
       )
    )</f>
        <v>43945</v>
      </c>
      <c r="I336" s="6">
        <f>_xlfn.LET(
     _xlpm.s, TRIM(Employee_dataset[[#This Row],[Salary]]),
     IF(
        UPPER(_xlpm.s)="N/A","",
        IF(
           ISNUMBER(--_xlpm.s),ROUND(_xlfn.NUMBERVALUE(_xlpm.s),2),""
          )
       )
    )</f>
        <v>94572.37</v>
      </c>
      <c r="J336" t="str">
        <f>TRIM(Employee_dataset[[#This Row],[Email]])</f>
        <v>grace.miller@example.com</v>
      </c>
      <c r="K336" t="str">
        <f>_xlfn.LET(
     _xlpm.p,TRIM(SUBSTITUTE(Employee_dataset[[#This Row],[Phone]],"-","")),
     IF(
        LEN(_xlpm.p)=10,_xlfn.CONCAT("("&amp;LEFT(_xlpm.p,3)&amp;") "&amp;MID(_xlpm.p,4,3)&amp;"-"&amp;RIGHT(_xlpm.p,4),"")
       )
     )</f>
        <v>(214) 629-6135</v>
      </c>
      <c r="L336" t="str">
        <f>TRIM(Employee_dataset[[#This Row],[Performance_Score]])</f>
        <v>Good</v>
      </c>
      <c r="M336" t="str">
        <f>TRIM(Employee_dataset[[#This Row],[Remote_Work]])</f>
        <v>FALSE</v>
      </c>
    </row>
    <row r="337" spans="1:13" x14ac:dyDescent="0.3">
      <c r="A337" t="str">
        <f>TRIM(Employee_dataset[[#This Row],[Employee_ID]])</f>
        <v>EMP1335</v>
      </c>
      <c r="B337" t="str">
        <f>PROPER(TRIM(Employee_dataset[[#This Row],[First_Name]]))</f>
        <v>Bob</v>
      </c>
      <c r="C337" t="str">
        <f>PROPER(TRIM(Employee_dataset[[#This Row],[Last_Name]]))</f>
        <v>Garcia</v>
      </c>
      <c r="D337" s="6" t="str">
        <f>_xlfn.LET(
     _xlpm.a, TRIM(Employee_dataset[[#This Row],[Age]]),
     IF(
        _xlpm.a="","",
        IF(
           AND(ISNUMBER(--_xlpm.a),LEN(_xlpm.a)=2),_xlpm.a,""
          )
       )
    )</f>
        <v>40</v>
      </c>
      <c r="E337" t="str">
        <f>TRIM(_xlfn.TEXTBEFORE(Employee_dataset[[#This Row],[Department_Region]],"-"))</f>
        <v>Finance</v>
      </c>
      <c r="F337" t="str">
        <f>TRIM(_xlfn.TEXTAFTER(Employee_dataset[[#This Row],[Department_Region]],"-"))</f>
        <v>Nevada</v>
      </c>
      <c r="G337" t="str">
        <f>TRIM(Employee_dataset[[#This Row],[Status]])</f>
        <v>Inactive</v>
      </c>
      <c r="H337" s="1">
        <f>_xlfn.LET(
     _xlpm.d, Employee_dataset[[#This Row],[Join_Date]],
     IF(
        ISNUMBER(_xlpm.d),_xlpm.d,""
       )
    )</f>
        <v>44989</v>
      </c>
      <c r="I337" s="6">
        <f>_xlfn.LET(
     _xlpm.s, TRIM(Employee_dataset[[#This Row],[Salary]]),
     IF(
        UPPER(_xlpm.s)="N/A","",
        IF(
           ISNUMBER(--_xlpm.s),ROUND(_xlfn.NUMBERVALUE(_xlpm.s),2),""
          )
       )
    )</f>
        <v>118413.05</v>
      </c>
      <c r="J337" t="str">
        <f>TRIM(Employee_dataset[[#This Row],[Email]])</f>
        <v>bob.garcia@example.com</v>
      </c>
      <c r="K337" t="str">
        <f>_xlfn.LET(
     _xlpm.p,TRIM(SUBSTITUTE(Employee_dataset[[#This Row],[Phone]],"-","")),
     IF(
        LEN(_xlpm.p)=10,_xlfn.CONCAT("("&amp;LEFT(_xlpm.p,3)&amp;") "&amp;MID(_xlpm.p,4,3)&amp;"-"&amp;RIGHT(_xlpm.p,4),"")
       )
     )</f>
        <v>(715) 778-7111</v>
      </c>
      <c r="L337" t="str">
        <f>TRIM(Employee_dataset[[#This Row],[Performance_Score]])</f>
        <v>Poor</v>
      </c>
      <c r="M337" t="str">
        <f>TRIM(Employee_dataset[[#This Row],[Remote_Work]])</f>
        <v>FALSE</v>
      </c>
    </row>
    <row r="338" spans="1:13" x14ac:dyDescent="0.3">
      <c r="A338" t="str">
        <f>TRIM(Employee_dataset[[#This Row],[Employee_ID]])</f>
        <v>EMP1336</v>
      </c>
      <c r="B338" t="str">
        <f>PROPER(TRIM(Employee_dataset[[#This Row],[First_Name]]))</f>
        <v>Alice</v>
      </c>
      <c r="C338" t="str">
        <f>PROPER(TRIM(Employee_dataset[[#This Row],[Last_Name]]))</f>
        <v>Jones</v>
      </c>
      <c r="D338" s="6" t="str">
        <f>_xlfn.LET(
     _xlpm.a, TRIM(Employee_dataset[[#This Row],[Age]]),
     IF(
        _xlpm.a="","",
        IF(
           AND(ISNUMBER(--_xlpm.a),LEN(_xlpm.a)=2),_xlpm.a,""
          )
       )
    )</f>
        <v>30</v>
      </c>
      <c r="E338" t="str">
        <f>TRIM(_xlfn.TEXTBEFORE(Employee_dataset[[#This Row],[Department_Region]],"-"))</f>
        <v>Admin</v>
      </c>
      <c r="F338" t="str">
        <f>TRIM(_xlfn.TEXTAFTER(Employee_dataset[[#This Row],[Department_Region]],"-"))</f>
        <v>Nevada</v>
      </c>
      <c r="G338" t="str">
        <f>TRIM(Employee_dataset[[#This Row],[Status]])</f>
        <v>Pending</v>
      </c>
      <c r="H338" s="1">
        <f>_xlfn.LET(
     _xlpm.d, Employee_dataset[[#This Row],[Join_Date]],
     IF(
        ISNUMBER(_xlpm.d),_xlpm.d,""
       )
    )</f>
        <v>44804</v>
      </c>
      <c r="I338" s="6">
        <f>_xlfn.LET(
     _xlpm.s, TRIM(Employee_dataset[[#This Row],[Salary]]),
     IF(
        UPPER(_xlpm.s)="N/A","",
        IF(
           ISNUMBER(--_xlpm.s),ROUND(_xlfn.NUMBERVALUE(_xlpm.s),2),""
          )
       )
    )</f>
        <v>68976.649999999994</v>
      </c>
      <c r="J338" t="str">
        <f>TRIM(Employee_dataset[[#This Row],[Email]])</f>
        <v>alice.jones@example.com</v>
      </c>
      <c r="K338" t="str">
        <f>_xlfn.LET(
     _xlpm.p,TRIM(SUBSTITUTE(Employee_dataset[[#This Row],[Phone]],"-","")),
     IF(
        LEN(_xlpm.p)=10,_xlfn.CONCAT("("&amp;LEFT(_xlpm.p,3)&amp;") "&amp;MID(_xlpm.p,4,3)&amp;"-"&amp;RIGHT(_xlpm.p,4),"")
       )
     )</f>
        <v>(166) 365-1558</v>
      </c>
      <c r="L338" t="str">
        <f>TRIM(Employee_dataset[[#This Row],[Performance_Score]])</f>
        <v>Poor</v>
      </c>
      <c r="M338" t="str">
        <f>TRIM(Employee_dataset[[#This Row],[Remote_Work]])</f>
        <v>TRUE</v>
      </c>
    </row>
    <row r="339" spans="1:13" x14ac:dyDescent="0.3">
      <c r="A339" t="str">
        <f>TRIM(Employee_dataset[[#This Row],[Employee_ID]])</f>
        <v>EMP1337</v>
      </c>
      <c r="B339" t="str">
        <f>PROPER(TRIM(Employee_dataset[[#This Row],[First_Name]]))</f>
        <v>Eva</v>
      </c>
      <c r="C339" t="str">
        <f>PROPER(TRIM(Employee_dataset[[#This Row],[Last_Name]]))</f>
        <v>Williams</v>
      </c>
      <c r="D339" s="6" t="str">
        <f>_xlfn.LET(
     _xlpm.a, TRIM(Employee_dataset[[#This Row],[Age]]),
     IF(
        _xlpm.a="","",
        IF(
           AND(ISNUMBER(--_xlpm.a),LEN(_xlpm.a)=2),_xlpm.a,""
          )
       )
    )</f>
        <v/>
      </c>
      <c r="E339" t="str">
        <f>TRIM(_xlfn.TEXTBEFORE(Employee_dataset[[#This Row],[Department_Region]],"-"))</f>
        <v>Sales</v>
      </c>
      <c r="F339" t="str">
        <f>TRIM(_xlfn.TEXTAFTER(Employee_dataset[[#This Row],[Department_Region]],"-"))</f>
        <v>Nevada</v>
      </c>
      <c r="G339" t="str">
        <f>TRIM(Employee_dataset[[#This Row],[Status]])</f>
        <v>Active</v>
      </c>
      <c r="H339" s="1">
        <f>_xlfn.LET(
     _xlpm.d, Employee_dataset[[#This Row],[Join_Date]],
     IF(
        ISNUMBER(_xlpm.d),_xlpm.d,""
       )
    )</f>
        <v>44198</v>
      </c>
      <c r="I339" s="6">
        <f>_xlfn.LET(
     _xlpm.s, TRIM(Employee_dataset[[#This Row],[Salary]]),
     IF(
        UPPER(_xlpm.s)="N/A","",
        IF(
           ISNUMBER(--_xlpm.s),ROUND(_xlfn.NUMBERVALUE(_xlpm.s),2),""
          )
       )
    )</f>
        <v>115013.65</v>
      </c>
      <c r="J339" t="str">
        <f>TRIM(Employee_dataset[[#This Row],[Email]])</f>
        <v>eva.williams@example.com</v>
      </c>
      <c r="K339" t="str">
        <f>_xlfn.LET(
     _xlpm.p,TRIM(SUBSTITUTE(Employee_dataset[[#This Row],[Phone]],"-","")),
     IF(
        LEN(_xlpm.p)=10,_xlfn.CONCAT("("&amp;LEFT(_xlpm.p,3)&amp;") "&amp;MID(_xlpm.p,4,3)&amp;"-"&amp;RIGHT(_xlpm.p,4),"")
       )
     )</f>
        <v>(737) 147-0826</v>
      </c>
      <c r="L339" t="str">
        <f>TRIM(Employee_dataset[[#This Row],[Performance_Score]])</f>
        <v>Average</v>
      </c>
      <c r="M339" t="str">
        <f>TRIM(Employee_dataset[[#This Row],[Remote_Work]])</f>
        <v>FALSE</v>
      </c>
    </row>
    <row r="340" spans="1:13" x14ac:dyDescent="0.3">
      <c r="A340" t="str">
        <f>TRIM(Employee_dataset[[#This Row],[Employee_ID]])</f>
        <v>EMP1338</v>
      </c>
      <c r="B340" t="str">
        <f>PROPER(TRIM(Employee_dataset[[#This Row],[First_Name]]))</f>
        <v>David</v>
      </c>
      <c r="C340" t="str">
        <f>PROPER(TRIM(Employee_dataset[[#This Row],[Last_Name]]))</f>
        <v>Brown</v>
      </c>
      <c r="D340" s="6" t="str">
        <f>_xlfn.LET(
     _xlpm.a, TRIM(Employee_dataset[[#This Row],[Age]]),
     IF(
        _xlpm.a="","",
        IF(
           AND(ISNUMBER(--_xlpm.a),LEN(_xlpm.a)=2),_xlpm.a,""
          )
       )
    )</f>
        <v/>
      </c>
      <c r="E340" t="str">
        <f>TRIM(_xlfn.TEXTBEFORE(Employee_dataset[[#This Row],[Department_Region]],"-"))</f>
        <v>Admin</v>
      </c>
      <c r="F340" t="str">
        <f>TRIM(_xlfn.TEXTAFTER(Employee_dataset[[#This Row],[Department_Region]],"-"))</f>
        <v>Nevada</v>
      </c>
      <c r="G340" t="str">
        <f>TRIM(Employee_dataset[[#This Row],[Status]])</f>
        <v>Inactive</v>
      </c>
      <c r="H340" s="1">
        <f>_xlfn.LET(
     _xlpm.d, Employee_dataset[[#This Row],[Join_Date]],
     IF(
        ISNUMBER(_xlpm.d),_xlpm.d,""
       )
    )</f>
        <v>43988</v>
      </c>
      <c r="I340" s="6">
        <f>_xlfn.LET(
     _xlpm.s, TRIM(Employee_dataset[[#This Row],[Salary]]),
     IF(
        UPPER(_xlpm.s)="N/A","",
        IF(
           ISNUMBER(--_xlpm.s),ROUND(_xlfn.NUMBERVALUE(_xlpm.s),2),""
          )
       )
    )</f>
        <v>70949.38</v>
      </c>
      <c r="J340" t="str">
        <f>TRIM(Employee_dataset[[#This Row],[Email]])</f>
        <v>david.brown@example.com</v>
      </c>
      <c r="K340" t="str">
        <f>_xlfn.LET(
     _xlpm.p,TRIM(SUBSTITUTE(Employee_dataset[[#This Row],[Phone]],"-","")),
     IF(
        LEN(_xlpm.p)=10,_xlfn.CONCAT("("&amp;LEFT(_xlpm.p,3)&amp;") "&amp;MID(_xlpm.p,4,3)&amp;"-"&amp;RIGHT(_xlpm.p,4),"")
       )
     )</f>
        <v>(235) 909-6055</v>
      </c>
      <c r="L340" t="str">
        <f>TRIM(Employee_dataset[[#This Row],[Performance_Score]])</f>
        <v>Poor</v>
      </c>
      <c r="M340" t="str">
        <f>TRIM(Employee_dataset[[#This Row],[Remote_Work]])</f>
        <v>TRUE</v>
      </c>
    </row>
    <row r="341" spans="1:13" x14ac:dyDescent="0.3">
      <c r="A341" t="str">
        <f>TRIM(Employee_dataset[[#This Row],[Employee_ID]])</f>
        <v>EMP1339</v>
      </c>
      <c r="B341" t="str">
        <f>PROPER(TRIM(Employee_dataset[[#This Row],[First_Name]]))</f>
        <v>Grace</v>
      </c>
      <c r="C341" t="str">
        <f>PROPER(TRIM(Employee_dataset[[#This Row],[Last_Name]]))</f>
        <v>Brown</v>
      </c>
      <c r="D341" s="6" t="str">
        <f>_xlfn.LET(
     _xlpm.a, TRIM(Employee_dataset[[#This Row],[Age]]),
     IF(
        _xlpm.a="","",
        IF(
           AND(ISNUMBER(--_xlpm.a),LEN(_xlpm.a)=2),_xlpm.a,""
          )
       )
    )</f>
        <v/>
      </c>
      <c r="E341" t="str">
        <f>TRIM(_xlfn.TEXTBEFORE(Employee_dataset[[#This Row],[Department_Region]],"-"))</f>
        <v>HR</v>
      </c>
      <c r="F341" t="str">
        <f>TRIM(_xlfn.TEXTAFTER(Employee_dataset[[#This Row],[Department_Region]],"-"))</f>
        <v>Florida</v>
      </c>
      <c r="G341" t="str">
        <f>TRIM(Employee_dataset[[#This Row],[Status]])</f>
        <v>Pending</v>
      </c>
      <c r="H341" s="1">
        <f>_xlfn.LET(
     _xlpm.d, Employee_dataset[[#This Row],[Join_Date]],
     IF(
        ISNUMBER(_xlpm.d),_xlpm.d,""
       )
    )</f>
        <v>44117</v>
      </c>
      <c r="I341" s="6">
        <f>_xlfn.LET(
     _xlpm.s, TRIM(Employee_dataset[[#This Row],[Salary]]),
     IF(
        UPPER(_xlpm.s)="N/A","",
        IF(
           ISNUMBER(--_xlpm.s),ROUND(_xlfn.NUMBERVALUE(_xlpm.s),2),""
          )
       )
    )</f>
        <v>105334.87</v>
      </c>
      <c r="J341" t="str">
        <f>TRIM(Employee_dataset[[#This Row],[Email]])</f>
        <v>grace.brown@example.com</v>
      </c>
      <c r="K341" t="str">
        <f>_xlfn.LET(
     _xlpm.p,TRIM(SUBSTITUTE(Employee_dataset[[#This Row],[Phone]],"-","")),
     IF(
        LEN(_xlpm.p)=10,_xlfn.CONCAT("("&amp;LEFT(_xlpm.p,3)&amp;") "&amp;MID(_xlpm.p,4,3)&amp;"-"&amp;RIGHT(_xlpm.p,4),"")
       )
     )</f>
        <v>(730) 306-4420</v>
      </c>
      <c r="L341" t="str">
        <f>TRIM(Employee_dataset[[#This Row],[Performance_Score]])</f>
        <v>Average</v>
      </c>
      <c r="M341" t="str">
        <f>TRIM(Employee_dataset[[#This Row],[Remote_Work]])</f>
        <v>FALSE</v>
      </c>
    </row>
    <row r="342" spans="1:13" x14ac:dyDescent="0.3">
      <c r="A342" t="str">
        <f>TRIM(Employee_dataset[[#This Row],[Employee_ID]])</f>
        <v>EMP1340</v>
      </c>
      <c r="B342" t="str">
        <f>PROPER(TRIM(Employee_dataset[[#This Row],[First_Name]]))</f>
        <v>Bob</v>
      </c>
      <c r="C342" t="str">
        <f>PROPER(TRIM(Employee_dataset[[#This Row],[Last_Name]]))</f>
        <v>Williams</v>
      </c>
      <c r="D342" s="6" t="str">
        <f>_xlfn.LET(
     _xlpm.a, TRIM(Employee_dataset[[#This Row],[Age]]),
     IF(
        _xlpm.a="","",
        IF(
           AND(ISNUMBER(--_xlpm.a),LEN(_xlpm.a)=2),_xlpm.a,""
          )
       )
    )</f>
        <v/>
      </c>
      <c r="E342" t="str">
        <f>TRIM(_xlfn.TEXTBEFORE(Employee_dataset[[#This Row],[Department_Region]],"-"))</f>
        <v>DevOps</v>
      </c>
      <c r="F342" t="str">
        <f>TRIM(_xlfn.TEXTAFTER(Employee_dataset[[#This Row],[Department_Region]],"-"))</f>
        <v>California</v>
      </c>
      <c r="G342" t="str">
        <f>TRIM(Employee_dataset[[#This Row],[Status]])</f>
        <v>Active</v>
      </c>
      <c r="H342" s="1">
        <f>_xlfn.LET(
     _xlpm.d, Employee_dataset[[#This Row],[Join_Date]],
     IF(
        ISNUMBER(_xlpm.d),_xlpm.d,""
       )
    )</f>
        <v>44031</v>
      </c>
      <c r="I342" s="6">
        <f>_xlfn.LET(
     _xlpm.s, TRIM(Employee_dataset[[#This Row],[Salary]]),
     IF(
        UPPER(_xlpm.s)="N/A","",
        IF(
           ISNUMBER(--_xlpm.s),ROUND(_xlfn.NUMBERVALUE(_xlpm.s),2),""
          )
       )
    )</f>
        <v>80596.179999999993</v>
      </c>
      <c r="J342" t="str">
        <f>TRIM(Employee_dataset[[#This Row],[Email]])</f>
        <v>bob.williams@example.com</v>
      </c>
      <c r="K342" t="str">
        <f>_xlfn.LET(
     _xlpm.p,TRIM(SUBSTITUTE(Employee_dataset[[#This Row],[Phone]],"-","")),
     IF(
        LEN(_xlpm.p)=10,_xlfn.CONCAT("("&amp;LEFT(_xlpm.p,3)&amp;") "&amp;MID(_xlpm.p,4,3)&amp;"-"&amp;RIGHT(_xlpm.p,4),"")
       )
     )</f>
        <v>(214) 614-7682</v>
      </c>
      <c r="L342" t="str">
        <f>TRIM(Employee_dataset[[#This Row],[Performance_Score]])</f>
        <v>Good</v>
      </c>
      <c r="M342" t="str">
        <f>TRIM(Employee_dataset[[#This Row],[Remote_Work]])</f>
        <v>FALSE</v>
      </c>
    </row>
    <row r="343" spans="1:13" x14ac:dyDescent="0.3">
      <c r="A343" t="str">
        <f>TRIM(Employee_dataset[[#This Row],[Employee_ID]])</f>
        <v>EMP1341</v>
      </c>
      <c r="B343" t="str">
        <f>PROPER(TRIM(Employee_dataset[[#This Row],[First_Name]]))</f>
        <v>Frank</v>
      </c>
      <c r="C343" t="str">
        <f>PROPER(TRIM(Employee_dataset[[#This Row],[Last_Name]]))</f>
        <v>Brown</v>
      </c>
      <c r="D343" s="6" t="str">
        <f>_xlfn.LET(
     _xlpm.a, TRIM(Employee_dataset[[#This Row],[Age]]),
     IF(
        _xlpm.a="","",
        IF(
           AND(ISNUMBER(--_xlpm.a),LEN(_xlpm.a)=2),_xlpm.a,""
          )
       )
    )</f>
        <v/>
      </c>
      <c r="E343" t="str">
        <f>TRIM(_xlfn.TEXTBEFORE(Employee_dataset[[#This Row],[Department_Region]],"-"))</f>
        <v>Sales</v>
      </c>
      <c r="F343" t="str">
        <f>TRIM(_xlfn.TEXTAFTER(Employee_dataset[[#This Row],[Department_Region]],"-"))</f>
        <v>Illinois</v>
      </c>
      <c r="G343" t="str">
        <f>TRIM(Employee_dataset[[#This Row],[Status]])</f>
        <v>Inactive</v>
      </c>
      <c r="H343" s="1">
        <f>_xlfn.LET(
     _xlpm.d, Employee_dataset[[#This Row],[Join_Date]],
     IF(
        ISNUMBER(_xlpm.d),_xlpm.d,""
       )
    )</f>
        <v>45415</v>
      </c>
      <c r="I343" s="6">
        <f>_xlfn.LET(
     _xlpm.s, TRIM(Employee_dataset[[#This Row],[Salary]]),
     IF(
        UPPER(_xlpm.s)="N/A","",
        IF(
           ISNUMBER(--_xlpm.s),ROUND(_xlfn.NUMBERVALUE(_xlpm.s),2),""
          )
       )
    )</f>
        <v>72846.37</v>
      </c>
      <c r="J343" t="str">
        <f>TRIM(Employee_dataset[[#This Row],[Email]])</f>
        <v>frank.brown@example.com</v>
      </c>
      <c r="K343" t="str">
        <f>_xlfn.LET(
     _xlpm.p,TRIM(SUBSTITUTE(Employee_dataset[[#This Row],[Phone]],"-","")),
     IF(
        LEN(_xlpm.p)=10,_xlfn.CONCAT("("&amp;LEFT(_xlpm.p,3)&amp;") "&amp;MID(_xlpm.p,4,3)&amp;"-"&amp;RIGHT(_xlpm.p,4),"")
       )
     )</f>
        <v>(420) 165-4234</v>
      </c>
      <c r="L343" t="str">
        <f>TRIM(Employee_dataset[[#This Row],[Performance_Score]])</f>
        <v>Good</v>
      </c>
      <c r="M343" t="str">
        <f>TRIM(Employee_dataset[[#This Row],[Remote_Work]])</f>
        <v>TRUE</v>
      </c>
    </row>
    <row r="344" spans="1:13" x14ac:dyDescent="0.3">
      <c r="A344" t="str">
        <f>TRIM(Employee_dataset[[#This Row],[Employee_ID]])</f>
        <v>EMP1342</v>
      </c>
      <c r="B344" t="str">
        <f>PROPER(TRIM(Employee_dataset[[#This Row],[First_Name]]))</f>
        <v>Heidi</v>
      </c>
      <c r="C344" t="str">
        <f>PROPER(TRIM(Employee_dataset[[#This Row],[Last_Name]]))</f>
        <v>Williams</v>
      </c>
      <c r="D344" s="6" t="str">
        <f>_xlfn.LET(
     _xlpm.a, TRIM(Employee_dataset[[#This Row],[Age]]),
     IF(
        _xlpm.a="","",
        IF(
           AND(ISNUMBER(--_xlpm.a),LEN(_xlpm.a)=2),_xlpm.a,""
          )
       )
    )</f>
        <v>40</v>
      </c>
      <c r="E344" t="str">
        <f>TRIM(_xlfn.TEXTBEFORE(Employee_dataset[[#This Row],[Department_Region]],"-"))</f>
        <v>Admin</v>
      </c>
      <c r="F344" t="str">
        <f>TRIM(_xlfn.TEXTAFTER(Employee_dataset[[#This Row],[Department_Region]],"-"))</f>
        <v>California</v>
      </c>
      <c r="G344" t="str">
        <f>TRIM(Employee_dataset[[#This Row],[Status]])</f>
        <v>Pending</v>
      </c>
      <c r="H344" s="1">
        <f>_xlfn.LET(
     _xlpm.d, Employee_dataset[[#This Row],[Join_Date]],
     IF(
        ISNUMBER(_xlpm.d),_xlpm.d,""
       )
    )</f>
        <v>44599</v>
      </c>
      <c r="I344" s="6">
        <f>_xlfn.LET(
     _xlpm.s, TRIM(Employee_dataset[[#This Row],[Salary]]),
     IF(
        UPPER(_xlpm.s)="N/A","",
        IF(
           ISNUMBER(--_xlpm.s),ROUND(_xlfn.NUMBERVALUE(_xlpm.s),2),""
          )
       )
    )</f>
        <v>80229.36</v>
      </c>
      <c r="J344" t="str">
        <f>TRIM(Employee_dataset[[#This Row],[Email]])</f>
        <v>heidi.williams@example.com</v>
      </c>
      <c r="K344" t="str">
        <f>_xlfn.LET(
     _xlpm.p,TRIM(SUBSTITUTE(Employee_dataset[[#This Row],[Phone]],"-","")),
     IF(
        LEN(_xlpm.p)=10,_xlfn.CONCAT("("&amp;LEFT(_xlpm.p,3)&amp;") "&amp;MID(_xlpm.p,4,3)&amp;"-"&amp;RIGHT(_xlpm.p,4),"")
       )
     )</f>
        <v>(677) 826-5959</v>
      </c>
      <c r="L344" t="str">
        <f>TRIM(Employee_dataset[[#This Row],[Performance_Score]])</f>
        <v>Excellent</v>
      </c>
      <c r="M344" t="str">
        <f>TRIM(Employee_dataset[[#This Row],[Remote_Work]])</f>
        <v>FALSE</v>
      </c>
    </row>
    <row r="345" spans="1:13" x14ac:dyDescent="0.3">
      <c r="A345" t="str">
        <f>TRIM(Employee_dataset[[#This Row],[Employee_ID]])</f>
        <v>EMP1343</v>
      </c>
      <c r="B345" t="str">
        <f>PROPER(TRIM(Employee_dataset[[#This Row],[First_Name]]))</f>
        <v>Grace</v>
      </c>
      <c r="C345" t="str">
        <f>PROPER(TRIM(Employee_dataset[[#This Row],[Last_Name]]))</f>
        <v>Johnson</v>
      </c>
      <c r="D345" s="6" t="str">
        <f>_xlfn.LET(
     _xlpm.a, TRIM(Employee_dataset[[#This Row],[Age]]),
     IF(
        _xlpm.a="","",
        IF(
           AND(ISNUMBER(--_xlpm.a),LEN(_xlpm.a)=2),_xlpm.a,""
          )
       )
    )</f>
        <v>25</v>
      </c>
      <c r="E345" t="str">
        <f>TRIM(_xlfn.TEXTBEFORE(Employee_dataset[[#This Row],[Department_Region]],"-"))</f>
        <v>Sales</v>
      </c>
      <c r="F345" t="str">
        <f>TRIM(_xlfn.TEXTAFTER(Employee_dataset[[#This Row],[Department_Region]],"-"))</f>
        <v>California</v>
      </c>
      <c r="G345" t="str">
        <f>TRIM(Employee_dataset[[#This Row],[Status]])</f>
        <v>Active</v>
      </c>
      <c r="H345" s="1">
        <f>_xlfn.LET(
     _xlpm.d, Employee_dataset[[#This Row],[Join_Date]],
     IF(
        ISNUMBER(_xlpm.d),_xlpm.d,""
       )
    )</f>
        <v>45291</v>
      </c>
      <c r="I345" s="6">
        <f>_xlfn.LET(
     _xlpm.s, TRIM(Employee_dataset[[#This Row],[Salary]]),
     IF(
        UPPER(_xlpm.s)="N/A","",
        IF(
           ISNUMBER(--_xlpm.s),ROUND(_xlfn.NUMBERVALUE(_xlpm.s),2),""
          )
       )
    )</f>
        <v>55145.47</v>
      </c>
      <c r="J345" t="str">
        <f>TRIM(Employee_dataset[[#This Row],[Email]])</f>
        <v>grace.johnson@example.com</v>
      </c>
      <c r="K345" t="str">
        <f>_xlfn.LET(
     _xlpm.p,TRIM(SUBSTITUTE(Employee_dataset[[#This Row],[Phone]],"-","")),
     IF(
        LEN(_xlpm.p)=10,_xlfn.CONCAT("("&amp;LEFT(_xlpm.p,3)&amp;") "&amp;MID(_xlpm.p,4,3)&amp;"-"&amp;RIGHT(_xlpm.p,4),"")
       )
     )</f>
        <v>(893) 199-2549</v>
      </c>
      <c r="L345" t="str">
        <f>TRIM(Employee_dataset[[#This Row],[Performance_Score]])</f>
        <v>Good</v>
      </c>
      <c r="M345" t="str">
        <f>TRIM(Employee_dataset[[#This Row],[Remote_Work]])</f>
        <v>FALSE</v>
      </c>
    </row>
    <row r="346" spans="1:13" x14ac:dyDescent="0.3">
      <c r="A346" t="str">
        <f>TRIM(Employee_dataset[[#This Row],[Employee_ID]])</f>
        <v>EMP1344</v>
      </c>
      <c r="B346" t="str">
        <f>PROPER(TRIM(Employee_dataset[[#This Row],[First_Name]]))</f>
        <v>Grace</v>
      </c>
      <c r="C346" t="str">
        <f>PROPER(TRIM(Employee_dataset[[#This Row],[Last_Name]]))</f>
        <v>Williams</v>
      </c>
      <c r="D346" s="6" t="str">
        <f>_xlfn.LET(
     _xlpm.a, TRIM(Employee_dataset[[#This Row],[Age]]),
     IF(
        _xlpm.a="","",
        IF(
           AND(ISNUMBER(--_xlpm.a),LEN(_xlpm.a)=2),_xlpm.a,""
          )
       )
    )</f>
        <v>30</v>
      </c>
      <c r="E346" t="str">
        <f>TRIM(_xlfn.TEXTBEFORE(Employee_dataset[[#This Row],[Department_Region]],"-"))</f>
        <v>DevOps</v>
      </c>
      <c r="F346" t="str">
        <f>TRIM(_xlfn.TEXTAFTER(Employee_dataset[[#This Row],[Department_Region]],"-"))</f>
        <v>Florida</v>
      </c>
      <c r="G346" t="str">
        <f>TRIM(Employee_dataset[[#This Row],[Status]])</f>
        <v>Inactive</v>
      </c>
      <c r="H346" s="1">
        <f>_xlfn.LET(
     _xlpm.d, Employee_dataset[[#This Row],[Join_Date]],
     IF(
        ISNUMBER(_xlpm.d),_xlpm.d,""
       )
    )</f>
        <v>44569</v>
      </c>
      <c r="I346" s="6" t="str">
        <f>_xlfn.LET(
     _xlpm.s, TRIM(Employee_dataset[[#This Row],[Salary]]),
     IF(
        UPPER(_xlpm.s)="N/A","",
        IF(
           ISNUMBER(--_xlpm.s),ROUND(_xlfn.NUMBERVALUE(_xlpm.s),2),""
          )
       )
    )</f>
        <v/>
      </c>
      <c r="J346" t="str">
        <f>TRIM(Employee_dataset[[#This Row],[Email]])</f>
        <v>grace.williams@example.com</v>
      </c>
      <c r="K346" t="str">
        <f>_xlfn.LET(
     _xlpm.p,TRIM(SUBSTITUTE(Employee_dataset[[#This Row],[Phone]],"-","")),
     IF(
        LEN(_xlpm.p)=10,_xlfn.CONCAT("("&amp;LEFT(_xlpm.p,3)&amp;") "&amp;MID(_xlpm.p,4,3)&amp;"-"&amp;RIGHT(_xlpm.p,4),"")
       )
     )</f>
        <v>(272) 751-6479</v>
      </c>
      <c r="L346" t="str">
        <f>TRIM(Employee_dataset[[#This Row],[Performance_Score]])</f>
        <v>Poor</v>
      </c>
      <c r="M346" t="str">
        <f>TRIM(Employee_dataset[[#This Row],[Remote_Work]])</f>
        <v>TRUE</v>
      </c>
    </row>
    <row r="347" spans="1:13" x14ac:dyDescent="0.3">
      <c r="A347" t="str">
        <f>TRIM(Employee_dataset[[#This Row],[Employee_ID]])</f>
        <v>EMP1345</v>
      </c>
      <c r="B347" t="str">
        <f>PROPER(TRIM(Employee_dataset[[#This Row],[First_Name]]))</f>
        <v>Eva</v>
      </c>
      <c r="C347" t="str">
        <f>PROPER(TRIM(Employee_dataset[[#This Row],[Last_Name]]))</f>
        <v>Davis</v>
      </c>
      <c r="D347" s="6" t="str">
        <f>_xlfn.LET(
     _xlpm.a, TRIM(Employee_dataset[[#This Row],[Age]]),
     IF(
        _xlpm.a="","",
        IF(
           AND(ISNUMBER(--_xlpm.a),LEN(_xlpm.a)=2),_xlpm.a,""
          )
       )
    )</f>
        <v>40</v>
      </c>
      <c r="E347" t="str">
        <f>TRIM(_xlfn.TEXTBEFORE(Employee_dataset[[#This Row],[Department_Region]],"-"))</f>
        <v>HR</v>
      </c>
      <c r="F347" t="str">
        <f>TRIM(_xlfn.TEXTAFTER(Employee_dataset[[#This Row],[Department_Region]],"-"))</f>
        <v>California</v>
      </c>
      <c r="G347" t="str">
        <f>TRIM(Employee_dataset[[#This Row],[Status]])</f>
        <v>Active</v>
      </c>
      <c r="H347" s="1">
        <f>_xlfn.LET(
     _xlpm.d, Employee_dataset[[#This Row],[Join_Date]],
     IF(
        ISNUMBER(_xlpm.d),_xlpm.d,""
       )
    )</f>
        <v>44102</v>
      </c>
      <c r="I347" s="6">
        <f>_xlfn.LET(
     _xlpm.s, TRIM(Employee_dataset[[#This Row],[Salary]]),
     IF(
        UPPER(_xlpm.s)="N/A","",
        IF(
           ISNUMBER(--_xlpm.s),ROUND(_xlfn.NUMBERVALUE(_xlpm.s),2),""
          )
       )
    )</f>
        <v>56110.81</v>
      </c>
      <c r="J347" t="str">
        <f>TRIM(Employee_dataset[[#This Row],[Email]])</f>
        <v>eva.davis@example.com</v>
      </c>
      <c r="K347" t="str">
        <f>_xlfn.LET(
     _xlpm.p,TRIM(SUBSTITUTE(Employee_dataset[[#This Row],[Phone]],"-","")),
     IF(
        LEN(_xlpm.p)=10,_xlfn.CONCAT("("&amp;LEFT(_xlpm.p,3)&amp;") "&amp;MID(_xlpm.p,4,3)&amp;"-"&amp;RIGHT(_xlpm.p,4),"")
       )
     )</f>
        <v>(727) 910-3367</v>
      </c>
      <c r="L347" t="str">
        <f>TRIM(Employee_dataset[[#This Row],[Performance_Score]])</f>
        <v>Good</v>
      </c>
      <c r="M347" t="str">
        <f>TRIM(Employee_dataset[[#This Row],[Remote_Work]])</f>
        <v>FALSE</v>
      </c>
    </row>
    <row r="348" spans="1:13" x14ac:dyDescent="0.3">
      <c r="A348" t="str">
        <f>TRIM(Employee_dataset[[#This Row],[Employee_ID]])</f>
        <v>EMP1346</v>
      </c>
      <c r="B348" t="str">
        <f>PROPER(TRIM(Employee_dataset[[#This Row],[First_Name]]))</f>
        <v>Grace</v>
      </c>
      <c r="C348" t="str">
        <f>PROPER(TRIM(Employee_dataset[[#This Row],[Last_Name]]))</f>
        <v>Williams</v>
      </c>
      <c r="D348" s="6" t="str">
        <f>_xlfn.LET(
     _xlpm.a, TRIM(Employee_dataset[[#This Row],[Age]]),
     IF(
        _xlpm.a="","",
        IF(
           AND(ISNUMBER(--_xlpm.a),LEN(_xlpm.a)=2),_xlpm.a,""
          )
       )
    )</f>
        <v>25</v>
      </c>
      <c r="E348" t="str">
        <f>TRIM(_xlfn.TEXTBEFORE(Employee_dataset[[#This Row],[Department_Region]],"-"))</f>
        <v>Cloud Tech</v>
      </c>
      <c r="F348" t="str">
        <f>TRIM(_xlfn.TEXTAFTER(Employee_dataset[[#This Row],[Department_Region]],"-"))</f>
        <v>Texas</v>
      </c>
      <c r="G348" t="str">
        <f>TRIM(Employee_dataset[[#This Row],[Status]])</f>
        <v>Inactive</v>
      </c>
      <c r="H348" s="1">
        <f>_xlfn.LET(
     _xlpm.d, Employee_dataset[[#This Row],[Join_Date]],
     IF(
        ISNUMBER(_xlpm.d),_xlpm.d,""
       )
    )</f>
        <v>44966</v>
      </c>
      <c r="I348" s="6">
        <f>_xlfn.LET(
     _xlpm.s, TRIM(Employee_dataset[[#This Row],[Salary]]),
     IF(
        UPPER(_xlpm.s)="N/A","",
        IF(
           ISNUMBER(--_xlpm.s),ROUND(_xlfn.NUMBERVALUE(_xlpm.s),2),""
          )
       )
    )</f>
        <v>56514.5</v>
      </c>
      <c r="J348" t="str">
        <f>TRIM(Employee_dataset[[#This Row],[Email]])</f>
        <v>grace.williams@example.com</v>
      </c>
      <c r="K348" t="str">
        <f>_xlfn.LET(
     _xlpm.p,TRIM(SUBSTITUTE(Employee_dataset[[#This Row],[Phone]],"-","")),
     IF(
        LEN(_xlpm.p)=10,_xlfn.CONCAT("("&amp;LEFT(_xlpm.p,3)&amp;") "&amp;MID(_xlpm.p,4,3)&amp;"-"&amp;RIGHT(_xlpm.p,4),"")
       )
     )</f>
        <v>(296) 353-3904</v>
      </c>
      <c r="L348" t="str">
        <f>TRIM(Employee_dataset[[#This Row],[Performance_Score]])</f>
        <v>Average</v>
      </c>
      <c r="M348" t="str">
        <f>TRIM(Employee_dataset[[#This Row],[Remote_Work]])</f>
        <v>FALSE</v>
      </c>
    </row>
    <row r="349" spans="1:13" x14ac:dyDescent="0.3">
      <c r="A349" t="str">
        <f>TRIM(Employee_dataset[[#This Row],[Employee_ID]])</f>
        <v>EMP1347</v>
      </c>
      <c r="B349" t="str">
        <f>PROPER(TRIM(Employee_dataset[[#This Row],[First_Name]]))</f>
        <v>Frank</v>
      </c>
      <c r="C349" t="str">
        <f>PROPER(TRIM(Employee_dataset[[#This Row],[Last_Name]]))</f>
        <v>Brown</v>
      </c>
      <c r="D349" s="6" t="str">
        <f>_xlfn.LET(
     _xlpm.a, TRIM(Employee_dataset[[#This Row],[Age]]),
     IF(
        _xlpm.a="","",
        IF(
           AND(ISNUMBER(--_xlpm.a),LEN(_xlpm.a)=2),_xlpm.a,""
          )
       )
    )</f>
        <v>40</v>
      </c>
      <c r="E349" t="str">
        <f>TRIM(_xlfn.TEXTBEFORE(Employee_dataset[[#This Row],[Department_Region]],"-"))</f>
        <v>Cloud Tech</v>
      </c>
      <c r="F349" t="str">
        <f>TRIM(_xlfn.TEXTAFTER(Employee_dataset[[#This Row],[Department_Region]],"-"))</f>
        <v>California</v>
      </c>
      <c r="G349" t="str">
        <f>TRIM(Employee_dataset[[#This Row],[Status]])</f>
        <v>Inactive</v>
      </c>
      <c r="H349" s="1">
        <f>_xlfn.LET(
     _xlpm.d, Employee_dataset[[#This Row],[Join_Date]],
     IF(
        ISNUMBER(_xlpm.d),_xlpm.d,""
       )
    )</f>
        <v>44625</v>
      </c>
      <c r="I349" s="6">
        <f>_xlfn.LET(
     _xlpm.s, TRIM(Employee_dataset[[#This Row],[Salary]]),
     IF(
        UPPER(_xlpm.s)="N/A","",
        IF(
           ISNUMBER(--_xlpm.s),ROUND(_xlfn.NUMBERVALUE(_xlpm.s),2),""
          )
       )
    )</f>
        <v>104541.84</v>
      </c>
      <c r="J349" t="str">
        <f>TRIM(Employee_dataset[[#This Row],[Email]])</f>
        <v>frank.brown@example.com</v>
      </c>
      <c r="K349" t="str">
        <f>_xlfn.LET(
     _xlpm.p,TRIM(SUBSTITUTE(Employee_dataset[[#This Row],[Phone]],"-","")),
     IF(
        LEN(_xlpm.p)=10,_xlfn.CONCAT("("&amp;LEFT(_xlpm.p,3)&amp;") "&amp;MID(_xlpm.p,4,3)&amp;"-"&amp;RIGHT(_xlpm.p,4),"")
       )
     )</f>
        <v>(504) 481-7765</v>
      </c>
      <c r="L349" t="str">
        <f>TRIM(Employee_dataset[[#This Row],[Performance_Score]])</f>
        <v>Good</v>
      </c>
      <c r="M349" t="str">
        <f>TRIM(Employee_dataset[[#This Row],[Remote_Work]])</f>
        <v>FALSE</v>
      </c>
    </row>
    <row r="350" spans="1:13" x14ac:dyDescent="0.3">
      <c r="A350" t="str">
        <f>TRIM(Employee_dataset[[#This Row],[Employee_ID]])</f>
        <v>EMP1348</v>
      </c>
      <c r="B350" t="str">
        <f>PROPER(TRIM(Employee_dataset[[#This Row],[First_Name]]))</f>
        <v>David</v>
      </c>
      <c r="C350" t="str">
        <f>PROPER(TRIM(Employee_dataset[[#This Row],[Last_Name]]))</f>
        <v>Garcia</v>
      </c>
      <c r="D350" s="6" t="str">
        <f>_xlfn.LET(
     _xlpm.a, TRIM(Employee_dataset[[#This Row],[Age]]),
     IF(
        _xlpm.a="","",
        IF(
           AND(ISNUMBER(--_xlpm.a),LEN(_xlpm.a)=2),_xlpm.a,""
          )
       )
    )</f>
        <v/>
      </c>
      <c r="E350" t="str">
        <f>TRIM(_xlfn.TEXTBEFORE(Employee_dataset[[#This Row],[Department_Region]],"-"))</f>
        <v>Sales</v>
      </c>
      <c r="F350" t="str">
        <f>TRIM(_xlfn.TEXTAFTER(Employee_dataset[[#This Row],[Department_Region]],"-"))</f>
        <v>New York</v>
      </c>
      <c r="G350" t="str">
        <f>TRIM(Employee_dataset[[#This Row],[Status]])</f>
        <v>Pending</v>
      </c>
      <c r="H350" s="1">
        <f>_xlfn.LET(
     _xlpm.d, Employee_dataset[[#This Row],[Join_Date]],
     IF(
        ISNUMBER(_xlpm.d),_xlpm.d,""
       )
    )</f>
        <v>44610</v>
      </c>
      <c r="I350" s="6">
        <f>_xlfn.LET(
     _xlpm.s, TRIM(Employee_dataset[[#This Row],[Salary]]),
     IF(
        UPPER(_xlpm.s)="N/A","",
        IF(
           ISNUMBER(--_xlpm.s),ROUND(_xlfn.NUMBERVALUE(_xlpm.s),2),""
          )
       )
    )</f>
        <v>61865.120000000003</v>
      </c>
      <c r="J350" t="str">
        <f>TRIM(Employee_dataset[[#This Row],[Email]])</f>
        <v>david.garcia@example.com</v>
      </c>
      <c r="K350" t="str">
        <f>_xlfn.LET(
     _xlpm.p,TRIM(SUBSTITUTE(Employee_dataset[[#This Row],[Phone]],"-","")),
     IF(
        LEN(_xlpm.p)=10,_xlfn.CONCAT("("&amp;LEFT(_xlpm.p,3)&amp;") "&amp;MID(_xlpm.p,4,3)&amp;"-"&amp;RIGHT(_xlpm.p,4),"")
       )
     )</f>
        <v>(558) 685-1275</v>
      </c>
      <c r="L350" t="str">
        <f>TRIM(Employee_dataset[[#This Row],[Performance_Score]])</f>
        <v>Excellent</v>
      </c>
      <c r="M350" t="str">
        <f>TRIM(Employee_dataset[[#This Row],[Remote_Work]])</f>
        <v>TRUE</v>
      </c>
    </row>
    <row r="351" spans="1:13" x14ac:dyDescent="0.3">
      <c r="A351" t="str">
        <f>TRIM(Employee_dataset[[#This Row],[Employee_ID]])</f>
        <v>EMP1349</v>
      </c>
      <c r="B351" t="str">
        <f>PROPER(TRIM(Employee_dataset[[#This Row],[First_Name]]))</f>
        <v>Eva</v>
      </c>
      <c r="C351" t="str">
        <f>PROPER(TRIM(Employee_dataset[[#This Row],[Last_Name]]))</f>
        <v>Davis</v>
      </c>
      <c r="D351" s="6" t="str">
        <f>_xlfn.LET(
     _xlpm.a, TRIM(Employee_dataset[[#This Row],[Age]]),
     IF(
        _xlpm.a="","",
        IF(
           AND(ISNUMBER(--_xlpm.a),LEN(_xlpm.a)=2),_xlpm.a,""
          )
       )
    )</f>
        <v>40</v>
      </c>
      <c r="E351" t="str">
        <f>TRIM(_xlfn.TEXTBEFORE(Employee_dataset[[#This Row],[Department_Region]],"-"))</f>
        <v>Admin</v>
      </c>
      <c r="F351" t="str">
        <f>TRIM(_xlfn.TEXTAFTER(Employee_dataset[[#This Row],[Department_Region]],"-"))</f>
        <v>Texas</v>
      </c>
      <c r="G351" t="str">
        <f>TRIM(Employee_dataset[[#This Row],[Status]])</f>
        <v>Active</v>
      </c>
      <c r="H351" s="1">
        <f>_xlfn.LET(
     _xlpm.d, Employee_dataset[[#This Row],[Join_Date]],
     IF(
        ISNUMBER(_xlpm.d),_xlpm.d,""
       )
    )</f>
        <v>44721</v>
      </c>
      <c r="I351" s="6">
        <f>_xlfn.LET(
     _xlpm.s, TRIM(Employee_dataset[[#This Row],[Salary]]),
     IF(
        UPPER(_xlpm.s)="N/A","",
        IF(
           ISNUMBER(--_xlpm.s),ROUND(_xlfn.NUMBERVALUE(_xlpm.s),2),""
          )
       )
    )</f>
        <v>69317.33</v>
      </c>
      <c r="J351" t="str">
        <f>TRIM(Employee_dataset[[#This Row],[Email]])</f>
        <v>eva.davis@example.com</v>
      </c>
      <c r="K351" t="str">
        <f>_xlfn.LET(
     _xlpm.p,TRIM(SUBSTITUTE(Employee_dataset[[#This Row],[Phone]],"-","")),
     IF(
        LEN(_xlpm.p)=10,_xlfn.CONCAT("("&amp;LEFT(_xlpm.p,3)&amp;") "&amp;MID(_xlpm.p,4,3)&amp;"-"&amp;RIGHT(_xlpm.p,4),"")
       )
     )</f>
        <v>(528) 928-6645</v>
      </c>
      <c r="L351" t="str">
        <f>TRIM(Employee_dataset[[#This Row],[Performance_Score]])</f>
        <v>Good</v>
      </c>
      <c r="M351" t="str">
        <f>TRIM(Employee_dataset[[#This Row],[Remote_Work]])</f>
        <v>FALSE</v>
      </c>
    </row>
    <row r="352" spans="1:13" x14ac:dyDescent="0.3">
      <c r="A352" t="str">
        <f>TRIM(Employee_dataset[[#This Row],[Employee_ID]])</f>
        <v>EMP1350</v>
      </c>
      <c r="B352" t="str">
        <f>PROPER(TRIM(Employee_dataset[[#This Row],[First_Name]]))</f>
        <v>Bob</v>
      </c>
      <c r="C352" t="str">
        <f>PROPER(TRIM(Employee_dataset[[#This Row],[Last_Name]]))</f>
        <v>Brown</v>
      </c>
      <c r="D352" s="6" t="str">
        <f>_xlfn.LET(
     _xlpm.a, TRIM(Employee_dataset[[#This Row],[Age]]),
     IF(
        _xlpm.a="","",
        IF(
           AND(ISNUMBER(--_xlpm.a),LEN(_xlpm.a)=2),_xlpm.a,""
          )
       )
    )</f>
        <v>35</v>
      </c>
      <c r="E352" t="str">
        <f>TRIM(_xlfn.TEXTBEFORE(Employee_dataset[[#This Row],[Department_Region]],"-"))</f>
        <v>HR</v>
      </c>
      <c r="F352" t="str">
        <f>TRIM(_xlfn.TEXTAFTER(Employee_dataset[[#This Row],[Department_Region]],"-"))</f>
        <v>New York</v>
      </c>
      <c r="G352" t="str">
        <f>TRIM(Employee_dataset[[#This Row],[Status]])</f>
        <v>Pending</v>
      </c>
      <c r="H352" s="1">
        <f>_xlfn.LET(
     _xlpm.d, Employee_dataset[[#This Row],[Join_Date]],
     IF(
        ISNUMBER(_xlpm.d),_xlpm.d,""
       )
    )</f>
        <v>45111</v>
      </c>
      <c r="I352" s="6">
        <f>_xlfn.LET(
     _xlpm.s, TRIM(Employee_dataset[[#This Row],[Salary]]),
     IF(
        UPPER(_xlpm.s)="N/A","",
        IF(
           ISNUMBER(--_xlpm.s),ROUND(_xlfn.NUMBERVALUE(_xlpm.s),2),""
          )
       )
    )</f>
        <v>84706.17</v>
      </c>
      <c r="J352" t="str">
        <f>TRIM(Employee_dataset[[#This Row],[Email]])</f>
        <v>bob.brown@example.com</v>
      </c>
      <c r="K352" t="str">
        <f>_xlfn.LET(
     _xlpm.p,TRIM(SUBSTITUTE(Employee_dataset[[#This Row],[Phone]],"-","")),
     IF(
        LEN(_xlpm.p)=10,_xlfn.CONCAT("("&amp;LEFT(_xlpm.p,3)&amp;") "&amp;MID(_xlpm.p,4,3)&amp;"-"&amp;RIGHT(_xlpm.p,4),"")
       )
     )</f>
        <v>(491) 111-0960</v>
      </c>
      <c r="L352" t="str">
        <f>TRIM(Employee_dataset[[#This Row],[Performance_Score]])</f>
        <v>Average</v>
      </c>
      <c r="M352" t="str">
        <f>TRIM(Employee_dataset[[#This Row],[Remote_Work]])</f>
        <v>FALSE</v>
      </c>
    </row>
    <row r="353" spans="1:13" x14ac:dyDescent="0.3">
      <c r="A353" t="str">
        <f>TRIM(Employee_dataset[[#This Row],[Employee_ID]])</f>
        <v>EMP1351</v>
      </c>
      <c r="B353" t="str">
        <f>PROPER(TRIM(Employee_dataset[[#This Row],[First_Name]]))</f>
        <v>Heidi</v>
      </c>
      <c r="C353" t="str">
        <f>PROPER(TRIM(Employee_dataset[[#This Row],[Last_Name]]))</f>
        <v>Smith</v>
      </c>
      <c r="D353" s="6" t="str">
        <f>_xlfn.LET(
     _xlpm.a, TRIM(Employee_dataset[[#This Row],[Age]]),
     IF(
        _xlpm.a="","",
        IF(
           AND(ISNUMBER(--_xlpm.a),LEN(_xlpm.a)=2),_xlpm.a,""
          )
       )
    )</f>
        <v>25</v>
      </c>
      <c r="E353" t="str">
        <f>TRIM(_xlfn.TEXTBEFORE(Employee_dataset[[#This Row],[Department_Region]],"-"))</f>
        <v>Admin</v>
      </c>
      <c r="F353" t="str">
        <f>TRIM(_xlfn.TEXTAFTER(Employee_dataset[[#This Row],[Department_Region]],"-"))</f>
        <v>California</v>
      </c>
      <c r="G353" t="str">
        <f>TRIM(Employee_dataset[[#This Row],[Status]])</f>
        <v>Active</v>
      </c>
      <c r="H353" s="1">
        <f>_xlfn.LET(
     _xlpm.d, Employee_dataset[[#This Row],[Join_Date]],
     IF(
        ISNUMBER(_xlpm.d),_xlpm.d,""
       )
    )</f>
        <v>44641</v>
      </c>
      <c r="I353" s="6">
        <f>_xlfn.LET(
     _xlpm.s, TRIM(Employee_dataset[[#This Row],[Salary]]),
     IF(
        UPPER(_xlpm.s)="N/A","",
        IF(
           ISNUMBER(--_xlpm.s),ROUND(_xlfn.NUMBERVALUE(_xlpm.s),2),""
          )
       )
    )</f>
        <v>73255.210000000006</v>
      </c>
      <c r="J353" t="str">
        <f>TRIM(Employee_dataset[[#This Row],[Email]])</f>
        <v>heidi.smith@example.com</v>
      </c>
      <c r="K353" t="str">
        <f>_xlfn.LET(
     _xlpm.p,TRIM(SUBSTITUTE(Employee_dataset[[#This Row],[Phone]],"-","")),
     IF(
        LEN(_xlpm.p)=10,_xlfn.CONCAT("("&amp;LEFT(_xlpm.p,3)&amp;") "&amp;MID(_xlpm.p,4,3)&amp;"-"&amp;RIGHT(_xlpm.p,4),"")
       )
     )</f>
        <v>(798) 178-9045</v>
      </c>
      <c r="L353" t="str">
        <f>TRIM(Employee_dataset[[#This Row],[Performance_Score]])</f>
        <v>Average</v>
      </c>
      <c r="M353" t="str">
        <f>TRIM(Employee_dataset[[#This Row],[Remote_Work]])</f>
        <v>FALSE</v>
      </c>
    </row>
    <row r="354" spans="1:13" x14ac:dyDescent="0.3">
      <c r="A354" t="str">
        <f>TRIM(Employee_dataset[[#This Row],[Employee_ID]])</f>
        <v>EMP1352</v>
      </c>
      <c r="B354" t="str">
        <f>PROPER(TRIM(Employee_dataset[[#This Row],[First_Name]]))</f>
        <v>Frank</v>
      </c>
      <c r="C354" t="str">
        <f>PROPER(TRIM(Employee_dataset[[#This Row],[Last_Name]]))</f>
        <v>Smith</v>
      </c>
      <c r="D354" s="6" t="str">
        <f>_xlfn.LET(
     _xlpm.a, TRIM(Employee_dataset[[#This Row],[Age]]),
     IF(
        _xlpm.a="","",
        IF(
           AND(ISNUMBER(--_xlpm.a),LEN(_xlpm.a)=2),_xlpm.a,""
          )
       )
    )</f>
        <v>40</v>
      </c>
      <c r="E354" t="str">
        <f>TRIM(_xlfn.TEXTBEFORE(Employee_dataset[[#This Row],[Department_Region]],"-"))</f>
        <v>HR</v>
      </c>
      <c r="F354" t="str">
        <f>TRIM(_xlfn.TEXTAFTER(Employee_dataset[[#This Row],[Department_Region]],"-"))</f>
        <v>Florida</v>
      </c>
      <c r="G354" t="str">
        <f>TRIM(Employee_dataset[[#This Row],[Status]])</f>
        <v>Pending</v>
      </c>
      <c r="H354" s="1">
        <f>_xlfn.LET(
     _xlpm.d, Employee_dataset[[#This Row],[Join_Date]],
     IF(
        ISNUMBER(_xlpm.d),_xlpm.d,""
       )
    )</f>
        <v>45048</v>
      </c>
      <c r="I354" s="6">
        <f>_xlfn.LET(
     _xlpm.s, TRIM(Employee_dataset[[#This Row],[Salary]]),
     IF(
        UPPER(_xlpm.s)="N/A","",
        IF(
           ISNUMBER(--_xlpm.s),ROUND(_xlfn.NUMBERVALUE(_xlpm.s),2),""
          )
       )
    )</f>
        <v>59528.71</v>
      </c>
      <c r="J354" t="str">
        <f>TRIM(Employee_dataset[[#This Row],[Email]])</f>
        <v>frank.smith@example.com</v>
      </c>
      <c r="K354" t="str">
        <f>_xlfn.LET(
     _xlpm.p,TRIM(SUBSTITUTE(Employee_dataset[[#This Row],[Phone]],"-","")),
     IF(
        LEN(_xlpm.p)=10,_xlfn.CONCAT("("&amp;LEFT(_xlpm.p,3)&amp;") "&amp;MID(_xlpm.p,4,3)&amp;"-"&amp;RIGHT(_xlpm.p,4),"")
       )
     )</f>
        <v>(337) 861-3714</v>
      </c>
      <c r="L354" t="str">
        <f>TRIM(Employee_dataset[[#This Row],[Performance_Score]])</f>
        <v>Poor</v>
      </c>
      <c r="M354" t="str">
        <f>TRIM(Employee_dataset[[#This Row],[Remote_Work]])</f>
        <v>FALSE</v>
      </c>
    </row>
    <row r="355" spans="1:13" x14ac:dyDescent="0.3">
      <c r="A355" t="str">
        <f>TRIM(Employee_dataset[[#This Row],[Employee_ID]])</f>
        <v>EMP1353</v>
      </c>
      <c r="B355" t="str">
        <f>PROPER(TRIM(Employee_dataset[[#This Row],[First_Name]]))</f>
        <v>David</v>
      </c>
      <c r="C355" t="str">
        <f>PROPER(TRIM(Employee_dataset[[#This Row],[Last_Name]]))</f>
        <v>Garcia</v>
      </c>
      <c r="D355" s="6" t="str">
        <f>_xlfn.LET(
     _xlpm.a, TRIM(Employee_dataset[[#This Row],[Age]]),
     IF(
        _xlpm.a="","",
        IF(
           AND(ISNUMBER(--_xlpm.a),LEN(_xlpm.a)=2),_xlpm.a,""
          )
       )
    )</f>
        <v>40</v>
      </c>
      <c r="E355" t="str">
        <f>TRIM(_xlfn.TEXTBEFORE(Employee_dataset[[#This Row],[Department_Region]],"-"))</f>
        <v>HR</v>
      </c>
      <c r="F355" t="str">
        <f>TRIM(_xlfn.TEXTAFTER(Employee_dataset[[#This Row],[Department_Region]],"-"))</f>
        <v>New York</v>
      </c>
      <c r="G355" t="str">
        <f>TRIM(Employee_dataset[[#This Row],[Status]])</f>
        <v>Inactive</v>
      </c>
      <c r="H355" s="1">
        <f>_xlfn.LET(
     _xlpm.d, Employee_dataset[[#This Row],[Join_Date]],
     IF(
        ISNUMBER(_xlpm.d),_xlpm.d,""
       )
    )</f>
        <v>44484</v>
      </c>
      <c r="I355" s="6">
        <f>_xlfn.LET(
     _xlpm.s, TRIM(Employee_dataset[[#This Row],[Salary]]),
     IF(
        UPPER(_xlpm.s)="N/A","",
        IF(
           ISNUMBER(--_xlpm.s),ROUND(_xlfn.NUMBERVALUE(_xlpm.s),2),""
          )
       )
    )</f>
        <v>70401.37</v>
      </c>
      <c r="J355" t="str">
        <f>TRIM(Employee_dataset[[#This Row],[Email]])</f>
        <v>david.garcia@example.com</v>
      </c>
      <c r="K355" t="str">
        <f>_xlfn.LET(
     _xlpm.p,TRIM(SUBSTITUTE(Employee_dataset[[#This Row],[Phone]],"-","")),
     IF(
        LEN(_xlpm.p)=10,_xlfn.CONCAT("("&amp;LEFT(_xlpm.p,3)&amp;") "&amp;MID(_xlpm.p,4,3)&amp;"-"&amp;RIGHT(_xlpm.p,4),"")
       )
     )</f>
        <v>(766) 053-8443</v>
      </c>
      <c r="L355" t="str">
        <f>TRIM(Employee_dataset[[#This Row],[Performance_Score]])</f>
        <v>Good</v>
      </c>
      <c r="M355" t="str">
        <f>TRIM(Employee_dataset[[#This Row],[Remote_Work]])</f>
        <v>TRUE</v>
      </c>
    </row>
    <row r="356" spans="1:13" x14ac:dyDescent="0.3">
      <c r="A356" t="str">
        <f>TRIM(Employee_dataset[[#This Row],[Employee_ID]])</f>
        <v>EMP1354</v>
      </c>
      <c r="B356" t="str">
        <f>PROPER(TRIM(Employee_dataset[[#This Row],[First_Name]]))</f>
        <v>Heidi</v>
      </c>
      <c r="C356" t="str">
        <f>PROPER(TRIM(Employee_dataset[[#This Row],[Last_Name]]))</f>
        <v>Garcia</v>
      </c>
      <c r="D356" s="6" t="str">
        <f>_xlfn.LET(
     _xlpm.a, TRIM(Employee_dataset[[#This Row],[Age]]),
     IF(
        _xlpm.a="","",
        IF(
           AND(ISNUMBER(--_xlpm.a),LEN(_xlpm.a)=2),_xlpm.a,""
          )
       )
    )</f>
        <v/>
      </c>
      <c r="E356" t="str">
        <f>TRIM(_xlfn.TEXTBEFORE(Employee_dataset[[#This Row],[Department_Region]],"-"))</f>
        <v>Admin</v>
      </c>
      <c r="F356" t="str">
        <f>TRIM(_xlfn.TEXTAFTER(Employee_dataset[[#This Row],[Department_Region]],"-"))</f>
        <v>California</v>
      </c>
      <c r="G356" t="str">
        <f>TRIM(Employee_dataset[[#This Row],[Status]])</f>
        <v>Inactive</v>
      </c>
      <c r="H356" s="1">
        <f>_xlfn.LET(
     _xlpm.d, Employee_dataset[[#This Row],[Join_Date]],
     IF(
        ISNUMBER(_xlpm.d),_xlpm.d,""
       )
    )</f>
        <v>44405</v>
      </c>
      <c r="I356" s="6">
        <f>_xlfn.LET(
     _xlpm.s, TRIM(Employee_dataset[[#This Row],[Salary]]),
     IF(
        UPPER(_xlpm.s)="N/A","",
        IF(
           ISNUMBER(--_xlpm.s),ROUND(_xlfn.NUMBERVALUE(_xlpm.s),2),""
          )
       )
    )</f>
        <v>107154.62</v>
      </c>
      <c r="J356" t="str">
        <f>TRIM(Employee_dataset[[#This Row],[Email]])</f>
        <v>heidi.garcia@example.com</v>
      </c>
      <c r="K356" t="str">
        <f>_xlfn.LET(
     _xlpm.p,TRIM(SUBSTITUTE(Employee_dataset[[#This Row],[Phone]],"-","")),
     IF(
        LEN(_xlpm.p)=10,_xlfn.CONCAT("("&amp;LEFT(_xlpm.p,3)&amp;") "&amp;MID(_xlpm.p,4,3)&amp;"-"&amp;RIGHT(_xlpm.p,4),"")
       )
     )</f>
        <v>(463) 060-0024</v>
      </c>
      <c r="L356" t="str">
        <f>TRIM(Employee_dataset[[#This Row],[Performance_Score]])</f>
        <v>Average</v>
      </c>
      <c r="M356" t="str">
        <f>TRIM(Employee_dataset[[#This Row],[Remote_Work]])</f>
        <v>TRUE</v>
      </c>
    </row>
    <row r="357" spans="1:13" x14ac:dyDescent="0.3">
      <c r="A357" t="str">
        <f>TRIM(Employee_dataset[[#This Row],[Employee_ID]])</f>
        <v>EMP1355</v>
      </c>
      <c r="B357" t="str">
        <f>PROPER(TRIM(Employee_dataset[[#This Row],[First_Name]]))</f>
        <v>Bob</v>
      </c>
      <c r="C357" t="str">
        <f>PROPER(TRIM(Employee_dataset[[#This Row],[Last_Name]]))</f>
        <v>Davis</v>
      </c>
      <c r="D357" s="6" t="str">
        <f>_xlfn.LET(
     _xlpm.a, TRIM(Employee_dataset[[#This Row],[Age]]),
     IF(
        _xlpm.a="","",
        IF(
           AND(ISNUMBER(--_xlpm.a),LEN(_xlpm.a)=2),_xlpm.a,""
          )
       )
    )</f>
        <v/>
      </c>
      <c r="E357" t="str">
        <f>TRIM(_xlfn.TEXTBEFORE(Employee_dataset[[#This Row],[Department_Region]],"-"))</f>
        <v>Admin</v>
      </c>
      <c r="F357" t="str">
        <f>TRIM(_xlfn.TEXTAFTER(Employee_dataset[[#This Row],[Department_Region]],"-"))</f>
        <v>Illinois</v>
      </c>
      <c r="G357" t="str">
        <f>TRIM(Employee_dataset[[#This Row],[Status]])</f>
        <v>Pending</v>
      </c>
      <c r="H357" s="1">
        <f>_xlfn.LET(
     _xlpm.d, Employee_dataset[[#This Row],[Join_Date]],
     IF(
        ISNUMBER(_xlpm.d),_xlpm.d,""
       )
    )</f>
        <v>44199</v>
      </c>
      <c r="I357" s="6">
        <f>_xlfn.LET(
     _xlpm.s, TRIM(Employee_dataset[[#This Row],[Salary]]),
     IF(
        UPPER(_xlpm.s)="N/A","",
        IF(
           ISNUMBER(--_xlpm.s),ROUND(_xlfn.NUMBERVALUE(_xlpm.s),2),""
          )
       )
    )</f>
        <v>97719.88</v>
      </c>
      <c r="J357" t="str">
        <f>TRIM(Employee_dataset[[#This Row],[Email]])</f>
        <v>bob.davis@example.com</v>
      </c>
      <c r="K357" t="str">
        <f>_xlfn.LET(
     _xlpm.p,TRIM(SUBSTITUTE(Employee_dataset[[#This Row],[Phone]],"-","")),
     IF(
        LEN(_xlpm.p)=10,_xlfn.CONCAT("("&amp;LEFT(_xlpm.p,3)&amp;") "&amp;MID(_xlpm.p,4,3)&amp;"-"&amp;RIGHT(_xlpm.p,4),"")
       )
     )</f>
        <v>(895) 529-6385</v>
      </c>
      <c r="L357" t="str">
        <f>TRIM(Employee_dataset[[#This Row],[Performance_Score]])</f>
        <v>Excellent</v>
      </c>
      <c r="M357" t="str">
        <f>TRIM(Employee_dataset[[#This Row],[Remote_Work]])</f>
        <v>FALSE</v>
      </c>
    </row>
    <row r="358" spans="1:13" x14ac:dyDescent="0.3">
      <c r="A358" t="str">
        <f>TRIM(Employee_dataset[[#This Row],[Employee_ID]])</f>
        <v>EMP1356</v>
      </c>
      <c r="B358" t="str">
        <f>PROPER(TRIM(Employee_dataset[[#This Row],[First_Name]]))</f>
        <v>Heidi</v>
      </c>
      <c r="C358" t="str">
        <f>PROPER(TRIM(Employee_dataset[[#This Row],[Last_Name]]))</f>
        <v>Johnson</v>
      </c>
      <c r="D358" s="6" t="str">
        <f>_xlfn.LET(
     _xlpm.a, TRIM(Employee_dataset[[#This Row],[Age]]),
     IF(
        _xlpm.a="","",
        IF(
           AND(ISNUMBER(--_xlpm.a),LEN(_xlpm.a)=2),_xlpm.a,""
          )
       )
    )</f>
        <v>30</v>
      </c>
      <c r="E358" t="str">
        <f>TRIM(_xlfn.TEXTBEFORE(Employee_dataset[[#This Row],[Department_Region]],"-"))</f>
        <v>Finance</v>
      </c>
      <c r="F358" t="str">
        <f>TRIM(_xlfn.TEXTAFTER(Employee_dataset[[#This Row],[Department_Region]],"-"))</f>
        <v>California</v>
      </c>
      <c r="G358" t="str">
        <f>TRIM(Employee_dataset[[#This Row],[Status]])</f>
        <v>Pending</v>
      </c>
      <c r="H358" s="1">
        <f>_xlfn.LET(
     _xlpm.d, Employee_dataset[[#This Row],[Join_Date]],
     IF(
        ISNUMBER(_xlpm.d),_xlpm.d,""
       )
    )</f>
        <v>43972</v>
      </c>
      <c r="I358" s="6">
        <f>_xlfn.LET(
     _xlpm.s, TRIM(Employee_dataset[[#This Row],[Salary]]),
     IF(
        UPPER(_xlpm.s)="N/A","",
        IF(
           ISNUMBER(--_xlpm.s),ROUND(_xlfn.NUMBERVALUE(_xlpm.s),2),""
          )
       )
    )</f>
        <v>107327.59</v>
      </c>
      <c r="J358" t="str">
        <f>TRIM(Employee_dataset[[#This Row],[Email]])</f>
        <v>heidi.johnson@example.com</v>
      </c>
      <c r="K358" t="str">
        <f>_xlfn.LET(
     _xlpm.p,TRIM(SUBSTITUTE(Employee_dataset[[#This Row],[Phone]],"-","")),
     IF(
        LEN(_xlpm.p)=10,_xlfn.CONCAT("("&amp;LEFT(_xlpm.p,3)&amp;") "&amp;MID(_xlpm.p,4,3)&amp;"-"&amp;RIGHT(_xlpm.p,4),"")
       )
     )</f>
        <v>(396) 096-2625</v>
      </c>
      <c r="L358" t="str">
        <f>TRIM(Employee_dataset[[#This Row],[Performance_Score]])</f>
        <v>Poor</v>
      </c>
      <c r="M358" t="str">
        <f>TRIM(Employee_dataset[[#This Row],[Remote_Work]])</f>
        <v>FALSE</v>
      </c>
    </row>
    <row r="359" spans="1:13" x14ac:dyDescent="0.3">
      <c r="A359" t="str">
        <f>TRIM(Employee_dataset[[#This Row],[Employee_ID]])</f>
        <v>EMP1357</v>
      </c>
      <c r="B359" t="str">
        <f>PROPER(TRIM(Employee_dataset[[#This Row],[First_Name]]))</f>
        <v>Grace</v>
      </c>
      <c r="C359" t="str">
        <f>PROPER(TRIM(Employee_dataset[[#This Row],[Last_Name]]))</f>
        <v>Garcia</v>
      </c>
      <c r="D359" s="6" t="str">
        <f>_xlfn.LET(
     _xlpm.a, TRIM(Employee_dataset[[#This Row],[Age]]),
     IF(
        _xlpm.a="","",
        IF(
           AND(ISNUMBER(--_xlpm.a),LEN(_xlpm.a)=2),_xlpm.a,""
          )
       )
    )</f>
        <v>40</v>
      </c>
      <c r="E359" t="str">
        <f>TRIM(_xlfn.TEXTBEFORE(Employee_dataset[[#This Row],[Department_Region]],"-"))</f>
        <v>Admin</v>
      </c>
      <c r="F359" t="str">
        <f>TRIM(_xlfn.TEXTAFTER(Employee_dataset[[#This Row],[Department_Region]],"-"))</f>
        <v>Nevada</v>
      </c>
      <c r="G359" t="str">
        <f>TRIM(Employee_dataset[[#This Row],[Status]])</f>
        <v>Inactive</v>
      </c>
      <c r="H359" s="1">
        <f>_xlfn.LET(
     _xlpm.d, Employee_dataset[[#This Row],[Join_Date]],
     IF(
        ISNUMBER(_xlpm.d),_xlpm.d,""
       )
    )</f>
        <v>44326</v>
      </c>
      <c r="I359" s="6">
        <f>_xlfn.LET(
     _xlpm.s, TRIM(Employee_dataset[[#This Row],[Salary]]),
     IF(
        UPPER(_xlpm.s)="N/A","",
        IF(
           ISNUMBER(--_xlpm.s),ROUND(_xlfn.NUMBERVALUE(_xlpm.s),2),""
          )
       )
    )</f>
        <v>67687.72</v>
      </c>
      <c r="J359" t="str">
        <f>TRIM(Employee_dataset[[#This Row],[Email]])</f>
        <v>grace.garcia@example.com</v>
      </c>
      <c r="K359" t="str">
        <f>_xlfn.LET(
     _xlpm.p,TRIM(SUBSTITUTE(Employee_dataset[[#This Row],[Phone]],"-","")),
     IF(
        LEN(_xlpm.p)=10,_xlfn.CONCAT("("&amp;LEFT(_xlpm.p,3)&amp;") "&amp;MID(_xlpm.p,4,3)&amp;"-"&amp;RIGHT(_xlpm.p,4),"")
       )
     )</f>
        <v>(582) 631-2818</v>
      </c>
      <c r="L359" t="str">
        <f>TRIM(Employee_dataset[[#This Row],[Performance_Score]])</f>
        <v>Excellent</v>
      </c>
      <c r="M359" t="str">
        <f>TRIM(Employee_dataset[[#This Row],[Remote_Work]])</f>
        <v>TRUE</v>
      </c>
    </row>
    <row r="360" spans="1:13" x14ac:dyDescent="0.3">
      <c r="A360" t="str">
        <f>TRIM(Employee_dataset[[#This Row],[Employee_ID]])</f>
        <v>EMP1358</v>
      </c>
      <c r="B360" t="str">
        <f>PROPER(TRIM(Employee_dataset[[#This Row],[First_Name]]))</f>
        <v>Grace</v>
      </c>
      <c r="C360" t="str">
        <f>PROPER(TRIM(Employee_dataset[[#This Row],[Last_Name]]))</f>
        <v>Smith</v>
      </c>
      <c r="D360" s="6" t="str">
        <f>_xlfn.LET(
     _xlpm.a, TRIM(Employee_dataset[[#This Row],[Age]]),
     IF(
        _xlpm.a="","",
        IF(
           AND(ISNUMBER(--_xlpm.a),LEN(_xlpm.a)=2),_xlpm.a,""
          )
       )
    )</f>
        <v>40</v>
      </c>
      <c r="E360" t="str">
        <f>TRIM(_xlfn.TEXTBEFORE(Employee_dataset[[#This Row],[Department_Region]],"-"))</f>
        <v>Cloud Tech</v>
      </c>
      <c r="F360" t="str">
        <f>TRIM(_xlfn.TEXTAFTER(Employee_dataset[[#This Row],[Department_Region]],"-"))</f>
        <v>Florida</v>
      </c>
      <c r="G360" t="str">
        <f>TRIM(Employee_dataset[[#This Row],[Status]])</f>
        <v>Pending</v>
      </c>
      <c r="H360" s="1">
        <f>_xlfn.LET(
     _xlpm.d, Employee_dataset[[#This Row],[Join_Date]],
     IF(
        ISNUMBER(_xlpm.d),_xlpm.d,""
       )
    )</f>
        <v>44812</v>
      </c>
      <c r="I360" s="6">
        <f>_xlfn.LET(
     _xlpm.s, TRIM(Employee_dataset[[#This Row],[Salary]]),
     IF(
        UPPER(_xlpm.s)="N/A","",
        IF(
           ISNUMBER(--_xlpm.s),ROUND(_xlfn.NUMBERVALUE(_xlpm.s),2),""
          )
       )
    )</f>
        <v>90757.08</v>
      </c>
      <c r="J360" t="str">
        <f>TRIM(Employee_dataset[[#This Row],[Email]])</f>
        <v>grace.smith@example.com</v>
      </c>
      <c r="K360" t="str">
        <f>_xlfn.LET(
     _xlpm.p,TRIM(SUBSTITUTE(Employee_dataset[[#This Row],[Phone]],"-","")),
     IF(
        LEN(_xlpm.p)=10,_xlfn.CONCAT("("&amp;LEFT(_xlpm.p,3)&amp;") "&amp;MID(_xlpm.p,4,3)&amp;"-"&amp;RIGHT(_xlpm.p,4),"")
       )
     )</f>
        <v>(648) 253-1105</v>
      </c>
      <c r="L360" t="str">
        <f>TRIM(Employee_dataset[[#This Row],[Performance_Score]])</f>
        <v>Good</v>
      </c>
      <c r="M360" t="str">
        <f>TRIM(Employee_dataset[[#This Row],[Remote_Work]])</f>
        <v>TRUE</v>
      </c>
    </row>
    <row r="361" spans="1:13" x14ac:dyDescent="0.3">
      <c r="A361" t="str">
        <f>TRIM(Employee_dataset[[#This Row],[Employee_ID]])</f>
        <v>EMP1359</v>
      </c>
      <c r="B361" t="str">
        <f>PROPER(TRIM(Employee_dataset[[#This Row],[First_Name]]))</f>
        <v>Grace</v>
      </c>
      <c r="C361" t="str">
        <f>PROPER(TRIM(Employee_dataset[[#This Row],[Last_Name]]))</f>
        <v>Williams</v>
      </c>
      <c r="D361" s="6" t="str">
        <f>_xlfn.LET(
     _xlpm.a, TRIM(Employee_dataset[[#This Row],[Age]]),
     IF(
        _xlpm.a="","",
        IF(
           AND(ISNUMBER(--_xlpm.a),LEN(_xlpm.a)=2),_xlpm.a,""
          )
       )
    )</f>
        <v/>
      </c>
      <c r="E361" t="str">
        <f>TRIM(_xlfn.TEXTBEFORE(Employee_dataset[[#This Row],[Department_Region]],"-"))</f>
        <v>Cloud Tech</v>
      </c>
      <c r="F361" t="str">
        <f>TRIM(_xlfn.TEXTAFTER(Employee_dataset[[#This Row],[Department_Region]],"-"))</f>
        <v>California</v>
      </c>
      <c r="G361" t="str">
        <f>TRIM(Employee_dataset[[#This Row],[Status]])</f>
        <v>Pending</v>
      </c>
      <c r="H361" s="1">
        <f>_xlfn.LET(
     _xlpm.d, Employee_dataset[[#This Row],[Join_Date]],
     IF(
        ISNUMBER(_xlpm.d),_xlpm.d,""
       )
    )</f>
        <v>45494</v>
      </c>
      <c r="I361" s="6">
        <f>_xlfn.LET(
     _xlpm.s, TRIM(Employee_dataset[[#This Row],[Salary]]),
     IF(
        UPPER(_xlpm.s)="N/A","",
        IF(
           ISNUMBER(--_xlpm.s),ROUND(_xlfn.NUMBERVALUE(_xlpm.s),2),""
          )
       )
    )</f>
        <v>87583.42</v>
      </c>
      <c r="J361" t="str">
        <f>TRIM(Employee_dataset[[#This Row],[Email]])</f>
        <v>grace.williams@example.com</v>
      </c>
      <c r="K361" t="b">
        <f>_xlfn.LET(
     _xlpm.p,TRIM(SUBSTITUTE(Employee_dataset[[#This Row],[Phone]],"-","")),
     IF(
        LEN(_xlpm.p)=10,_xlfn.CONCAT("("&amp;LEFT(_xlpm.p,3)&amp;") "&amp;MID(_xlpm.p,4,3)&amp;"-"&amp;RIGHT(_xlpm.p,4),"")
       )
     )</f>
        <v>0</v>
      </c>
      <c r="L361" t="str">
        <f>TRIM(Employee_dataset[[#This Row],[Performance_Score]])</f>
        <v>Good</v>
      </c>
      <c r="M361" t="str">
        <f>TRIM(Employee_dataset[[#This Row],[Remote_Work]])</f>
        <v>FALSE</v>
      </c>
    </row>
    <row r="362" spans="1:13" x14ac:dyDescent="0.3">
      <c r="A362" t="str">
        <f>TRIM(Employee_dataset[[#This Row],[Employee_ID]])</f>
        <v>EMP1360</v>
      </c>
      <c r="B362" t="str">
        <f>PROPER(TRIM(Employee_dataset[[#This Row],[First_Name]]))</f>
        <v>Bob</v>
      </c>
      <c r="C362" t="str">
        <f>PROPER(TRIM(Employee_dataset[[#This Row],[Last_Name]]))</f>
        <v>Brown</v>
      </c>
      <c r="D362" s="6" t="str">
        <f>_xlfn.LET(
     _xlpm.a, TRIM(Employee_dataset[[#This Row],[Age]]),
     IF(
        _xlpm.a="","",
        IF(
           AND(ISNUMBER(--_xlpm.a),LEN(_xlpm.a)=2),_xlpm.a,""
          )
       )
    )</f>
        <v>25</v>
      </c>
      <c r="E362" t="str">
        <f>TRIM(_xlfn.TEXTBEFORE(Employee_dataset[[#This Row],[Department_Region]],"-"))</f>
        <v>Admin</v>
      </c>
      <c r="F362" t="str">
        <f>TRIM(_xlfn.TEXTAFTER(Employee_dataset[[#This Row],[Department_Region]],"-"))</f>
        <v>Nevada</v>
      </c>
      <c r="G362" t="str">
        <f>TRIM(Employee_dataset[[#This Row],[Status]])</f>
        <v>Pending</v>
      </c>
      <c r="H362" s="1">
        <f>_xlfn.LET(
     _xlpm.d, Employee_dataset[[#This Row],[Join_Date]],
     IF(
        ISNUMBER(_xlpm.d),_xlpm.d,""
       )
    )</f>
        <v>44558</v>
      </c>
      <c r="I362" s="6">
        <f>_xlfn.LET(
     _xlpm.s, TRIM(Employee_dataset[[#This Row],[Salary]]),
     IF(
        UPPER(_xlpm.s)="N/A","",
        IF(
           ISNUMBER(--_xlpm.s),ROUND(_xlfn.NUMBERVALUE(_xlpm.s),2),""
          )
       )
    )</f>
        <v>61643.69</v>
      </c>
      <c r="J362" t="str">
        <f>TRIM(Employee_dataset[[#This Row],[Email]])</f>
        <v>bob.brown@example.com</v>
      </c>
      <c r="K362" t="str">
        <f>_xlfn.LET(
     _xlpm.p,TRIM(SUBSTITUTE(Employee_dataset[[#This Row],[Phone]],"-","")),
     IF(
        LEN(_xlpm.p)=10,_xlfn.CONCAT("("&amp;LEFT(_xlpm.p,3)&amp;") "&amp;MID(_xlpm.p,4,3)&amp;"-"&amp;RIGHT(_xlpm.p,4),"")
       )
     )</f>
        <v>(275) 233-4382</v>
      </c>
      <c r="L362" t="str">
        <f>TRIM(Employee_dataset[[#This Row],[Performance_Score]])</f>
        <v>Good</v>
      </c>
      <c r="M362" t="str">
        <f>TRIM(Employee_dataset[[#This Row],[Remote_Work]])</f>
        <v>TRUE</v>
      </c>
    </row>
    <row r="363" spans="1:13" x14ac:dyDescent="0.3">
      <c r="A363" t="str">
        <f>TRIM(Employee_dataset[[#This Row],[Employee_ID]])</f>
        <v>EMP1361</v>
      </c>
      <c r="B363" t="str">
        <f>PROPER(TRIM(Employee_dataset[[#This Row],[First_Name]]))</f>
        <v>Grace</v>
      </c>
      <c r="C363" t="str">
        <f>PROPER(TRIM(Employee_dataset[[#This Row],[Last_Name]]))</f>
        <v>Smith</v>
      </c>
      <c r="D363" s="6" t="str">
        <f>_xlfn.LET(
     _xlpm.a, TRIM(Employee_dataset[[#This Row],[Age]]),
     IF(
        _xlpm.a="","",
        IF(
           AND(ISNUMBER(--_xlpm.a),LEN(_xlpm.a)=2),_xlpm.a,""
          )
       )
    )</f>
        <v>35</v>
      </c>
      <c r="E363" t="str">
        <f>TRIM(_xlfn.TEXTBEFORE(Employee_dataset[[#This Row],[Department_Region]],"-"))</f>
        <v>Finance</v>
      </c>
      <c r="F363" t="str">
        <f>TRIM(_xlfn.TEXTAFTER(Employee_dataset[[#This Row],[Department_Region]],"-"))</f>
        <v>Texas</v>
      </c>
      <c r="G363" t="str">
        <f>TRIM(Employee_dataset[[#This Row],[Status]])</f>
        <v>Active</v>
      </c>
      <c r="H363" s="1">
        <f>_xlfn.LET(
     _xlpm.d, Employee_dataset[[#This Row],[Join_Date]],
     IF(
        ISNUMBER(_xlpm.d),_xlpm.d,""
       )
    )</f>
        <v>44032</v>
      </c>
      <c r="I363" s="6">
        <f>_xlfn.LET(
     _xlpm.s, TRIM(Employee_dataset[[#This Row],[Salary]]),
     IF(
        UPPER(_xlpm.s)="N/A","",
        IF(
           ISNUMBER(--_xlpm.s),ROUND(_xlfn.NUMBERVALUE(_xlpm.s),2),""
          )
       )
    )</f>
        <v>68111.69</v>
      </c>
      <c r="J363" t="str">
        <f>TRIM(Employee_dataset[[#This Row],[Email]])</f>
        <v>grace.smith@example.com</v>
      </c>
      <c r="K363" t="str">
        <f>_xlfn.LET(
     _xlpm.p,TRIM(SUBSTITUTE(Employee_dataset[[#This Row],[Phone]],"-","")),
     IF(
        LEN(_xlpm.p)=10,_xlfn.CONCAT("("&amp;LEFT(_xlpm.p,3)&amp;") "&amp;MID(_xlpm.p,4,3)&amp;"-"&amp;RIGHT(_xlpm.p,4),"")
       )
     )</f>
        <v>(640) 412-0910</v>
      </c>
      <c r="L363" t="str">
        <f>TRIM(Employee_dataset[[#This Row],[Performance_Score]])</f>
        <v>Poor</v>
      </c>
      <c r="M363" t="str">
        <f>TRIM(Employee_dataset[[#This Row],[Remote_Work]])</f>
        <v>FALSE</v>
      </c>
    </row>
    <row r="364" spans="1:13" x14ac:dyDescent="0.3">
      <c r="A364" t="str">
        <f>TRIM(Employee_dataset[[#This Row],[Employee_ID]])</f>
        <v>EMP1362</v>
      </c>
      <c r="B364" t="str">
        <f>PROPER(TRIM(Employee_dataset[[#This Row],[First_Name]]))</f>
        <v>David</v>
      </c>
      <c r="C364" t="str">
        <f>PROPER(TRIM(Employee_dataset[[#This Row],[Last_Name]]))</f>
        <v>Smith</v>
      </c>
      <c r="D364" s="6" t="str">
        <f>_xlfn.LET(
     _xlpm.a, TRIM(Employee_dataset[[#This Row],[Age]]),
     IF(
        _xlpm.a="","",
        IF(
           AND(ISNUMBER(--_xlpm.a),LEN(_xlpm.a)=2),_xlpm.a,""
          )
       )
    )</f>
        <v>40</v>
      </c>
      <c r="E364" t="str">
        <f>TRIM(_xlfn.TEXTBEFORE(Employee_dataset[[#This Row],[Department_Region]],"-"))</f>
        <v>HR</v>
      </c>
      <c r="F364" t="str">
        <f>TRIM(_xlfn.TEXTAFTER(Employee_dataset[[#This Row],[Department_Region]],"-"))</f>
        <v>Florida</v>
      </c>
      <c r="G364" t="str">
        <f>TRIM(Employee_dataset[[#This Row],[Status]])</f>
        <v>Inactive</v>
      </c>
      <c r="H364" s="1">
        <f>_xlfn.LET(
     _xlpm.d, Employee_dataset[[#This Row],[Join_Date]],
     IF(
        ISNUMBER(_xlpm.d),_xlpm.d,""
       )
    )</f>
        <v>45412</v>
      </c>
      <c r="I364" s="6">
        <f>_xlfn.LET(
     _xlpm.s, TRIM(Employee_dataset[[#This Row],[Salary]]),
     IF(
        UPPER(_xlpm.s)="N/A","",
        IF(
           ISNUMBER(--_xlpm.s),ROUND(_xlfn.NUMBERVALUE(_xlpm.s),2),""
          )
       )
    )</f>
        <v>97568.88</v>
      </c>
      <c r="J364" t="str">
        <f>TRIM(Employee_dataset[[#This Row],[Email]])</f>
        <v>david.smith@example.com</v>
      </c>
      <c r="K364" t="str">
        <f>_xlfn.LET(
     _xlpm.p,TRIM(SUBSTITUTE(Employee_dataset[[#This Row],[Phone]],"-","")),
     IF(
        LEN(_xlpm.p)=10,_xlfn.CONCAT("("&amp;LEFT(_xlpm.p,3)&amp;") "&amp;MID(_xlpm.p,4,3)&amp;"-"&amp;RIGHT(_xlpm.p,4),"")
       )
     )</f>
        <v>(791) 124-4210</v>
      </c>
      <c r="L364" t="str">
        <f>TRIM(Employee_dataset[[#This Row],[Performance_Score]])</f>
        <v>Average</v>
      </c>
      <c r="M364" t="str">
        <f>TRIM(Employee_dataset[[#This Row],[Remote_Work]])</f>
        <v>TRUE</v>
      </c>
    </row>
    <row r="365" spans="1:13" x14ac:dyDescent="0.3">
      <c r="A365" t="str">
        <f>TRIM(Employee_dataset[[#This Row],[Employee_ID]])</f>
        <v>EMP1363</v>
      </c>
      <c r="B365" t="str">
        <f>PROPER(TRIM(Employee_dataset[[#This Row],[First_Name]]))</f>
        <v>Charlie</v>
      </c>
      <c r="C365" t="str">
        <f>PROPER(TRIM(Employee_dataset[[#This Row],[Last_Name]]))</f>
        <v>Johnson</v>
      </c>
      <c r="D365" s="6" t="str">
        <f>_xlfn.LET(
     _xlpm.a, TRIM(Employee_dataset[[#This Row],[Age]]),
     IF(
        _xlpm.a="","",
        IF(
           AND(ISNUMBER(--_xlpm.a),LEN(_xlpm.a)=2),_xlpm.a,""
          )
       )
    )</f>
        <v>35</v>
      </c>
      <c r="E365" t="str">
        <f>TRIM(_xlfn.TEXTBEFORE(Employee_dataset[[#This Row],[Department_Region]],"-"))</f>
        <v>Cloud Tech</v>
      </c>
      <c r="F365" t="str">
        <f>TRIM(_xlfn.TEXTAFTER(Employee_dataset[[#This Row],[Department_Region]],"-"))</f>
        <v>Florida</v>
      </c>
      <c r="G365" t="str">
        <f>TRIM(Employee_dataset[[#This Row],[Status]])</f>
        <v>Active</v>
      </c>
      <c r="H365" s="1">
        <f>_xlfn.LET(
     _xlpm.d, Employee_dataset[[#This Row],[Join_Date]],
     IF(
        ISNUMBER(_xlpm.d),_xlpm.d,""
       )
    )</f>
        <v>44436</v>
      </c>
      <c r="I365" s="6">
        <f>_xlfn.LET(
     _xlpm.s, TRIM(Employee_dataset[[#This Row],[Salary]]),
     IF(
        UPPER(_xlpm.s)="N/A","",
        IF(
           ISNUMBER(--_xlpm.s),ROUND(_xlfn.NUMBERVALUE(_xlpm.s),2),""
          )
       )
    )</f>
        <v>79118.28</v>
      </c>
      <c r="J365" t="str">
        <f>TRIM(Employee_dataset[[#This Row],[Email]])</f>
        <v>charlie.johnson@example.com</v>
      </c>
      <c r="K365" t="str">
        <f>_xlfn.LET(
     _xlpm.p,TRIM(SUBSTITUTE(Employee_dataset[[#This Row],[Phone]],"-","")),
     IF(
        LEN(_xlpm.p)=10,_xlfn.CONCAT("("&amp;LEFT(_xlpm.p,3)&amp;") "&amp;MID(_xlpm.p,4,3)&amp;"-"&amp;RIGHT(_xlpm.p,4),"")
       )
     )</f>
        <v>(753) 617-0616</v>
      </c>
      <c r="L365" t="str">
        <f>TRIM(Employee_dataset[[#This Row],[Performance_Score]])</f>
        <v>Poor</v>
      </c>
      <c r="M365" t="str">
        <f>TRIM(Employee_dataset[[#This Row],[Remote_Work]])</f>
        <v>TRUE</v>
      </c>
    </row>
    <row r="366" spans="1:13" x14ac:dyDescent="0.3">
      <c r="A366" t="str">
        <f>TRIM(Employee_dataset[[#This Row],[Employee_ID]])</f>
        <v>EMP1364</v>
      </c>
      <c r="B366" t="str">
        <f>PROPER(TRIM(Employee_dataset[[#This Row],[First_Name]]))</f>
        <v>Bob</v>
      </c>
      <c r="C366" t="str">
        <f>PROPER(TRIM(Employee_dataset[[#This Row],[Last_Name]]))</f>
        <v>Davis</v>
      </c>
      <c r="D366" s="6" t="str">
        <f>_xlfn.LET(
     _xlpm.a, TRIM(Employee_dataset[[#This Row],[Age]]),
     IF(
        _xlpm.a="","",
        IF(
           AND(ISNUMBER(--_xlpm.a),LEN(_xlpm.a)=2),_xlpm.a,""
          )
       )
    )</f>
        <v>30</v>
      </c>
      <c r="E366" t="str">
        <f>TRIM(_xlfn.TEXTBEFORE(Employee_dataset[[#This Row],[Department_Region]],"-"))</f>
        <v>HR</v>
      </c>
      <c r="F366" t="str">
        <f>TRIM(_xlfn.TEXTAFTER(Employee_dataset[[#This Row],[Department_Region]],"-"))</f>
        <v>California</v>
      </c>
      <c r="G366" t="str">
        <f>TRIM(Employee_dataset[[#This Row],[Status]])</f>
        <v>Inactive</v>
      </c>
      <c r="H366" s="1">
        <f>_xlfn.LET(
     _xlpm.d, Employee_dataset[[#This Row],[Join_Date]],
     IF(
        ISNUMBER(_xlpm.d),_xlpm.d,""
       )
    )</f>
        <v>44763</v>
      </c>
      <c r="I366" s="6">
        <f>_xlfn.LET(
     _xlpm.s, TRIM(Employee_dataset[[#This Row],[Salary]]),
     IF(
        UPPER(_xlpm.s)="N/A","",
        IF(
           ISNUMBER(--_xlpm.s),ROUND(_xlfn.NUMBERVALUE(_xlpm.s),2),""
          )
       )
    )</f>
        <v>104898.9</v>
      </c>
      <c r="J366" t="str">
        <f>TRIM(Employee_dataset[[#This Row],[Email]])</f>
        <v>bob.davis@example.com</v>
      </c>
      <c r="K366" t="str">
        <f>_xlfn.LET(
     _xlpm.p,TRIM(SUBSTITUTE(Employee_dataset[[#This Row],[Phone]],"-","")),
     IF(
        LEN(_xlpm.p)=10,_xlfn.CONCAT("("&amp;LEFT(_xlpm.p,3)&amp;") "&amp;MID(_xlpm.p,4,3)&amp;"-"&amp;RIGHT(_xlpm.p,4),"")
       )
     )</f>
        <v>(136) 657-2239</v>
      </c>
      <c r="L366" t="str">
        <f>TRIM(Employee_dataset[[#This Row],[Performance_Score]])</f>
        <v>Excellent</v>
      </c>
      <c r="M366" t="str">
        <f>TRIM(Employee_dataset[[#This Row],[Remote_Work]])</f>
        <v>TRUE</v>
      </c>
    </row>
    <row r="367" spans="1:13" x14ac:dyDescent="0.3">
      <c r="A367" t="str">
        <f>TRIM(Employee_dataset[[#This Row],[Employee_ID]])</f>
        <v>EMP1365</v>
      </c>
      <c r="B367" t="str">
        <f>PROPER(TRIM(Employee_dataset[[#This Row],[First_Name]]))</f>
        <v>Frank</v>
      </c>
      <c r="C367" t="str">
        <f>PROPER(TRIM(Employee_dataset[[#This Row],[Last_Name]]))</f>
        <v>Davis</v>
      </c>
      <c r="D367" s="6" t="str">
        <f>_xlfn.LET(
     _xlpm.a, TRIM(Employee_dataset[[#This Row],[Age]]),
     IF(
        _xlpm.a="","",
        IF(
           AND(ISNUMBER(--_xlpm.a),LEN(_xlpm.a)=2),_xlpm.a,""
          )
       )
    )</f>
        <v>40</v>
      </c>
      <c r="E367" t="str">
        <f>TRIM(_xlfn.TEXTBEFORE(Employee_dataset[[#This Row],[Department_Region]],"-"))</f>
        <v>Cloud Tech</v>
      </c>
      <c r="F367" t="str">
        <f>TRIM(_xlfn.TEXTAFTER(Employee_dataset[[#This Row],[Department_Region]],"-"))</f>
        <v>Florida</v>
      </c>
      <c r="G367" t="str">
        <f>TRIM(Employee_dataset[[#This Row],[Status]])</f>
        <v>Pending</v>
      </c>
      <c r="H367" s="1">
        <f>_xlfn.LET(
     _xlpm.d, Employee_dataset[[#This Row],[Join_Date]],
     IF(
        ISNUMBER(_xlpm.d),_xlpm.d,""
       )
    )</f>
        <v>45257</v>
      </c>
      <c r="I367" s="6">
        <f>_xlfn.LET(
     _xlpm.s, TRIM(Employee_dataset[[#This Row],[Salary]]),
     IF(
        UPPER(_xlpm.s)="N/A","",
        IF(
           ISNUMBER(--_xlpm.s),ROUND(_xlfn.NUMBERVALUE(_xlpm.s),2),""
          )
       )
    )</f>
        <v>81671.3</v>
      </c>
      <c r="J367" t="str">
        <f>TRIM(Employee_dataset[[#This Row],[Email]])</f>
        <v>frank.davis@example.com</v>
      </c>
      <c r="K367" t="str">
        <f>_xlfn.LET(
     _xlpm.p,TRIM(SUBSTITUTE(Employee_dataset[[#This Row],[Phone]],"-","")),
     IF(
        LEN(_xlpm.p)=10,_xlfn.CONCAT("("&amp;LEFT(_xlpm.p,3)&amp;") "&amp;MID(_xlpm.p,4,3)&amp;"-"&amp;RIGHT(_xlpm.p,4),"")
       )
     )</f>
        <v>(299) 015-5798</v>
      </c>
      <c r="L367" t="str">
        <f>TRIM(Employee_dataset[[#This Row],[Performance_Score]])</f>
        <v>Poor</v>
      </c>
      <c r="M367" t="str">
        <f>TRIM(Employee_dataset[[#This Row],[Remote_Work]])</f>
        <v>TRUE</v>
      </c>
    </row>
    <row r="368" spans="1:13" x14ac:dyDescent="0.3">
      <c r="A368" t="str">
        <f>TRIM(Employee_dataset[[#This Row],[Employee_ID]])</f>
        <v>EMP1366</v>
      </c>
      <c r="B368" t="str">
        <f>PROPER(TRIM(Employee_dataset[[#This Row],[First_Name]]))</f>
        <v>Alice</v>
      </c>
      <c r="C368" t="str">
        <f>PROPER(TRIM(Employee_dataset[[#This Row],[Last_Name]]))</f>
        <v>Miller</v>
      </c>
      <c r="D368" s="6" t="str">
        <f>_xlfn.LET(
     _xlpm.a, TRIM(Employee_dataset[[#This Row],[Age]]),
     IF(
        _xlpm.a="","",
        IF(
           AND(ISNUMBER(--_xlpm.a),LEN(_xlpm.a)=2),_xlpm.a,""
          )
       )
    )</f>
        <v>25</v>
      </c>
      <c r="E368" t="str">
        <f>TRIM(_xlfn.TEXTBEFORE(Employee_dataset[[#This Row],[Department_Region]],"-"))</f>
        <v>Cloud Tech</v>
      </c>
      <c r="F368" t="str">
        <f>TRIM(_xlfn.TEXTAFTER(Employee_dataset[[#This Row],[Department_Region]],"-"))</f>
        <v>California</v>
      </c>
      <c r="G368" t="str">
        <f>TRIM(Employee_dataset[[#This Row],[Status]])</f>
        <v>Pending</v>
      </c>
      <c r="H368" s="1">
        <f>_xlfn.LET(
     _xlpm.d, Employee_dataset[[#This Row],[Join_Date]],
     IF(
        ISNUMBER(_xlpm.d),_xlpm.d,""
       )
    )</f>
        <v>44054</v>
      </c>
      <c r="I368" s="6">
        <f>_xlfn.LET(
     _xlpm.s, TRIM(Employee_dataset[[#This Row],[Salary]]),
     IF(
        UPPER(_xlpm.s)="N/A","",
        IF(
           ISNUMBER(--_xlpm.s),ROUND(_xlfn.NUMBERVALUE(_xlpm.s),2),""
          )
       )
    )</f>
        <v>97399.75</v>
      </c>
      <c r="J368" t="str">
        <f>TRIM(Employee_dataset[[#This Row],[Email]])</f>
        <v>alice.miller@example.com</v>
      </c>
      <c r="K368" t="str">
        <f>_xlfn.LET(
     _xlpm.p,TRIM(SUBSTITUTE(Employee_dataset[[#This Row],[Phone]],"-","")),
     IF(
        LEN(_xlpm.p)=10,_xlfn.CONCAT("("&amp;LEFT(_xlpm.p,3)&amp;") "&amp;MID(_xlpm.p,4,3)&amp;"-"&amp;RIGHT(_xlpm.p,4),"")
       )
     )</f>
        <v>(802) 841-3907</v>
      </c>
      <c r="L368" t="str">
        <f>TRIM(Employee_dataset[[#This Row],[Performance_Score]])</f>
        <v>Excellent</v>
      </c>
      <c r="M368" t="str">
        <f>TRIM(Employee_dataset[[#This Row],[Remote_Work]])</f>
        <v>FALSE</v>
      </c>
    </row>
    <row r="369" spans="1:13" x14ac:dyDescent="0.3">
      <c r="A369" t="str">
        <f>TRIM(Employee_dataset[[#This Row],[Employee_ID]])</f>
        <v>EMP1367</v>
      </c>
      <c r="B369" t="str">
        <f>PROPER(TRIM(Employee_dataset[[#This Row],[First_Name]]))</f>
        <v>David</v>
      </c>
      <c r="C369" t="str">
        <f>PROPER(TRIM(Employee_dataset[[#This Row],[Last_Name]]))</f>
        <v>Johnson</v>
      </c>
      <c r="D369" s="6" t="str">
        <f>_xlfn.LET(
     _xlpm.a, TRIM(Employee_dataset[[#This Row],[Age]]),
     IF(
        _xlpm.a="","",
        IF(
           AND(ISNUMBER(--_xlpm.a),LEN(_xlpm.a)=2),_xlpm.a,""
          )
       )
    )</f>
        <v/>
      </c>
      <c r="E369" t="str">
        <f>TRIM(_xlfn.TEXTBEFORE(Employee_dataset[[#This Row],[Department_Region]],"-"))</f>
        <v>Admin</v>
      </c>
      <c r="F369" t="str">
        <f>TRIM(_xlfn.TEXTAFTER(Employee_dataset[[#This Row],[Department_Region]],"-"))</f>
        <v>Illinois</v>
      </c>
      <c r="G369" t="str">
        <f>TRIM(Employee_dataset[[#This Row],[Status]])</f>
        <v>Active</v>
      </c>
      <c r="H369" s="1">
        <f>_xlfn.LET(
     _xlpm.d, Employee_dataset[[#This Row],[Join_Date]],
     IF(
        ISNUMBER(_xlpm.d),_xlpm.d,""
       )
    )</f>
        <v>44508</v>
      </c>
      <c r="I369" s="6">
        <f>_xlfn.LET(
     _xlpm.s, TRIM(Employee_dataset[[#This Row],[Salary]]),
     IF(
        UPPER(_xlpm.s)="N/A","",
        IF(
           ISNUMBER(--_xlpm.s),ROUND(_xlfn.NUMBERVALUE(_xlpm.s),2),""
          )
       )
    )</f>
        <v>89189.43</v>
      </c>
      <c r="J369" t="str">
        <f>TRIM(Employee_dataset[[#This Row],[Email]])</f>
        <v>david.johnson@example.com</v>
      </c>
      <c r="K369" t="b">
        <f>_xlfn.LET(
     _xlpm.p,TRIM(SUBSTITUTE(Employee_dataset[[#This Row],[Phone]],"-","")),
     IF(
        LEN(_xlpm.p)=10,_xlfn.CONCAT("("&amp;LEFT(_xlpm.p,3)&amp;") "&amp;MID(_xlpm.p,4,3)&amp;"-"&amp;RIGHT(_xlpm.p,4),"")
       )
     )</f>
        <v>0</v>
      </c>
      <c r="L369" t="str">
        <f>TRIM(Employee_dataset[[#This Row],[Performance_Score]])</f>
        <v>Poor</v>
      </c>
      <c r="M369" t="str">
        <f>TRIM(Employee_dataset[[#This Row],[Remote_Work]])</f>
        <v>TRUE</v>
      </c>
    </row>
    <row r="370" spans="1:13" x14ac:dyDescent="0.3">
      <c r="A370" t="str">
        <f>TRIM(Employee_dataset[[#This Row],[Employee_ID]])</f>
        <v>EMP1368</v>
      </c>
      <c r="B370" t="str">
        <f>PROPER(TRIM(Employee_dataset[[#This Row],[First_Name]]))</f>
        <v>David</v>
      </c>
      <c r="C370" t="str">
        <f>PROPER(TRIM(Employee_dataset[[#This Row],[Last_Name]]))</f>
        <v>Williams</v>
      </c>
      <c r="D370" s="6" t="str">
        <f>_xlfn.LET(
     _xlpm.a, TRIM(Employee_dataset[[#This Row],[Age]]),
     IF(
        _xlpm.a="","",
        IF(
           AND(ISNUMBER(--_xlpm.a),LEN(_xlpm.a)=2),_xlpm.a,""
          )
       )
    )</f>
        <v>40</v>
      </c>
      <c r="E370" t="str">
        <f>TRIM(_xlfn.TEXTBEFORE(Employee_dataset[[#This Row],[Department_Region]],"-"))</f>
        <v>DevOps</v>
      </c>
      <c r="F370" t="str">
        <f>TRIM(_xlfn.TEXTAFTER(Employee_dataset[[#This Row],[Department_Region]],"-"))</f>
        <v>New York</v>
      </c>
      <c r="G370" t="str">
        <f>TRIM(Employee_dataset[[#This Row],[Status]])</f>
        <v>Active</v>
      </c>
      <c r="H370" s="1">
        <f>_xlfn.LET(
     _xlpm.d, Employee_dataset[[#This Row],[Join_Date]],
     IF(
        ISNUMBER(_xlpm.d),_xlpm.d,""
       )
    )</f>
        <v>45142</v>
      </c>
      <c r="I370" s="6">
        <f>_xlfn.LET(
     _xlpm.s, TRIM(Employee_dataset[[#This Row],[Salary]]),
     IF(
        UPPER(_xlpm.s)="N/A","",
        IF(
           ISNUMBER(--_xlpm.s),ROUND(_xlfn.NUMBERVALUE(_xlpm.s),2),""
          )
       )
    )</f>
        <v>96011.55</v>
      </c>
      <c r="J370" t="str">
        <f>TRIM(Employee_dataset[[#This Row],[Email]])</f>
        <v>david.williams@example.com</v>
      </c>
      <c r="K370" t="str">
        <f>_xlfn.LET(
     _xlpm.p,TRIM(SUBSTITUTE(Employee_dataset[[#This Row],[Phone]],"-","")),
     IF(
        LEN(_xlpm.p)=10,_xlfn.CONCAT("("&amp;LEFT(_xlpm.p,3)&amp;") "&amp;MID(_xlpm.p,4,3)&amp;"-"&amp;RIGHT(_xlpm.p,4),"")
       )
     )</f>
        <v>(231) 244-7314</v>
      </c>
      <c r="L370" t="str">
        <f>TRIM(Employee_dataset[[#This Row],[Performance_Score]])</f>
        <v>Average</v>
      </c>
      <c r="M370" t="str">
        <f>TRIM(Employee_dataset[[#This Row],[Remote_Work]])</f>
        <v>TRUE</v>
      </c>
    </row>
    <row r="371" spans="1:13" x14ac:dyDescent="0.3">
      <c r="A371" t="str">
        <f>TRIM(Employee_dataset[[#This Row],[Employee_ID]])</f>
        <v>EMP1369</v>
      </c>
      <c r="B371" t="str">
        <f>PROPER(TRIM(Employee_dataset[[#This Row],[First_Name]]))</f>
        <v>David</v>
      </c>
      <c r="C371" t="str">
        <f>PROPER(TRIM(Employee_dataset[[#This Row],[Last_Name]]))</f>
        <v>Davis</v>
      </c>
      <c r="D371" s="6" t="str">
        <f>_xlfn.LET(
     _xlpm.a, TRIM(Employee_dataset[[#This Row],[Age]]),
     IF(
        _xlpm.a="","",
        IF(
           AND(ISNUMBER(--_xlpm.a),LEN(_xlpm.a)=2),_xlpm.a,""
          )
       )
    )</f>
        <v>40</v>
      </c>
      <c r="E371" t="str">
        <f>TRIM(_xlfn.TEXTBEFORE(Employee_dataset[[#This Row],[Department_Region]],"-"))</f>
        <v>Sales</v>
      </c>
      <c r="F371" t="str">
        <f>TRIM(_xlfn.TEXTAFTER(Employee_dataset[[#This Row],[Department_Region]],"-"))</f>
        <v>Florida</v>
      </c>
      <c r="G371" t="str">
        <f>TRIM(Employee_dataset[[#This Row],[Status]])</f>
        <v>Inactive</v>
      </c>
      <c r="H371" s="1">
        <f>_xlfn.LET(
     _xlpm.d, Employee_dataset[[#This Row],[Join_Date]],
     IF(
        ISNUMBER(_xlpm.d),_xlpm.d,""
       )
    )</f>
        <v>43840</v>
      </c>
      <c r="I371" s="6">
        <f>_xlfn.LET(
     _xlpm.s, TRIM(Employee_dataset[[#This Row],[Salary]]),
     IF(
        UPPER(_xlpm.s)="N/A","",
        IF(
           ISNUMBER(--_xlpm.s),ROUND(_xlfn.NUMBERVALUE(_xlpm.s),2),""
          )
       )
    )</f>
        <v>99331.49</v>
      </c>
      <c r="J371" t="str">
        <f>TRIM(Employee_dataset[[#This Row],[Email]])</f>
        <v>david.davis@example.com</v>
      </c>
      <c r="K371" t="str">
        <f>_xlfn.LET(
     _xlpm.p,TRIM(SUBSTITUTE(Employee_dataset[[#This Row],[Phone]],"-","")),
     IF(
        LEN(_xlpm.p)=10,_xlfn.CONCAT("("&amp;LEFT(_xlpm.p,3)&amp;") "&amp;MID(_xlpm.p,4,3)&amp;"-"&amp;RIGHT(_xlpm.p,4),"")
       )
     )</f>
        <v>(847) 768-6341</v>
      </c>
      <c r="L371" t="str">
        <f>TRIM(Employee_dataset[[#This Row],[Performance_Score]])</f>
        <v>Excellent</v>
      </c>
      <c r="M371" t="str">
        <f>TRIM(Employee_dataset[[#This Row],[Remote_Work]])</f>
        <v>FALSE</v>
      </c>
    </row>
    <row r="372" spans="1:13" x14ac:dyDescent="0.3">
      <c r="A372" t="str">
        <f>TRIM(Employee_dataset[[#This Row],[Employee_ID]])</f>
        <v>EMP1370</v>
      </c>
      <c r="B372" t="str">
        <f>PROPER(TRIM(Employee_dataset[[#This Row],[First_Name]]))</f>
        <v>Bob</v>
      </c>
      <c r="C372" t="str">
        <f>PROPER(TRIM(Employee_dataset[[#This Row],[Last_Name]]))</f>
        <v>Brown</v>
      </c>
      <c r="D372" s="6" t="str">
        <f>_xlfn.LET(
     _xlpm.a, TRIM(Employee_dataset[[#This Row],[Age]]),
     IF(
        _xlpm.a="","",
        IF(
           AND(ISNUMBER(--_xlpm.a),LEN(_xlpm.a)=2),_xlpm.a,""
          )
       )
    )</f>
        <v/>
      </c>
      <c r="E372" t="str">
        <f>TRIM(_xlfn.TEXTBEFORE(Employee_dataset[[#This Row],[Department_Region]],"-"))</f>
        <v>Cloud Tech</v>
      </c>
      <c r="F372" t="str">
        <f>TRIM(_xlfn.TEXTAFTER(Employee_dataset[[#This Row],[Department_Region]],"-"))</f>
        <v>Illinois</v>
      </c>
      <c r="G372" t="str">
        <f>TRIM(Employee_dataset[[#This Row],[Status]])</f>
        <v>Active</v>
      </c>
      <c r="H372" s="1">
        <f>_xlfn.LET(
     _xlpm.d, Employee_dataset[[#This Row],[Join_Date]],
     IF(
        ISNUMBER(_xlpm.d),_xlpm.d,""
       )
    )</f>
        <v>44580</v>
      </c>
      <c r="I372" s="6">
        <f>_xlfn.LET(
     _xlpm.s, TRIM(Employee_dataset[[#This Row],[Salary]]),
     IF(
        UPPER(_xlpm.s)="N/A","",
        IF(
           ISNUMBER(--_xlpm.s),ROUND(_xlfn.NUMBERVALUE(_xlpm.s),2),""
          )
       )
    )</f>
        <v>72818.94</v>
      </c>
      <c r="J372" t="str">
        <f>TRIM(Employee_dataset[[#This Row],[Email]])</f>
        <v>bob.brown@example.com</v>
      </c>
      <c r="K372" t="str">
        <f>_xlfn.LET(
     _xlpm.p,TRIM(SUBSTITUTE(Employee_dataset[[#This Row],[Phone]],"-","")),
     IF(
        LEN(_xlpm.p)=10,_xlfn.CONCAT("("&amp;LEFT(_xlpm.p,3)&amp;") "&amp;MID(_xlpm.p,4,3)&amp;"-"&amp;RIGHT(_xlpm.p,4),"")
       )
     )</f>
        <v>(346) 199-4236</v>
      </c>
      <c r="L372" t="str">
        <f>TRIM(Employee_dataset[[#This Row],[Performance_Score]])</f>
        <v>Good</v>
      </c>
      <c r="M372" t="str">
        <f>TRIM(Employee_dataset[[#This Row],[Remote_Work]])</f>
        <v>TRUE</v>
      </c>
    </row>
    <row r="373" spans="1:13" x14ac:dyDescent="0.3">
      <c r="A373" t="str">
        <f>TRIM(Employee_dataset[[#This Row],[Employee_ID]])</f>
        <v>EMP1371</v>
      </c>
      <c r="B373" t="str">
        <f>PROPER(TRIM(Employee_dataset[[#This Row],[First_Name]]))</f>
        <v>Eva</v>
      </c>
      <c r="C373" t="str">
        <f>PROPER(TRIM(Employee_dataset[[#This Row],[Last_Name]]))</f>
        <v>Garcia</v>
      </c>
      <c r="D373" s="6" t="str">
        <f>_xlfn.LET(
     _xlpm.a, TRIM(Employee_dataset[[#This Row],[Age]]),
     IF(
        _xlpm.a="","",
        IF(
           AND(ISNUMBER(--_xlpm.a),LEN(_xlpm.a)=2),_xlpm.a,""
          )
       )
    )</f>
        <v>40</v>
      </c>
      <c r="E373" t="str">
        <f>TRIM(_xlfn.TEXTBEFORE(Employee_dataset[[#This Row],[Department_Region]],"-"))</f>
        <v>Sales</v>
      </c>
      <c r="F373" t="str">
        <f>TRIM(_xlfn.TEXTAFTER(Employee_dataset[[#This Row],[Department_Region]],"-"))</f>
        <v>Nevada</v>
      </c>
      <c r="G373" t="str">
        <f>TRIM(Employee_dataset[[#This Row],[Status]])</f>
        <v>Inactive</v>
      </c>
      <c r="H373" s="1">
        <f>_xlfn.LET(
     _xlpm.d, Employee_dataset[[#This Row],[Join_Date]],
     IF(
        ISNUMBER(_xlpm.d),_xlpm.d,""
       )
    )</f>
        <v>45053</v>
      </c>
      <c r="I373" s="6">
        <f>_xlfn.LET(
     _xlpm.s, TRIM(Employee_dataset[[#This Row],[Salary]]),
     IF(
        UPPER(_xlpm.s)="N/A","",
        IF(
           ISNUMBER(--_xlpm.s),ROUND(_xlfn.NUMBERVALUE(_xlpm.s),2),""
          )
       )
    )</f>
        <v>77204.75</v>
      </c>
      <c r="J373" t="str">
        <f>TRIM(Employee_dataset[[#This Row],[Email]])</f>
        <v>eva.garcia@example.com</v>
      </c>
      <c r="K373" t="str">
        <f>_xlfn.LET(
     _xlpm.p,TRIM(SUBSTITUTE(Employee_dataset[[#This Row],[Phone]],"-","")),
     IF(
        LEN(_xlpm.p)=10,_xlfn.CONCAT("("&amp;LEFT(_xlpm.p,3)&amp;") "&amp;MID(_xlpm.p,4,3)&amp;"-"&amp;RIGHT(_xlpm.p,4),"")
       )
     )</f>
        <v>(676) 945-9195</v>
      </c>
      <c r="L373" t="str">
        <f>TRIM(Employee_dataset[[#This Row],[Performance_Score]])</f>
        <v>Good</v>
      </c>
      <c r="M373" t="str">
        <f>TRIM(Employee_dataset[[#This Row],[Remote_Work]])</f>
        <v>TRUE</v>
      </c>
    </row>
    <row r="374" spans="1:13" x14ac:dyDescent="0.3">
      <c r="A374" t="str">
        <f>TRIM(Employee_dataset[[#This Row],[Employee_ID]])</f>
        <v>EMP1372</v>
      </c>
      <c r="B374" t="str">
        <f>PROPER(TRIM(Employee_dataset[[#This Row],[First_Name]]))</f>
        <v>Bob</v>
      </c>
      <c r="C374" t="str">
        <f>PROPER(TRIM(Employee_dataset[[#This Row],[Last_Name]]))</f>
        <v>Johnson</v>
      </c>
      <c r="D374" s="6" t="str">
        <f>_xlfn.LET(
     _xlpm.a, TRIM(Employee_dataset[[#This Row],[Age]]),
     IF(
        _xlpm.a="","",
        IF(
           AND(ISNUMBER(--_xlpm.a),LEN(_xlpm.a)=2),_xlpm.a,""
          )
       )
    )</f>
        <v>35</v>
      </c>
      <c r="E374" t="str">
        <f>TRIM(_xlfn.TEXTBEFORE(Employee_dataset[[#This Row],[Department_Region]],"-"))</f>
        <v>HR</v>
      </c>
      <c r="F374" t="str">
        <f>TRIM(_xlfn.TEXTAFTER(Employee_dataset[[#This Row],[Department_Region]],"-"))</f>
        <v>Florida</v>
      </c>
      <c r="G374" t="str">
        <f>TRIM(Employee_dataset[[#This Row],[Status]])</f>
        <v>Pending</v>
      </c>
      <c r="H374" s="1">
        <f>_xlfn.LET(
     _xlpm.d, Employee_dataset[[#This Row],[Join_Date]],
     IF(
        ISNUMBER(_xlpm.d),_xlpm.d,""
       )
    )</f>
        <v>44184</v>
      </c>
      <c r="I374" s="6">
        <f>_xlfn.LET(
     _xlpm.s, TRIM(Employee_dataset[[#This Row],[Salary]]),
     IF(
        UPPER(_xlpm.s)="N/A","",
        IF(
           ISNUMBER(--_xlpm.s),ROUND(_xlfn.NUMBERVALUE(_xlpm.s),2),""
          )
       )
    )</f>
        <v>106961.68</v>
      </c>
      <c r="J374" t="str">
        <f>TRIM(Employee_dataset[[#This Row],[Email]])</f>
        <v>bob.johnson@example.com</v>
      </c>
      <c r="K374" t="str">
        <f>_xlfn.LET(
     _xlpm.p,TRIM(SUBSTITUTE(Employee_dataset[[#This Row],[Phone]],"-","")),
     IF(
        LEN(_xlpm.p)=10,_xlfn.CONCAT("("&amp;LEFT(_xlpm.p,3)&amp;") "&amp;MID(_xlpm.p,4,3)&amp;"-"&amp;RIGHT(_xlpm.p,4),"")
       )
     )</f>
        <v>(639) 551-7207</v>
      </c>
      <c r="L374" t="str">
        <f>TRIM(Employee_dataset[[#This Row],[Performance_Score]])</f>
        <v>Poor</v>
      </c>
      <c r="M374" t="str">
        <f>TRIM(Employee_dataset[[#This Row],[Remote_Work]])</f>
        <v>FALSE</v>
      </c>
    </row>
    <row r="375" spans="1:13" x14ac:dyDescent="0.3">
      <c r="A375" t="str">
        <f>TRIM(Employee_dataset[[#This Row],[Employee_ID]])</f>
        <v>EMP1373</v>
      </c>
      <c r="B375" t="str">
        <f>PROPER(TRIM(Employee_dataset[[#This Row],[First_Name]]))</f>
        <v>Eva</v>
      </c>
      <c r="C375" t="str">
        <f>PROPER(TRIM(Employee_dataset[[#This Row],[Last_Name]]))</f>
        <v>Garcia</v>
      </c>
      <c r="D375" s="6" t="str">
        <f>_xlfn.LET(
     _xlpm.a, TRIM(Employee_dataset[[#This Row],[Age]]),
     IF(
        _xlpm.a="","",
        IF(
           AND(ISNUMBER(--_xlpm.a),LEN(_xlpm.a)=2),_xlpm.a,""
          )
       )
    )</f>
        <v/>
      </c>
      <c r="E375" t="str">
        <f>TRIM(_xlfn.TEXTBEFORE(Employee_dataset[[#This Row],[Department_Region]],"-"))</f>
        <v>Sales</v>
      </c>
      <c r="F375" t="str">
        <f>TRIM(_xlfn.TEXTAFTER(Employee_dataset[[#This Row],[Department_Region]],"-"))</f>
        <v>Texas</v>
      </c>
      <c r="G375" t="str">
        <f>TRIM(Employee_dataset[[#This Row],[Status]])</f>
        <v>Pending</v>
      </c>
      <c r="H375" s="1">
        <f>_xlfn.LET(
     _xlpm.d, Employee_dataset[[#This Row],[Join_Date]],
     IF(
        ISNUMBER(_xlpm.d),_xlpm.d,""
       )
    )</f>
        <v>44105</v>
      </c>
      <c r="I375" s="6">
        <f>_xlfn.LET(
     _xlpm.s, TRIM(Employee_dataset[[#This Row],[Salary]]),
     IF(
        UPPER(_xlpm.s)="N/A","",
        IF(
           ISNUMBER(--_xlpm.s),ROUND(_xlfn.NUMBERVALUE(_xlpm.s),2),""
          )
       )
    )</f>
        <v>71923</v>
      </c>
      <c r="J375" t="str">
        <f>TRIM(Employee_dataset[[#This Row],[Email]])</f>
        <v>eva.garcia@example.com</v>
      </c>
      <c r="K375" t="str">
        <f>_xlfn.LET(
     _xlpm.p,TRIM(SUBSTITUTE(Employee_dataset[[#This Row],[Phone]],"-","")),
     IF(
        LEN(_xlpm.p)=10,_xlfn.CONCAT("("&amp;LEFT(_xlpm.p,3)&amp;") "&amp;MID(_xlpm.p,4,3)&amp;"-"&amp;RIGHT(_xlpm.p,4),"")
       )
     )</f>
        <v>(496) 498-5600</v>
      </c>
      <c r="L375" t="str">
        <f>TRIM(Employee_dataset[[#This Row],[Performance_Score]])</f>
        <v>Good</v>
      </c>
      <c r="M375" t="str">
        <f>TRIM(Employee_dataset[[#This Row],[Remote_Work]])</f>
        <v>TRUE</v>
      </c>
    </row>
    <row r="376" spans="1:13" x14ac:dyDescent="0.3">
      <c r="A376" t="str">
        <f>TRIM(Employee_dataset[[#This Row],[Employee_ID]])</f>
        <v>EMP1374</v>
      </c>
      <c r="B376" t="str">
        <f>PROPER(TRIM(Employee_dataset[[#This Row],[First_Name]]))</f>
        <v>Bob</v>
      </c>
      <c r="C376" t="str">
        <f>PROPER(TRIM(Employee_dataset[[#This Row],[Last_Name]]))</f>
        <v>Smith</v>
      </c>
      <c r="D376" s="6" t="str">
        <f>_xlfn.LET(
     _xlpm.a, TRIM(Employee_dataset[[#This Row],[Age]]),
     IF(
        _xlpm.a="","",
        IF(
           AND(ISNUMBER(--_xlpm.a),LEN(_xlpm.a)=2),_xlpm.a,""
          )
       )
    )</f>
        <v>30</v>
      </c>
      <c r="E376" t="str">
        <f>TRIM(_xlfn.TEXTBEFORE(Employee_dataset[[#This Row],[Department_Region]],"-"))</f>
        <v>HR</v>
      </c>
      <c r="F376" t="str">
        <f>TRIM(_xlfn.TEXTAFTER(Employee_dataset[[#This Row],[Department_Region]],"-"))</f>
        <v>Nevada</v>
      </c>
      <c r="G376" t="str">
        <f>TRIM(Employee_dataset[[#This Row],[Status]])</f>
        <v>Active</v>
      </c>
      <c r="H376" s="1">
        <f>_xlfn.LET(
     _xlpm.d, Employee_dataset[[#This Row],[Join_Date]],
     IF(
        ISNUMBER(_xlpm.d),_xlpm.d,""
       )
    )</f>
        <v>44877</v>
      </c>
      <c r="I376" s="6">
        <f>_xlfn.LET(
     _xlpm.s, TRIM(Employee_dataset[[#This Row],[Salary]]),
     IF(
        UPPER(_xlpm.s)="N/A","",
        IF(
           ISNUMBER(--_xlpm.s),ROUND(_xlfn.NUMBERVALUE(_xlpm.s),2),""
          )
       )
    )</f>
        <v>77192.429999999993</v>
      </c>
      <c r="J376" t="str">
        <f>TRIM(Employee_dataset[[#This Row],[Email]])</f>
        <v>bob.smith@example.com</v>
      </c>
      <c r="K376" t="str">
        <f>_xlfn.LET(
     _xlpm.p,TRIM(SUBSTITUTE(Employee_dataset[[#This Row],[Phone]],"-","")),
     IF(
        LEN(_xlpm.p)=10,_xlfn.CONCAT("("&amp;LEFT(_xlpm.p,3)&amp;") "&amp;MID(_xlpm.p,4,3)&amp;"-"&amp;RIGHT(_xlpm.p,4),"")
       )
     )</f>
        <v>(256) 253-1354</v>
      </c>
      <c r="L376" t="str">
        <f>TRIM(Employee_dataset[[#This Row],[Performance_Score]])</f>
        <v>Excellent</v>
      </c>
      <c r="M376" t="str">
        <f>TRIM(Employee_dataset[[#This Row],[Remote_Work]])</f>
        <v>FALSE</v>
      </c>
    </row>
    <row r="377" spans="1:13" x14ac:dyDescent="0.3">
      <c r="A377" t="str">
        <f>TRIM(Employee_dataset[[#This Row],[Employee_ID]])</f>
        <v>EMP1375</v>
      </c>
      <c r="B377" t="str">
        <f>PROPER(TRIM(Employee_dataset[[#This Row],[First_Name]]))</f>
        <v>Grace</v>
      </c>
      <c r="C377" t="str">
        <f>PROPER(TRIM(Employee_dataset[[#This Row],[Last_Name]]))</f>
        <v>Brown</v>
      </c>
      <c r="D377" s="6" t="str">
        <f>_xlfn.LET(
     _xlpm.a, TRIM(Employee_dataset[[#This Row],[Age]]),
     IF(
        _xlpm.a="","",
        IF(
           AND(ISNUMBER(--_xlpm.a),LEN(_xlpm.a)=2),_xlpm.a,""
          )
       )
    )</f>
        <v>40</v>
      </c>
      <c r="E377" t="str">
        <f>TRIM(_xlfn.TEXTBEFORE(Employee_dataset[[#This Row],[Department_Region]],"-"))</f>
        <v>Admin</v>
      </c>
      <c r="F377" t="str">
        <f>TRIM(_xlfn.TEXTAFTER(Employee_dataset[[#This Row],[Department_Region]],"-"))</f>
        <v>Florida</v>
      </c>
      <c r="G377" t="str">
        <f>TRIM(Employee_dataset[[#This Row],[Status]])</f>
        <v>Pending</v>
      </c>
      <c r="H377" s="1">
        <f>_xlfn.LET(
     _xlpm.d, Employee_dataset[[#This Row],[Join_Date]],
     IF(
        ISNUMBER(_xlpm.d),_xlpm.d,""
       )
    )</f>
        <v>44931</v>
      </c>
      <c r="I377" s="6">
        <f>_xlfn.LET(
     _xlpm.s, TRIM(Employee_dataset[[#This Row],[Salary]]),
     IF(
        UPPER(_xlpm.s)="N/A","",
        IF(
           ISNUMBER(--_xlpm.s),ROUND(_xlfn.NUMBERVALUE(_xlpm.s),2),""
          )
       )
    )</f>
        <v>98540.3</v>
      </c>
      <c r="J377" t="str">
        <f>TRIM(Employee_dataset[[#This Row],[Email]])</f>
        <v>grace.brown@example.com</v>
      </c>
      <c r="K377" t="str">
        <f>_xlfn.LET(
     _xlpm.p,TRIM(SUBSTITUTE(Employee_dataset[[#This Row],[Phone]],"-","")),
     IF(
        LEN(_xlpm.p)=10,_xlfn.CONCAT("("&amp;LEFT(_xlpm.p,3)&amp;") "&amp;MID(_xlpm.p,4,3)&amp;"-"&amp;RIGHT(_xlpm.p,4),"")
       )
     )</f>
        <v>(251) 050-5378</v>
      </c>
      <c r="L377" t="str">
        <f>TRIM(Employee_dataset[[#This Row],[Performance_Score]])</f>
        <v>Good</v>
      </c>
      <c r="M377" t="str">
        <f>TRIM(Employee_dataset[[#This Row],[Remote_Work]])</f>
        <v>FALSE</v>
      </c>
    </row>
    <row r="378" spans="1:13" x14ac:dyDescent="0.3">
      <c r="A378" t="str">
        <f>TRIM(Employee_dataset[[#This Row],[Employee_ID]])</f>
        <v>EMP1376</v>
      </c>
      <c r="B378" t="str">
        <f>PROPER(TRIM(Employee_dataset[[#This Row],[First_Name]]))</f>
        <v>Charlie</v>
      </c>
      <c r="C378" t="str">
        <f>PROPER(TRIM(Employee_dataset[[#This Row],[Last_Name]]))</f>
        <v>Brown</v>
      </c>
      <c r="D378" s="6" t="str">
        <f>_xlfn.LET(
     _xlpm.a, TRIM(Employee_dataset[[#This Row],[Age]]),
     IF(
        _xlpm.a="","",
        IF(
           AND(ISNUMBER(--_xlpm.a),LEN(_xlpm.a)=2),_xlpm.a,""
          )
       )
    )</f>
        <v/>
      </c>
      <c r="E378" t="str">
        <f>TRIM(_xlfn.TEXTBEFORE(Employee_dataset[[#This Row],[Department_Region]],"-"))</f>
        <v>Admin</v>
      </c>
      <c r="F378" t="str">
        <f>TRIM(_xlfn.TEXTAFTER(Employee_dataset[[#This Row],[Department_Region]],"-"))</f>
        <v>Florida</v>
      </c>
      <c r="G378" t="str">
        <f>TRIM(Employee_dataset[[#This Row],[Status]])</f>
        <v>Inactive</v>
      </c>
      <c r="H378" s="1">
        <f>_xlfn.LET(
     _xlpm.d, Employee_dataset[[#This Row],[Join_Date]],
     IF(
        ISNUMBER(_xlpm.d),_xlpm.d,""
       )
    )</f>
        <v>44118</v>
      </c>
      <c r="I378" s="6">
        <f>_xlfn.LET(
     _xlpm.s, TRIM(Employee_dataset[[#This Row],[Salary]]),
     IF(
        UPPER(_xlpm.s)="N/A","",
        IF(
           ISNUMBER(--_xlpm.s),ROUND(_xlfn.NUMBERVALUE(_xlpm.s),2),""
          )
       )
    )</f>
        <v>63096.9</v>
      </c>
      <c r="J378" t="str">
        <f>TRIM(Employee_dataset[[#This Row],[Email]])</f>
        <v>charlie.brown@example.com</v>
      </c>
      <c r="K378" t="str">
        <f>_xlfn.LET(
     _xlpm.p,TRIM(SUBSTITUTE(Employee_dataset[[#This Row],[Phone]],"-","")),
     IF(
        LEN(_xlpm.p)=10,_xlfn.CONCAT("("&amp;LEFT(_xlpm.p,3)&amp;") "&amp;MID(_xlpm.p,4,3)&amp;"-"&amp;RIGHT(_xlpm.p,4),"")
       )
     )</f>
        <v>(538) 164-9382</v>
      </c>
      <c r="L378" t="str">
        <f>TRIM(Employee_dataset[[#This Row],[Performance_Score]])</f>
        <v>Average</v>
      </c>
      <c r="M378" t="str">
        <f>TRIM(Employee_dataset[[#This Row],[Remote_Work]])</f>
        <v>FALSE</v>
      </c>
    </row>
    <row r="379" spans="1:13" x14ac:dyDescent="0.3">
      <c r="A379" t="str">
        <f>TRIM(Employee_dataset[[#This Row],[Employee_ID]])</f>
        <v>EMP1377</v>
      </c>
      <c r="B379" t="str">
        <f>PROPER(TRIM(Employee_dataset[[#This Row],[First_Name]]))</f>
        <v>Alice</v>
      </c>
      <c r="C379" t="str">
        <f>PROPER(TRIM(Employee_dataset[[#This Row],[Last_Name]]))</f>
        <v>Smith</v>
      </c>
      <c r="D379" s="6" t="str">
        <f>_xlfn.LET(
     _xlpm.a, TRIM(Employee_dataset[[#This Row],[Age]]),
     IF(
        _xlpm.a="","",
        IF(
           AND(ISNUMBER(--_xlpm.a),LEN(_xlpm.a)=2),_xlpm.a,""
          )
       )
    )</f>
        <v>35</v>
      </c>
      <c r="E379" t="str">
        <f>TRIM(_xlfn.TEXTBEFORE(Employee_dataset[[#This Row],[Department_Region]],"-"))</f>
        <v>Cloud Tech</v>
      </c>
      <c r="F379" t="str">
        <f>TRIM(_xlfn.TEXTAFTER(Employee_dataset[[#This Row],[Department_Region]],"-"))</f>
        <v>Florida</v>
      </c>
      <c r="G379" t="str">
        <f>TRIM(Employee_dataset[[#This Row],[Status]])</f>
        <v>Active</v>
      </c>
      <c r="H379" s="1">
        <f>_xlfn.LET(
     _xlpm.d, Employee_dataset[[#This Row],[Join_Date]],
     IF(
        ISNUMBER(_xlpm.d),_xlpm.d,""
       )
    )</f>
        <v>44230</v>
      </c>
      <c r="I379" s="6">
        <f>_xlfn.LET(
     _xlpm.s, TRIM(Employee_dataset[[#This Row],[Salary]]),
     IF(
        UPPER(_xlpm.s)="N/A","",
        IF(
           ISNUMBER(--_xlpm.s),ROUND(_xlfn.NUMBERVALUE(_xlpm.s),2),""
          )
       )
    )</f>
        <v>107065.12</v>
      </c>
      <c r="J379" t="str">
        <f>TRIM(Employee_dataset[[#This Row],[Email]])</f>
        <v>alice.smith@example.com</v>
      </c>
      <c r="K379" t="str">
        <f>_xlfn.LET(
     _xlpm.p,TRIM(SUBSTITUTE(Employee_dataset[[#This Row],[Phone]],"-","")),
     IF(
        LEN(_xlpm.p)=10,_xlfn.CONCAT("("&amp;LEFT(_xlpm.p,3)&amp;") "&amp;MID(_xlpm.p,4,3)&amp;"-"&amp;RIGHT(_xlpm.p,4),"")
       )
     )</f>
        <v>(184) 919-6654</v>
      </c>
      <c r="L379" t="str">
        <f>TRIM(Employee_dataset[[#This Row],[Performance_Score]])</f>
        <v>Average</v>
      </c>
      <c r="M379" t="str">
        <f>TRIM(Employee_dataset[[#This Row],[Remote_Work]])</f>
        <v>FALSE</v>
      </c>
    </row>
    <row r="380" spans="1:13" x14ac:dyDescent="0.3">
      <c r="A380" t="str">
        <f>TRIM(Employee_dataset[[#This Row],[Employee_ID]])</f>
        <v>EMP1378</v>
      </c>
      <c r="B380" t="str">
        <f>PROPER(TRIM(Employee_dataset[[#This Row],[First_Name]]))</f>
        <v>Heidi</v>
      </c>
      <c r="C380" t="str">
        <f>PROPER(TRIM(Employee_dataset[[#This Row],[Last_Name]]))</f>
        <v>Johnson</v>
      </c>
      <c r="D380" s="6" t="str">
        <f>_xlfn.LET(
     _xlpm.a, TRIM(Employee_dataset[[#This Row],[Age]]),
     IF(
        _xlpm.a="","",
        IF(
           AND(ISNUMBER(--_xlpm.a),LEN(_xlpm.a)=2),_xlpm.a,""
          )
       )
    )</f>
        <v>40</v>
      </c>
      <c r="E380" t="str">
        <f>TRIM(_xlfn.TEXTBEFORE(Employee_dataset[[#This Row],[Department_Region]],"-"))</f>
        <v>DevOps</v>
      </c>
      <c r="F380" t="str">
        <f>TRIM(_xlfn.TEXTAFTER(Employee_dataset[[#This Row],[Department_Region]],"-"))</f>
        <v>Florida</v>
      </c>
      <c r="G380" t="str">
        <f>TRIM(Employee_dataset[[#This Row],[Status]])</f>
        <v>Inactive</v>
      </c>
      <c r="H380" s="1">
        <f>_xlfn.LET(
     _xlpm.d, Employee_dataset[[#This Row],[Join_Date]],
     IF(
        ISNUMBER(_xlpm.d),_xlpm.d,""
       )
    )</f>
        <v>45285</v>
      </c>
      <c r="I380" s="6">
        <f>_xlfn.LET(
     _xlpm.s, TRIM(Employee_dataset[[#This Row],[Salary]]),
     IF(
        UPPER(_xlpm.s)="N/A","",
        IF(
           ISNUMBER(--_xlpm.s),ROUND(_xlfn.NUMBERVALUE(_xlpm.s),2),""
          )
       )
    )</f>
        <v>108792.43</v>
      </c>
      <c r="J380" t="str">
        <f>TRIM(Employee_dataset[[#This Row],[Email]])</f>
        <v>heidi.johnson@example.com</v>
      </c>
      <c r="K380" t="str">
        <f>_xlfn.LET(
     _xlpm.p,TRIM(SUBSTITUTE(Employee_dataset[[#This Row],[Phone]],"-","")),
     IF(
        LEN(_xlpm.p)=10,_xlfn.CONCAT("("&amp;LEFT(_xlpm.p,3)&amp;") "&amp;MID(_xlpm.p,4,3)&amp;"-"&amp;RIGHT(_xlpm.p,4),"")
       )
     )</f>
        <v>(330) 770-4610</v>
      </c>
      <c r="L380" t="str">
        <f>TRIM(Employee_dataset[[#This Row],[Performance_Score]])</f>
        <v>Poor</v>
      </c>
      <c r="M380" t="str">
        <f>TRIM(Employee_dataset[[#This Row],[Remote_Work]])</f>
        <v>TRUE</v>
      </c>
    </row>
    <row r="381" spans="1:13" x14ac:dyDescent="0.3">
      <c r="A381" t="str">
        <f>TRIM(Employee_dataset[[#This Row],[Employee_ID]])</f>
        <v>EMP1379</v>
      </c>
      <c r="B381" t="str">
        <f>PROPER(TRIM(Employee_dataset[[#This Row],[First_Name]]))</f>
        <v>Bob</v>
      </c>
      <c r="C381" t="str">
        <f>PROPER(TRIM(Employee_dataset[[#This Row],[Last_Name]]))</f>
        <v>Smith</v>
      </c>
      <c r="D381" s="6" t="str">
        <f>_xlfn.LET(
     _xlpm.a, TRIM(Employee_dataset[[#This Row],[Age]]),
     IF(
        _xlpm.a="","",
        IF(
           AND(ISNUMBER(--_xlpm.a),LEN(_xlpm.a)=2),_xlpm.a,""
          )
       )
    )</f>
        <v/>
      </c>
      <c r="E381" t="str">
        <f>TRIM(_xlfn.TEXTBEFORE(Employee_dataset[[#This Row],[Department_Region]],"-"))</f>
        <v>Cloud Tech</v>
      </c>
      <c r="F381" t="str">
        <f>TRIM(_xlfn.TEXTAFTER(Employee_dataset[[#This Row],[Department_Region]],"-"))</f>
        <v>New York</v>
      </c>
      <c r="G381" t="str">
        <f>TRIM(Employee_dataset[[#This Row],[Status]])</f>
        <v>Inactive</v>
      </c>
      <c r="H381" s="1">
        <f>_xlfn.LET(
     _xlpm.d, Employee_dataset[[#This Row],[Join_Date]],
     IF(
        ISNUMBER(_xlpm.d),_xlpm.d,""
       )
    )</f>
        <v>43897</v>
      </c>
      <c r="I381" s="6">
        <f>_xlfn.LET(
     _xlpm.s, TRIM(Employee_dataset[[#This Row],[Salary]]),
     IF(
        UPPER(_xlpm.s)="N/A","",
        IF(
           ISNUMBER(--_xlpm.s),ROUND(_xlfn.NUMBERVALUE(_xlpm.s),2),""
          )
       )
    )</f>
        <v>69239.7</v>
      </c>
      <c r="J381" t="str">
        <f>TRIM(Employee_dataset[[#This Row],[Email]])</f>
        <v>bob.smith@example.com</v>
      </c>
      <c r="K381" t="str">
        <f>_xlfn.LET(
     _xlpm.p,TRIM(SUBSTITUTE(Employee_dataset[[#This Row],[Phone]],"-","")),
     IF(
        LEN(_xlpm.p)=10,_xlfn.CONCAT("("&amp;LEFT(_xlpm.p,3)&amp;") "&amp;MID(_xlpm.p,4,3)&amp;"-"&amp;RIGHT(_xlpm.p,4),"")
       )
     )</f>
        <v>(729) 596-3903</v>
      </c>
      <c r="L381" t="str">
        <f>TRIM(Employee_dataset[[#This Row],[Performance_Score]])</f>
        <v>Excellent</v>
      </c>
      <c r="M381" t="str">
        <f>TRIM(Employee_dataset[[#This Row],[Remote_Work]])</f>
        <v>FALSE</v>
      </c>
    </row>
    <row r="382" spans="1:13" x14ac:dyDescent="0.3">
      <c r="A382" t="str">
        <f>TRIM(Employee_dataset[[#This Row],[Employee_ID]])</f>
        <v>EMP1380</v>
      </c>
      <c r="B382" t="str">
        <f>PROPER(TRIM(Employee_dataset[[#This Row],[First_Name]]))</f>
        <v>Charlie</v>
      </c>
      <c r="C382" t="str">
        <f>PROPER(TRIM(Employee_dataset[[#This Row],[Last_Name]]))</f>
        <v>Garcia</v>
      </c>
      <c r="D382" s="6" t="str">
        <f>_xlfn.LET(
     _xlpm.a, TRIM(Employee_dataset[[#This Row],[Age]]),
     IF(
        _xlpm.a="","",
        IF(
           AND(ISNUMBER(--_xlpm.a),LEN(_xlpm.a)=2),_xlpm.a,""
          )
       )
    )</f>
        <v>40</v>
      </c>
      <c r="E382" t="str">
        <f>TRIM(_xlfn.TEXTBEFORE(Employee_dataset[[#This Row],[Department_Region]],"-"))</f>
        <v>Sales</v>
      </c>
      <c r="F382" t="str">
        <f>TRIM(_xlfn.TEXTAFTER(Employee_dataset[[#This Row],[Department_Region]],"-"))</f>
        <v>Nevada</v>
      </c>
      <c r="G382" t="str">
        <f>TRIM(Employee_dataset[[#This Row],[Status]])</f>
        <v>Inactive</v>
      </c>
      <c r="H382" s="1">
        <f>_xlfn.LET(
     _xlpm.d, Employee_dataset[[#This Row],[Join_Date]],
     IF(
        ISNUMBER(_xlpm.d),_xlpm.d,""
       )
    )</f>
        <v>44956</v>
      </c>
      <c r="I382" s="6">
        <f>_xlfn.LET(
     _xlpm.s, TRIM(Employee_dataset[[#This Row],[Salary]]),
     IF(
        UPPER(_xlpm.s)="N/A","",
        IF(
           ISNUMBER(--_xlpm.s),ROUND(_xlfn.NUMBERVALUE(_xlpm.s),2),""
          )
       )
    )</f>
        <v>85756.42</v>
      </c>
      <c r="J382" t="str">
        <f>TRIM(Employee_dataset[[#This Row],[Email]])</f>
        <v>charlie.garcia@example.com</v>
      </c>
      <c r="K382" t="b">
        <f>_xlfn.LET(
     _xlpm.p,TRIM(SUBSTITUTE(Employee_dataset[[#This Row],[Phone]],"-","")),
     IF(
        LEN(_xlpm.p)=10,_xlfn.CONCAT("("&amp;LEFT(_xlpm.p,3)&amp;") "&amp;MID(_xlpm.p,4,3)&amp;"-"&amp;RIGHT(_xlpm.p,4),"")
       )
     )</f>
        <v>0</v>
      </c>
      <c r="L382" t="str">
        <f>TRIM(Employee_dataset[[#This Row],[Performance_Score]])</f>
        <v>Average</v>
      </c>
      <c r="M382" t="str">
        <f>TRIM(Employee_dataset[[#This Row],[Remote_Work]])</f>
        <v>TRUE</v>
      </c>
    </row>
    <row r="383" spans="1:13" x14ac:dyDescent="0.3">
      <c r="A383" t="str">
        <f>TRIM(Employee_dataset[[#This Row],[Employee_ID]])</f>
        <v>EMP1381</v>
      </c>
      <c r="B383" t="str">
        <f>PROPER(TRIM(Employee_dataset[[#This Row],[First_Name]]))</f>
        <v>Eva</v>
      </c>
      <c r="C383" t="str">
        <f>PROPER(TRIM(Employee_dataset[[#This Row],[Last_Name]]))</f>
        <v>Miller</v>
      </c>
      <c r="D383" s="6" t="str">
        <f>_xlfn.LET(
     _xlpm.a, TRIM(Employee_dataset[[#This Row],[Age]]),
     IF(
        _xlpm.a="","",
        IF(
           AND(ISNUMBER(--_xlpm.a),LEN(_xlpm.a)=2),_xlpm.a,""
          )
       )
    )</f>
        <v/>
      </c>
      <c r="E383" t="str">
        <f>TRIM(_xlfn.TEXTBEFORE(Employee_dataset[[#This Row],[Department_Region]],"-"))</f>
        <v>HR</v>
      </c>
      <c r="F383" t="str">
        <f>TRIM(_xlfn.TEXTAFTER(Employee_dataset[[#This Row],[Department_Region]],"-"))</f>
        <v>Illinois</v>
      </c>
      <c r="G383" t="str">
        <f>TRIM(Employee_dataset[[#This Row],[Status]])</f>
        <v>Active</v>
      </c>
      <c r="H383" s="1">
        <f>_xlfn.LET(
     _xlpm.d, Employee_dataset[[#This Row],[Join_Date]],
     IF(
        ISNUMBER(_xlpm.d),_xlpm.d,""
       )
    )</f>
        <v>45387</v>
      </c>
      <c r="I383" s="6">
        <f>_xlfn.LET(
     _xlpm.s, TRIM(Employee_dataset[[#This Row],[Salary]]),
     IF(
        UPPER(_xlpm.s)="N/A","",
        IF(
           ISNUMBER(--_xlpm.s),ROUND(_xlfn.NUMBERVALUE(_xlpm.s),2),""
          )
       )
    )</f>
        <v>100328.62</v>
      </c>
      <c r="J383" t="str">
        <f>TRIM(Employee_dataset[[#This Row],[Email]])</f>
        <v>eva.miller@example.com</v>
      </c>
      <c r="K383" t="b">
        <f>_xlfn.LET(
     _xlpm.p,TRIM(SUBSTITUTE(Employee_dataset[[#This Row],[Phone]],"-","")),
     IF(
        LEN(_xlpm.p)=10,_xlfn.CONCAT("("&amp;LEFT(_xlpm.p,3)&amp;") "&amp;MID(_xlpm.p,4,3)&amp;"-"&amp;RIGHT(_xlpm.p,4),"")
       )
     )</f>
        <v>0</v>
      </c>
      <c r="L383" t="str">
        <f>TRIM(Employee_dataset[[#This Row],[Performance_Score]])</f>
        <v>Average</v>
      </c>
      <c r="M383" t="str">
        <f>TRIM(Employee_dataset[[#This Row],[Remote_Work]])</f>
        <v>TRUE</v>
      </c>
    </row>
    <row r="384" spans="1:13" x14ac:dyDescent="0.3">
      <c r="A384" t="str">
        <f>TRIM(Employee_dataset[[#This Row],[Employee_ID]])</f>
        <v>EMP1382</v>
      </c>
      <c r="B384" t="str">
        <f>PROPER(TRIM(Employee_dataset[[#This Row],[First_Name]]))</f>
        <v>Grace</v>
      </c>
      <c r="C384" t="str">
        <f>PROPER(TRIM(Employee_dataset[[#This Row],[Last_Name]]))</f>
        <v>Brown</v>
      </c>
      <c r="D384" s="6" t="str">
        <f>_xlfn.LET(
     _xlpm.a, TRIM(Employee_dataset[[#This Row],[Age]]),
     IF(
        _xlpm.a="","",
        IF(
           AND(ISNUMBER(--_xlpm.a),LEN(_xlpm.a)=2),_xlpm.a,""
          )
       )
    )</f>
        <v>25</v>
      </c>
      <c r="E384" t="str">
        <f>TRIM(_xlfn.TEXTBEFORE(Employee_dataset[[#This Row],[Department_Region]],"-"))</f>
        <v>DevOps</v>
      </c>
      <c r="F384" t="str">
        <f>TRIM(_xlfn.TEXTAFTER(Employee_dataset[[#This Row],[Department_Region]],"-"))</f>
        <v>Nevada</v>
      </c>
      <c r="G384" t="str">
        <f>TRIM(Employee_dataset[[#This Row],[Status]])</f>
        <v>Active</v>
      </c>
      <c r="H384" s="1">
        <f>_xlfn.LET(
     _xlpm.d, Employee_dataset[[#This Row],[Join_Date]],
     IF(
        ISNUMBER(_xlpm.d),_xlpm.d,""
       )
    )</f>
        <v>44440</v>
      </c>
      <c r="I384" s="6">
        <f>_xlfn.LET(
     _xlpm.s, TRIM(Employee_dataset[[#This Row],[Salary]]),
     IF(
        UPPER(_xlpm.s)="N/A","",
        IF(
           ISNUMBER(--_xlpm.s),ROUND(_xlfn.NUMBERVALUE(_xlpm.s),2),""
          )
       )
    )</f>
        <v>111236.69</v>
      </c>
      <c r="J384" t="str">
        <f>TRIM(Employee_dataset[[#This Row],[Email]])</f>
        <v>grace.brown@example.com</v>
      </c>
      <c r="K384" t="str">
        <f>_xlfn.LET(
     _xlpm.p,TRIM(SUBSTITUTE(Employee_dataset[[#This Row],[Phone]],"-","")),
     IF(
        LEN(_xlpm.p)=10,_xlfn.CONCAT("("&amp;LEFT(_xlpm.p,3)&amp;") "&amp;MID(_xlpm.p,4,3)&amp;"-"&amp;RIGHT(_xlpm.p,4),"")
       )
     )</f>
        <v>(561) 857-9063</v>
      </c>
      <c r="L384" t="str">
        <f>TRIM(Employee_dataset[[#This Row],[Performance_Score]])</f>
        <v>Excellent</v>
      </c>
      <c r="M384" t="str">
        <f>TRIM(Employee_dataset[[#This Row],[Remote_Work]])</f>
        <v>TRUE</v>
      </c>
    </row>
    <row r="385" spans="1:13" x14ac:dyDescent="0.3">
      <c r="A385" t="str">
        <f>TRIM(Employee_dataset[[#This Row],[Employee_ID]])</f>
        <v>EMP1383</v>
      </c>
      <c r="B385" t="str">
        <f>PROPER(TRIM(Employee_dataset[[#This Row],[First_Name]]))</f>
        <v>Eva</v>
      </c>
      <c r="C385" t="str">
        <f>PROPER(TRIM(Employee_dataset[[#This Row],[Last_Name]]))</f>
        <v>Jones</v>
      </c>
      <c r="D385" s="6" t="str">
        <f>_xlfn.LET(
     _xlpm.a, TRIM(Employee_dataset[[#This Row],[Age]]),
     IF(
        _xlpm.a="","",
        IF(
           AND(ISNUMBER(--_xlpm.a),LEN(_xlpm.a)=2),_xlpm.a,""
          )
       )
    )</f>
        <v>35</v>
      </c>
      <c r="E385" t="str">
        <f>TRIM(_xlfn.TEXTBEFORE(Employee_dataset[[#This Row],[Department_Region]],"-"))</f>
        <v>Cloud Tech</v>
      </c>
      <c r="F385" t="str">
        <f>TRIM(_xlfn.TEXTAFTER(Employee_dataset[[#This Row],[Department_Region]],"-"))</f>
        <v>Florida</v>
      </c>
      <c r="G385" t="str">
        <f>TRIM(Employee_dataset[[#This Row],[Status]])</f>
        <v>Active</v>
      </c>
      <c r="H385" s="1">
        <f>_xlfn.LET(
     _xlpm.d, Employee_dataset[[#This Row],[Join_Date]],
     IF(
        ISNUMBER(_xlpm.d),_xlpm.d,""
       )
    )</f>
        <v>45419</v>
      </c>
      <c r="I385" s="6">
        <f>_xlfn.LET(
     _xlpm.s, TRIM(Employee_dataset[[#This Row],[Salary]]),
     IF(
        UPPER(_xlpm.s)="N/A","",
        IF(
           ISNUMBER(--_xlpm.s),ROUND(_xlfn.NUMBERVALUE(_xlpm.s),2),""
          )
       )
    )</f>
        <v>106832.22</v>
      </c>
      <c r="J385" t="str">
        <f>TRIM(Employee_dataset[[#This Row],[Email]])</f>
        <v>eva.jones@example.com</v>
      </c>
      <c r="K385" t="str">
        <f>_xlfn.LET(
     _xlpm.p,TRIM(SUBSTITUTE(Employee_dataset[[#This Row],[Phone]],"-","")),
     IF(
        LEN(_xlpm.p)=10,_xlfn.CONCAT("("&amp;LEFT(_xlpm.p,3)&amp;") "&amp;MID(_xlpm.p,4,3)&amp;"-"&amp;RIGHT(_xlpm.p,4),"")
       )
     )</f>
        <v>(771) 591-0299</v>
      </c>
      <c r="L385" t="str">
        <f>TRIM(Employee_dataset[[#This Row],[Performance_Score]])</f>
        <v>Good</v>
      </c>
      <c r="M385" t="str">
        <f>TRIM(Employee_dataset[[#This Row],[Remote_Work]])</f>
        <v>TRUE</v>
      </c>
    </row>
    <row r="386" spans="1:13" x14ac:dyDescent="0.3">
      <c r="A386" t="str">
        <f>TRIM(Employee_dataset[[#This Row],[Employee_ID]])</f>
        <v>EMP1384</v>
      </c>
      <c r="B386" t="str">
        <f>PROPER(TRIM(Employee_dataset[[#This Row],[First_Name]]))</f>
        <v>Frank</v>
      </c>
      <c r="C386" t="str">
        <f>PROPER(TRIM(Employee_dataset[[#This Row],[Last_Name]]))</f>
        <v>Jones</v>
      </c>
      <c r="D386" s="6" t="str">
        <f>_xlfn.LET(
     _xlpm.a, TRIM(Employee_dataset[[#This Row],[Age]]),
     IF(
        _xlpm.a="","",
        IF(
           AND(ISNUMBER(--_xlpm.a),LEN(_xlpm.a)=2),_xlpm.a,""
          )
       )
    )</f>
        <v/>
      </c>
      <c r="E386" t="str">
        <f>TRIM(_xlfn.TEXTBEFORE(Employee_dataset[[#This Row],[Department_Region]],"-"))</f>
        <v>DevOps</v>
      </c>
      <c r="F386" t="str">
        <f>TRIM(_xlfn.TEXTAFTER(Employee_dataset[[#This Row],[Department_Region]],"-"))</f>
        <v>Florida</v>
      </c>
      <c r="G386" t="str">
        <f>TRIM(Employee_dataset[[#This Row],[Status]])</f>
        <v>Active</v>
      </c>
      <c r="H386" s="1">
        <f>_xlfn.LET(
     _xlpm.d, Employee_dataset[[#This Row],[Join_Date]],
     IF(
        ISNUMBER(_xlpm.d),_xlpm.d,""
       )
    )</f>
        <v>45092</v>
      </c>
      <c r="I386" s="6">
        <f>_xlfn.LET(
     _xlpm.s, TRIM(Employee_dataset[[#This Row],[Salary]]),
     IF(
        UPPER(_xlpm.s)="N/A","",
        IF(
           ISNUMBER(--_xlpm.s),ROUND(_xlfn.NUMBERVALUE(_xlpm.s),2),""
          )
       )
    )</f>
        <v>59746.45</v>
      </c>
      <c r="J386" t="str">
        <f>TRIM(Employee_dataset[[#This Row],[Email]])</f>
        <v>frank.jones@example.com</v>
      </c>
      <c r="K386" t="str">
        <f>_xlfn.LET(
     _xlpm.p,TRIM(SUBSTITUTE(Employee_dataset[[#This Row],[Phone]],"-","")),
     IF(
        LEN(_xlpm.p)=10,_xlfn.CONCAT("("&amp;LEFT(_xlpm.p,3)&amp;") "&amp;MID(_xlpm.p,4,3)&amp;"-"&amp;RIGHT(_xlpm.p,4),"")
       )
     )</f>
        <v>(215) 632-1357</v>
      </c>
      <c r="L386" t="str">
        <f>TRIM(Employee_dataset[[#This Row],[Performance_Score]])</f>
        <v>Good</v>
      </c>
      <c r="M386" t="str">
        <f>TRIM(Employee_dataset[[#This Row],[Remote_Work]])</f>
        <v>TRUE</v>
      </c>
    </row>
    <row r="387" spans="1:13" x14ac:dyDescent="0.3">
      <c r="A387" t="str">
        <f>TRIM(Employee_dataset[[#This Row],[Employee_ID]])</f>
        <v>EMP1385</v>
      </c>
      <c r="B387" t="str">
        <f>PROPER(TRIM(Employee_dataset[[#This Row],[First_Name]]))</f>
        <v>David</v>
      </c>
      <c r="C387" t="str">
        <f>PROPER(TRIM(Employee_dataset[[#This Row],[Last_Name]]))</f>
        <v>Garcia</v>
      </c>
      <c r="D387" s="6" t="str">
        <f>_xlfn.LET(
     _xlpm.a, TRIM(Employee_dataset[[#This Row],[Age]]),
     IF(
        _xlpm.a="","",
        IF(
           AND(ISNUMBER(--_xlpm.a),LEN(_xlpm.a)=2),_xlpm.a,""
          )
       )
    )</f>
        <v>25</v>
      </c>
      <c r="E387" t="str">
        <f>TRIM(_xlfn.TEXTBEFORE(Employee_dataset[[#This Row],[Department_Region]],"-"))</f>
        <v>Sales</v>
      </c>
      <c r="F387" t="str">
        <f>TRIM(_xlfn.TEXTAFTER(Employee_dataset[[#This Row],[Department_Region]],"-"))</f>
        <v>California</v>
      </c>
      <c r="G387" t="str">
        <f>TRIM(Employee_dataset[[#This Row],[Status]])</f>
        <v>Pending</v>
      </c>
      <c r="H387" s="1">
        <f>_xlfn.LET(
     _xlpm.d, Employee_dataset[[#This Row],[Join_Date]],
     IF(
        ISNUMBER(_xlpm.d),_xlpm.d,""
       )
    )</f>
        <v>44406</v>
      </c>
      <c r="I387" s="6">
        <f>_xlfn.LET(
     _xlpm.s, TRIM(Employee_dataset[[#This Row],[Salary]]),
     IF(
        UPPER(_xlpm.s)="N/A","",
        IF(
           ISNUMBER(--_xlpm.s),ROUND(_xlfn.NUMBERVALUE(_xlpm.s),2),""
          )
       )
    )</f>
        <v>91780.04</v>
      </c>
      <c r="J387" t="str">
        <f>TRIM(Employee_dataset[[#This Row],[Email]])</f>
        <v>david.garcia@example.com</v>
      </c>
      <c r="K387" t="b">
        <f>_xlfn.LET(
     _xlpm.p,TRIM(SUBSTITUTE(Employee_dataset[[#This Row],[Phone]],"-","")),
     IF(
        LEN(_xlpm.p)=10,_xlfn.CONCAT("("&amp;LEFT(_xlpm.p,3)&amp;") "&amp;MID(_xlpm.p,4,3)&amp;"-"&amp;RIGHT(_xlpm.p,4),"")
       )
     )</f>
        <v>0</v>
      </c>
      <c r="L387" t="str">
        <f>TRIM(Employee_dataset[[#This Row],[Performance_Score]])</f>
        <v>Poor</v>
      </c>
      <c r="M387" t="str">
        <f>TRIM(Employee_dataset[[#This Row],[Remote_Work]])</f>
        <v>TRUE</v>
      </c>
    </row>
    <row r="388" spans="1:13" x14ac:dyDescent="0.3">
      <c r="A388" t="str">
        <f>TRIM(Employee_dataset[[#This Row],[Employee_ID]])</f>
        <v>EMP1386</v>
      </c>
      <c r="B388" t="str">
        <f>PROPER(TRIM(Employee_dataset[[#This Row],[First_Name]]))</f>
        <v>Eva</v>
      </c>
      <c r="C388" t="str">
        <f>PROPER(TRIM(Employee_dataset[[#This Row],[Last_Name]]))</f>
        <v>Williams</v>
      </c>
      <c r="D388" s="6" t="str">
        <f>_xlfn.LET(
     _xlpm.a, TRIM(Employee_dataset[[#This Row],[Age]]),
     IF(
        _xlpm.a="","",
        IF(
           AND(ISNUMBER(--_xlpm.a),LEN(_xlpm.a)=2),_xlpm.a,""
          )
       )
    )</f>
        <v>35</v>
      </c>
      <c r="E388" t="str">
        <f>TRIM(_xlfn.TEXTBEFORE(Employee_dataset[[#This Row],[Department_Region]],"-"))</f>
        <v>Sales</v>
      </c>
      <c r="F388" t="str">
        <f>TRIM(_xlfn.TEXTAFTER(Employee_dataset[[#This Row],[Department_Region]],"-"))</f>
        <v>California</v>
      </c>
      <c r="G388" t="str">
        <f>TRIM(Employee_dataset[[#This Row],[Status]])</f>
        <v>Pending</v>
      </c>
      <c r="H388" s="1">
        <f>_xlfn.LET(
     _xlpm.d, Employee_dataset[[#This Row],[Join_Date]],
     IF(
        ISNUMBER(_xlpm.d),_xlpm.d,""
       )
    )</f>
        <v>45222</v>
      </c>
      <c r="I388" s="6">
        <f>_xlfn.LET(
     _xlpm.s, TRIM(Employee_dataset[[#This Row],[Salary]]),
     IF(
        UPPER(_xlpm.s)="N/A","",
        IF(
           ISNUMBER(--_xlpm.s),ROUND(_xlfn.NUMBERVALUE(_xlpm.s),2),""
          )
       )
    )</f>
        <v>107062.66</v>
      </c>
      <c r="J388" t="str">
        <f>TRIM(Employee_dataset[[#This Row],[Email]])</f>
        <v>eva.williams@example.com</v>
      </c>
      <c r="K388" t="str">
        <f>_xlfn.LET(
     _xlpm.p,TRIM(SUBSTITUTE(Employee_dataset[[#This Row],[Phone]],"-","")),
     IF(
        LEN(_xlpm.p)=10,_xlfn.CONCAT("("&amp;LEFT(_xlpm.p,3)&amp;") "&amp;MID(_xlpm.p,4,3)&amp;"-"&amp;RIGHT(_xlpm.p,4),"")
       )
     )</f>
        <v>(964) 229-7124</v>
      </c>
      <c r="L388" t="str">
        <f>TRIM(Employee_dataset[[#This Row],[Performance_Score]])</f>
        <v>Good</v>
      </c>
      <c r="M388" t="str">
        <f>TRIM(Employee_dataset[[#This Row],[Remote_Work]])</f>
        <v>TRUE</v>
      </c>
    </row>
    <row r="389" spans="1:13" x14ac:dyDescent="0.3">
      <c r="A389" t="str">
        <f>TRIM(Employee_dataset[[#This Row],[Employee_ID]])</f>
        <v>EMP1387</v>
      </c>
      <c r="B389" t="str">
        <f>PROPER(TRIM(Employee_dataset[[#This Row],[First_Name]]))</f>
        <v>Grace</v>
      </c>
      <c r="C389" t="str">
        <f>PROPER(TRIM(Employee_dataset[[#This Row],[Last_Name]]))</f>
        <v>Davis</v>
      </c>
      <c r="D389" s="6" t="str">
        <f>_xlfn.LET(
     _xlpm.a, TRIM(Employee_dataset[[#This Row],[Age]]),
     IF(
        _xlpm.a="","",
        IF(
           AND(ISNUMBER(--_xlpm.a),LEN(_xlpm.a)=2),_xlpm.a,""
          )
       )
    )</f>
        <v>25</v>
      </c>
      <c r="E389" t="str">
        <f>TRIM(_xlfn.TEXTBEFORE(Employee_dataset[[#This Row],[Department_Region]],"-"))</f>
        <v>HR</v>
      </c>
      <c r="F389" t="str">
        <f>TRIM(_xlfn.TEXTAFTER(Employee_dataset[[#This Row],[Department_Region]],"-"))</f>
        <v>Nevada</v>
      </c>
      <c r="G389" t="str">
        <f>TRIM(Employee_dataset[[#This Row],[Status]])</f>
        <v>Active</v>
      </c>
      <c r="H389" s="1">
        <f>_xlfn.LET(
     _xlpm.d, Employee_dataset[[#This Row],[Join_Date]],
     IF(
        ISNUMBER(_xlpm.d),_xlpm.d,""
       )
    )</f>
        <v>45267</v>
      </c>
      <c r="I389" s="6">
        <f>_xlfn.LET(
     _xlpm.s, TRIM(Employee_dataset[[#This Row],[Salary]]),
     IF(
        UPPER(_xlpm.s)="N/A","",
        IF(
           ISNUMBER(--_xlpm.s),ROUND(_xlfn.NUMBERVALUE(_xlpm.s),2),""
          )
       )
    )</f>
        <v>110625.52</v>
      </c>
      <c r="J389" t="str">
        <f>TRIM(Employee_dataset[[#This Row],[Email]])</f>
        <v>grace.davis@example.com</v>
      </c>
      <c r="K389" t="str">
        <f>_xlfn.LET(
     _xlpm.p,TRIM(SUBSTITUTE(Employee_dataset[[#This Row],[Phone]],"-","")),
     IF(
        LEN(_xlpm.p)=10,_xlfn.CONCAT("("&amp;LEFT(_xlpm.p,3)&amp;") "&amp;MID(_xlpm.p,4,3)&amp;"-"&amp;RIGHT(_xlpm.p,4),"")
       )
     )</f>
        <v>(296) 718-8396</v>
      </c>
      <c r="L389" t="str">
        <f>TRIM(Employee_dataset[[#This Row],[Performance_Score]])</f>
        <v>Excellent</v>
      </c>
      <c r="M389" t="str">
        <f>TRIM(Employee_dataset[[#This Row],[Remote_Work]])</f>
        <v>TRUE</v>
      </c>
    </row>
    <row r="390" spans="1:13" x14ac:dyDescent="0.3">
      <c r="A390" t="str">
        <f>TRIM(Employee_dataset[[#This Row],[Employee_ID]])</f>
        <v>EMP1388</v>
      </c>
      <c r="B390" t="str">
        <f>PROPER(TRIM(Employee_dataset[[#This Row],[First_Name]]))</f>
        <v>Frank</v>
      </c>
      <c r="C390" t="str">
        <f>PROPER(TRIM(Employee_dataset[[#This Row],[Last_Name]]))</f>
        <v>Smith</v>
      </c>
      <c r="D390" s="6" t="str">
        <f>_xlfn.LET(
     _xlpm.a, TRIM(Employee_dataset[[#This Row],[Age]]),
     IF(
        _xlpm.a="","",
        IF(
           AND(ISNUMBER(--_xlpm.a),LEN(_xlpm.a)=2),_xlpm.a,""
          )
       )
    )</f>
        <v>30</v>
      </c>
      <c r="E390" t="str">
        <f>TRIM(_xlfn.TEXTBEFORE(Employee_dataset[[#This Row],[Department_Region]],"-"))</f>
        <v>DevOps</v>
      </c>
      <c r="F390" t="str">
        <f>TRIM(_xlfn.TEXTAFTER(Employee_dataset[[#This Row],[Department_Region]],"-"))</f>
        <v>Florida</v>
      </c>
      <c r="G390" t="str">
        <f>TRIM(Employee_dataset[[#This Row],[Status]])</f>
        <v>Inactive</v>
      </c>
      <c r="H390" s="1">
        <f>_xlfn.LET(
     _xlpm.d, Employee_dataset[[#This Row],[Join_Date]],
     IF(
        ISNUMBER(_xlpm.d),_xlpm.d,""
       )
    )</f>
        <v>44122</v>
      </c>
      <c r="I390" s="6">
        <f>_xlfn.LET(
     _xlpm.s, TRIM(Employee_dataset[[#This Row],[Salary]]),
     IF(
        UPPER(_xlpm.s)="N/A","",
        IF(
           ISNUMBER(--_xlpm.s),ROUND(_xlfn.NUMBERVALUE(_xlpm.s),2),""
          )
       )
    )</f>
        <v>90419.79</v>
      </c>
      <c r="J390" t="str">
        <f>TRIM(Employee_dataset[[#This Row],[Email]])</f>
        <v>frank.smith@example.com</v>
      </c>
      <c r="K390" t="str">
        <f>_xlfn.LET(
     _xlpm.p,TRIM(SUBSTITUTE(Employee_dataset[[#This Row],[Phone]],"-","")),
     IF(
        LEN(_xlpm.p)=10,_xlfn.CONCAT("("&amp;LEFT(_xlpm.p,3)&amp;") "&amp;MID(_xlpm.p,4,3)&amp;"-"&amp;RIGHT(_xlpm.p,4),"")
       )
     )</f>
        <v>(745) 731-4414</v>
      </c>
      <c r="L390" t="str">
        <f>TRIM(Employee_dataset[[#This Row],[Performance_Score]])</f>
        <v>Average</v>
      </c>
      <c r="M390" t="str">
        <f>TRIM(Employee_dataset[[#This Row],[Remote_Work]])</f>
        <v>TRUE</v>
      </c>
    </row>
    <row r="391" spans="1:13" x14ac:dyDescent="0.3">
      <c r="A391" t="str">
        <f>TRIM(Employee_dataset[[#This Row],[Employee_ID]])</f>
        <v>EMP1389</v>
      </c>
      <c r="B391" t="str">
        <f>PROPER(TRIM(Employee_dataset[[#This Row],[First_Name]]))</f>
        <v>Grace</v>
      </c>
      <c r="C391" t="str">
        <f>PROPER(TRIM(Employee_dataset[[#This Row],[Last_Name]]))</f>
        <v>Smith</v>
      </c>
      <c r="D391" s="6" t="str">
        <f>_xlfn.LET(
     _xlpm.a, TRIM(Employee_dataset[[#This Row],[Age]]),
     IF(
        _xlpm.a="","",
        IF(
           AND(ISNUMBER(--_xlpm.a),LEN(_xlpm.a)=2),_xlpm.a,""
          )
       )
    )</f>
        <v>40</v>
      </c>
      <c r="E391" t="str">
        <f>TRIM(_xlfn.TEXTBEFORE(Employee_dataset[[#This Row],[Department_Region]],"-"))</f>
        <v>Finance</v>
      </c>
      <c r="F391" t="str">
        <f>TRIM(_xlfn.TEXTAFTER(Employee_dataset[[#This Row],[Department_Region]],"-"))</f>
        <v>Texas</v>
      </c>
      <c r="G391" t="str">
        <f>TRIM(Employee_dataset[[#This Row],[Status]])</f>
        <v>Pending</v>
      </c>
      <c r="H391" s="1">
        <f>_xlfn.LET(
     _xlpm.d, Employee_dataset[[#This Row],[Join_Date]],
     IF(
        ISNUMBER(_xlpm.d),_xlpm.d,""
       )
    )</f>
        <v>45458</v>
      </c>
      <c r="I391" s="6">
        <f>_xlfn.LET(
     _xlpm.s, TRIM(Employee_dataset[[#This Row],[Salary]]),
     IF(
        UPPER(_xlpm.s)="N/A","",
        IF(
           ISNUMBER(--_xlpm.s),ROUND(_xlfn.NUMBERVALUE(_xlpm.s),2),""
          )
       )
    )</f>
        <v>111608.76</v>
      </c>
      <c r="J391" t="str">
        <f>TRIM(Employee_dataset[[#This Row],[Email]])</f>
        <v>grace.smith@example.com</v>
      </c>
      <c r="K391" t="str">
        <f>_xlfn.LET(
     _xlpm.p,TRIM(SUBSTITUTE(Employee_dataset[[#This Row],[Phone]],"-","")),
     IF(
        LEN(_xlpm.p)=10,_xlfn.CONCAT("("&amp;LEFT(_xlpm.p,3)&amp;") "&amp;MID(_xlpm.p,4,3)&amp;"-"&amp;RIGHT(_xlpm.p,4),"")
       )
     )</f>
        <v>(833) 117-0302</v>
      </c>
      <c r="L391" t="str">
        <f>TRIM(Employee_dataset[[#This Row],[Performance_Score]])</f>
        <v>Good</v>
      </c>
      <c r="M391" t="str">
        <f>TRIM(Employee_dataset[[#This Row],[Remote_Work]])</f>
        <v>TRUE</v>
      </c>
    </row>
    <row r="392" spans="1:13" x14ac:dyDescent="0.3">
      <c r="A392" t="str">
        <f>TRIM(Employee_dataset[[#This Row],[Employee_ID]])</f>
        <v>EMP1390</v>
      </c>
      <c r="B392" t="str">
        <f>PROPER(TRIM(Employee_dataset[[#This Row],[First_Name]]))</f>
        <v>Eva</v>
      </c>
      <c r="C392" t="str">
        <f>PROPER(TRIM(Employee_dataset[[#This Row],[Last_Name]]))</f>
        <v>Williams</v>
      </c>
      <c r="D392" s="6" t="str">
        <f>_xlfn.LET(
     _xlpm.a, TRIM(Employee_dataset[[#This Row],[Age]]),
     IF(
        _xlpm.a="","",
        IF(
           AND(ISNUMBER(--_xlpm.a),LEN(_xlpm.a)=2),_xlpm.a,""
          )
       )
    )</f>
        <v>35</v>
      </c>
      <c r="E392" t="str">
        <f>TRIM(_xlfn.TEXTBEFORE(Employee_dataset[[#This Row],[Department_Region]],"-"))</f>
        <v>Finance</v>
      </c>
      <c r="F392" t="str">
        <f>TRIM(_xlfn.TEXTAFTER(Employee_dataset[[#This Row],[Department_Region]],"-"))</f>
        <v>Florida</v>
      </c>
      <c r="G392" t="str">
        <f>TRIM(Employee_dataset[[#This Row],[Status]])</f>
        <v>Inactive</v>
      </c>
      <c r="H392" s="1">
        <f>_xlfn.LET(
     _xlpm.d, Employee_dataset[[#This Row],[Join_Date]],
     IF(
        ISNUMBER(_xlpm.d),_xlpm.d,""
       )
    )</f>
        <v>45022</v>
      </c>
      <c r="I392" s="6">
        <f>_xlfn.LET(
     _xlpm.s, TRIM(Employee_dataset[[#This Row],[Salary]]),
     IF(
        UPPER(_xlpm.s)="N/A","",
        IF(
           ISNUMBER(--_xlpm.s),ROUND(_xlfn.NUMBERVALUE(_xlpm.s),2),""
          )
       )
    )</f>
        <v>50173.120000000003</v>
      </c>
      <c r="J392" t="str">
        <f>TRIM(Employee_dataset[[#This Row],[Email]])</f>
        <v>eva.williams@example.com</v>
      </c>
      <c r="K392" t="str">
        <f>_xlfn.LET(
     _xlpm.p,TRIM(SUBSTITUTE(Employee_dataset[[#This Row],[Phone]],"-","")),
     IF(
        LEN(_xlpm.p)=10,_xlfn.CONCAT("("&amp;LEFT(_xlpm.p,3)&amp;") "&amp;MID(_xlpm.p,4,3)&amp;"-"&amp;RIGHT(_xlpm.p,4),"")
       )
     )</f>
        <v>(763) 715-3987</v>
      </c>
      <c r="L392" t="str">
        <f>TRIM(Employee_dataset[[#This Row],[Performance_Score]])</f>
        <v>Poor</v>
      </c>
      <c r="M392" t="str">
        <f>TRIM(Employee_dataset[[#This Row],[Remote_Work]])</f>
        <v>FALSE</v>
      </c>
    </row>
    <row r="393" spans="1:13" x14ac:dyDescent="0.3">
      <c r="A393" t="str">
        <f>TRIM(Employee_dataset[[#This Row],[Employee_ID]])</f>
        <v>EMP1391</v>
      </c>
      <c r="B393" t="str">
        <f>PROPER(TRIM(Employee_dataset[[#This Row],[First_Name]]))</f>
        <v>Bob</v>
      </c>
      <c r="C393" t="str">
        <f>PROPER(TRIM(Employee_dataset[[#This Row],[Last_Name]]))</f>
        <v>Williams</v>
      </c>
      <c r="D393" s="6" t="str">
        <f>_xlfn.LET(
     _xlpm.a, TRIM(Employee_dataset[[#This Row],[Age]]),
     IF(
        _xlpm.a="","",
        IF(
           AND(ISNUMBER(--_xlpm.a),LEN(_xlpm.a)=2),_xlpm.a,""
          )
       )
    )</f>
        <v>40</v>
      </c>
      <c r="E393" t="str">
        <f>TRIM(_xlfn.TEXTBEFORE(Employee_dataset[[#This Row],[Department_Region]],"-"))</f>
        <v>DevOps</v>
      </c>
      <c r="F393" t="str">
        <f>TRIM(_xlfn.TEXTAFTER(Employee_dataset[[#This Row],[Department_Region]],"-"))</f>
        <v>Nevada</v>
      </c>
      <c r="G393" t="str">
        <f>TRIM(Employee_dataset[[#This Row],[Status]])</f>
        <v>Pending</v>
      </c>
      <c r="H393" s="1">
        <f>_xlfn.LET(
     _xlpm.d, Employee_dataset[[#This Row],[Join_Date]],
     IF(
        ISNUMBER(_xlpm.d),_xlpm.d,""
       )
    )</f>
        <v>44564</v>
      </c>
      <c r="I393" s="6">
        <f>_xlfn.LET(
     _xlpm.s, TRIM(Employee_dataset[[#This Row],[Salary]]),
     IF(
        UPPER(_xlpm.s)="N/A","",
        IF(
           ISNUMBER(--_xlpm.s),ROUND(_xlfn.NUMBERVALUE(_xlpm.s),2),""
          )
       )
    )</f>
        <v>109507.44</v>
      </c>
      <c r="J393" t="str">
        <f>TRIM(Employee_dataset[[#This Row],[Email]])</f>
        <v>bob.williams@example.com</v>
      </c>
      <c r="K393" t="str">
        <f>_xlfn.LET(
     _xlpm.p,TRIM(SUBSTITUTE(Employee_dataset[[#This Row],[Phone]],"-","")),
     IF(
        LEN(_xlpm.p)=10,_xlfn.CONCAT("("&amp;LEFT(_xlpm.p,3)&amp;") "&amp;MID(_xlpm.p,4,3)&amp;"-"&amp;RIGHT(_xlpm.p,4),"")
       )
     )</f>
        <v>(547) 281-2355</v>
      </c>
      <c r="L393" t="str">
        <f>TRIM(Employee_dataset[[#This Row],[Performance_Score]])</f>
        <v>Good</v>
      </c>
      <c r="M393" t="str">
        <f>TRIM(Employee_dataset[[#This Row],[Remote_Work]])</f>
        <v>FALSE</v>
      </c>
    </row>
    <row r="394" spans="1:13" x14ac:dyDescent="0.3">
      <c r="A394" t="str">
        <f>TRIM(Employee_dataset[[#This Row],[Employee_ID]])</f>
        <v>EMP1392</v>
      </c>
      <c r="B394" t="str">
        <f>PROPER(TRIM(Employee_dataset[[#This Row],[First_Name]]))</f>
        <v>Grace</v>
      </c>
      <c r="C394" t="str">
        <f>PROPER(TRIM(Employee_dataset[[#This Row],[Last_Name]]))</f>
        <v>Garcia</v>
      </c>
      <c r="D394" s="6" t="str">
        <f>_xlfn.LET(
     _xlpm.a, TRIM(Employee_dataset[[#This Row],[Age]]),
     IF(
        _xlpm.a="","",
        IF(
           AND(ISNUMBER(--_xlpm.a),LEN(_xlpm.a)=2),_xlpm.a,""
          )
       )
    )</f>
        <v>30</v>
      </c>
      <c r="E394" t="str">
        <f>TRIM(_xlfn.TEXTBEFORE(Employee_dataset[[#This Row],[Department_Region]],"-"))</f>
        <v>Finance</v>
      </c>
      <c r="F394" t="str">
        <f>TRIM(_xlfn.TEXTAFTER(Employee_dataset[[#This Row],[Department_Region]],"-"))</f>
        <v>New York</v>
      </c>
      <c r="G394" t="str">
        <f>TRIM(Employee_dataset[[#This Row],[Status]])</f>
        <v>Inactive</v>
      </c>
      <c r="H394" s="1">
        <f>_xlfn.LET(
     _xlpm.d, Employee_dataset[[#This Row],[Join_Date]],
     IF(
        ISNUMBER(_xlpm.d),_xlpm.d,""
       )
    )</f>
        <v>44380</v>
      </c>
      <c r="I394" s="6">
        <f>_xlfn.LET(
     _xlpm.s, TRIM(Employee_dataset[[#This Row],[Salary]]),
     IF(
        UPPER(_xlpm.s)="N/A","",
        IF(
           ISNUMBER(--_xlpm.s),ROUND(_xlfn.NUMBERVALUE(_xlpm.s),2),""
          )
       )
    )</f>
        <v>72600.56</v>
      </c>
      <c r="J394" t="str">
        <f>TRIM(Employee_dataset[[#This Row],[Email]])</f>
        <v>grace.garcia@example.com</v>
      </c>
      <c r="K394" t="str">
        <f>_xlfn.LET(
     _xlpm.p,TRIM(SUBSTITUTE(Employee_dataset[[#This Row],[Phone]],"-","")),
     IF(
        LEN(_xlpm.p)=10,_xlfn.CONCAT("("&amp;LEFT(_xlpm.p,3)&amp;") "&amp;MID(_xlpm.p,4,3)&amp;"-"&amp;RIGHT(_xlpm.p,4),"")
       )
     )</f>
        <v>(798) 363-1461</v>
      </c>
      <c r="L394" t="str">
        <f>TRIM(Employee_dataset[[#This Row],[Performance_Score]])</f>
        <v>Excellent</v>
      </c>
      <c r="M394" t="str">
        <f>TRIM(Employee_dataset[[#This Row],[Remote_Work]])</f>
        <v>FALSE</v>
      </c>
    </row>
    <row r="395" spans="1:13" x14ac:dyDescent="0.3">
      <c r="A395" t="str">
        <f>TRIM(Employee_dataset[[#This Row],[Employee_ID]])</f>
        <v>EMP1393</v>
      </c>
      <c r="B395" t="str">
        <f>PROPER(TRIM(Employee_dataset[[#This Row],[First_Name]]))</f>
        <v>Charlie</v>
      </c>
      <c r="C395" t="str">
        <f>PROPER(TRIM(Employee_dataset[[#This Row],[Last_Name]]))</f>
        <v>Garcia</v>
      </c>
      <c r="D395" s="6" t="str">
        <f>_xlfn.LET(
     _xlpm.a, TRIM(Employee_dataset[[#This Row],[Age]]),
     IF(
        _xlpm.a="","",
        IF(
           AND(ISNUMBER(--_xlpm.a),LEN(_xlpm.a)=2),_xlpm.a,""
          )
       )
    )</f>
        <v/>
      </c>
      <c r="E395" t="str">
        <f>TRIM(_xlfn.TEXTBEFORE(Employee_dataset[[#This Row],[Department_Region]],"-"))</f>
        <v>Finance</v>
      </c>
      <c r="F395" t="str">
        <f>TRIM(_xlfn.TEXTAFTER(Employee_dataset[[#This Row],[Department_Region]],"-"))</f>
        <v>California</v>
      </c>
      <c r="G395" t="str">
        <f>TRIM(Employee_dataset[[#This Row],[Status]])</f>
        <v>Pending</v>
      </c>
      <c r="H395" s="1">
        <f>_xlfn.LET(
     _xlpm.d, Employee_dataset[[#This Row],[Join_Date]],
     IF(
        ISNUMBER(_xlpm.d),_xlpm.d,""
       )
    )</f>
        <v>45392</v>
      </c>
      <c r="I395" s="6">
        <f>_xlfn.LET(
     _xlpm.s, TRIM(Employee_dataset[[#This Row],[Salary]]),
     IF(
        UPPER(_xlpm.s)="N/A","",
        IF(
           ISNUMBER(--_xlpm.s),ROUND(_xlfn.NUMBERVALUE(_xlpm.s),2),""
          )
       )
    )</f>
        <v>53388.65</v>
      </c>
      <c r="J395" t="str">
        <f>TRIM(Employee_dataset[[#This Row],[Email]])</f>
        <v>charlie.garcia@example.com</v>
      </c>
      <c r="K395" t="str">
        <f>_xlfn.LET(
     _xlpm.p,TRIM(SUBSTITUTE(Employee_dataset[[#This Row],[Phone]],"-","")),
     IF(
        LEN(_xlpm.p)=10,_xlfn.CONCAT("("&amp;LEFT(_xlpm.p,3)&amp;") "&amp;MID(_xlpm.p,4,3)&amp;"-"&amp;RIGHT(_xlpm.p,4),"")
       )
     )</f>
        <v>(491) 271-1306</v>
      </c>
      <c r="L395" t="str">
        <f>TRIM(Employee_dataset[[#This Row],[Performance_Score]])</f>
        <v>Poor</v>
      </c>
      <c r="M395" t="str">
        <f>TRIM(Employee_dataset[[#This Row],[Remote_Work]])</f>
        <v>TRUE</v>
      </c>
    </row>
    <row r="396" spans="1:13" x14ac:dyDescent="0.3">
      <c r="A396" t="str">
        <f>TRIM(Employee_dataset[[#This Row],[Employee_ID]])</f>
        <v>EMP1394</v>
      </c>
      <c r="B396" t="str">
        <f>PROPER(TRIM(Employee_dataset[[#This Row],[First_Name]]))</f>
        <v>Heidi</v>
      </c>
      <c r="C396" t="str">
        <f>PROPER(TRIM(Employee_dataset[[#This Row],[Last_Name]]))</f>
        <v>Williams</v>
      </c>
      <c r="D396" s="6" t="str">
        <f>_xlfn.LET(
     _xlpm.a, TRIM(Employee_dataset[[#This Row],[Age]]),
     IF(
        _xlpm.a="","",
        IF(
           AND(ISNUMBER(--_xlpm.a),LEN(_xlpm.a)=2),_xlpm.a,""
          )
       )
    )</f>
        <v>25</v>
      </c>
      <c r="E396" t="str">
        <f>TRIM(_xlfn.TEXTBEFORE(Employee_dataset[[#This Row],[Department_Region]],"-"))</f>
        <v>Cloud Tech</v>
      </c>
      <c r="F396" t="str">
        <f>TRIM(_xlfn.TEXTAFTER(Employee_dataset[[#This Row],[Department_Region]],"-"))</f>
        <v>New York</v>
      </c>
      <c r="G396" t="str">
        <f>TRIM(Employee_dataset[[#This Row],[Status]])</f>
        <v>Inactive</v>
      </c>
      <c r="H396" s="1">
        <f>_xlfn.LET(
     _xlpm.d, Employee_dataset[[#This Row],[Join_Date]],
     IF(
        ISNUMBER(_xlpm.d),_xlpm.d,""
       )
    )</f>
        <v>44765</v>
      </c>
      <c r="I396" s="6">
        <f>_xlfn.LET(
     _xlpm.s, TRIM(Employee_dataset[[#This Row],[Salary]]),
     IF(
        UPPER(_xlpm.s)="N/A","",
        IF(
           ISNUMBER(--_xlpm.s),ROUND(_xlfn.NUMBERVALUE(_xlpm.s),2),""
          )
       )
    )</f>
        <v>50047.32</v>
      </c>
      <c r="J396" t="str">
        <f>TRIM(Employee_dataset[[#This Row],[Email]])</f>
        <v>heidi.williams@example.com</v>
      </c>
      <c r="K396" t="str">
        <f>_xlfn.LET(
     _xlpm.p,TRIM(SUBSTITUTE(Employee_dataset[[#This Row],[Phone]],"-","")),
     IF(
        LEN(_xlpm.p)=10,_xlfn.CONCAT("("&amp;LEFT(_xlpm.p,3)&amp;") "&amp;MID(_xlpm.p,4,3)&amp;"-"&amp;RIGHT(_xlpm.p,4),"")
       )
     )</f>
        <v>(240) 787-5417</v>
      </c>
      <c r="L396" t="str">
        <f>TRIM(Employee_dataset[[#This Row],[Performance_Score]])</f>
        <v>Good</v>
      </c>
      <c r="M396" t="str">
        <f>TRIM(Employee_dataset[[#This Row],[Remote_Work]])</f>
        <v>FALSE</v>
      </c>
    </row>
    <row r="397" spans="1:13" x14ac:dyDescent="0.3">
      <c r="A397" t="str">
        <f>TRIM(Employee_dataset[[#This Row],[Employee_ID]])</f>
        <v>EMP1395</v>
      </c>
      <c r="B397" t="str">
        <f>PROPER(TRIM(Employee_dataset[[#This Row],[First_Name]]))</f>
        <v>David</v>
      </c>
      <c r="C397" t="str">
        <f>PROPER(TRIM(Employee_dataset[[#This Row],[Last_Name]]))</f>
        <v>Brown</v>
      </c>
      <c r="D397" s="6" t="str">
        <f>_xlfn.LET(
     _xlpm.a, TRIM(Employee_dataset[[#This Row],[Age]]),
     IF(
        _xlpm.a="","",
        IF(
           AND(ISNUMBER(--_xlpm.a),LEN(_xlpm.a)=2),_xlpm.a,""
          )
       )
    )</f>
        <v>30</v>
      </c>
      <c r="E397" t="str">
        <f>TRIM(_xlfn.TEXTBEFORE(Employee_dataset[[#This Row],[Department_Region]],"-"))</f>
        <v>DevOps</v>
      </c>
      <c r="F397" t="str">
        <f>TRIM(_xlfn.TEXTAFTER(Employee_dataset[[#This Row],[Department_Region]],"-"))</f>
        <v>California</v>
      </c>
      <c r="G397" t="str">
        <f>TRIM(Employee_dataset[[#This Row],[Status]])</f>
        <v>Active</v>
      </c>
      <c r="H397" s="1">
        <f>_xlfn.LET(
     _xlpm.d, Employee_dataset[[#This Row],[Join_Date]],
     IF(
        ISNUMBER(_xlpm.d),_xlpm.d,""
       )
    )</f>
        <v>45621</v>
      </c>
      <c r="I397" s="6">
        <f>_xlfn.LET(
     _xlpm.s, TRIM(Employee_dataset[[#This Row],[Salary]]),
     IF(
        UPPER(_xlpm.s)="N/A","",
        IF(
           ISNUMBER(--_xlpm.s),ROUND(_xlfn.NUMBERVALUE(_xlpm.s),2),""
          )
       )
    )</f>
        <v>115290.79</v>
      </c>
      <c r="J397" t="str">
        <f>TRIM(Employee_dataset[[#This Row],[Email]])</f>
        <v>david.brown@example.com</v>
      </c>
      <c r="K397" t="str">
        <f>_xlfn.LET(
     _xlpm.p,TRIM(SUBSTITUTE(Employee_dataset[[#This Row],[Phone]],"-","")),
     IF(
        LEN(_xlpm.p)=10,_xlfn.CONCAT("("&amp;LEFT(_xlpm.p,3)&amp;") "&amp;MID(_xlpm.p,4,3)&amp;"-"&amp;RIGHT(_xlpm.p,4),"")
       )
     )</f>
        <v>(156) 326-8684</v>
      </c>
      <c r="L397" t="str">
        <f>TRIM(Employee_dataset[[#This Row],[Performance_Score]])</f>
        <v>Poor</v>
      </c>
      <c r="M397" t="str">
        <f>TRIM(Employee_dataset[[#This Row],[Remote_Work]])</f>
        <v>FALSE</v>
      </c>
    </row>
    <row r="398" spans="1:13" x14ac:dyDescent="0.3">
      <c r="A398" t="str">
        <f>TRIM(Employee_dataset[[#This Row],[Employee_ID]])</f>
        <v>EMP1396</v>
      </c>
      <c r="B398" t="str">
        <f>PROPER(TRIM(Employee_dataset[[#This Row],[First_Name]]))</f>
        <v>Frank</v>
      </c>
      <c r="C398" t="str">
        <f>PROPER(TRIM(Employee_dataset[[#This Row],[Last_Name]]))</f>
        <v>Garcia</v>
      </c>
      <c r="D398" s="6" t="str">
        <f>_xlfn.LET(
     _xlpm.a, TRIM(Employee_dataset[[#This Row],[Age]]),
     IF(
        _xlpm.a="","",
        IF(
           AND(ISNUMBER(--_xlpm.a),LEN(_xlpm.a)=2),_xlpm.a,""
          )
       )
    )</f>
        <v>35</v>
      </c>
      <c r="E398" t="str">
        <f>TRIM(_xlfn.TEXTBEFORE(Employee_dataset[[#This Row],[Department_Region]],"-"))</f>
        <v>Cloud Tech</v>
      </c>
      <c r="F398" t="str">
        <f>TRIM(_xlfn.TEXTAFTER(Employee_dataset[[#This Row],[Department_Region]],"-"))</f>
        <v>California</v>
      </c>
      <c r="G398" t="str">
        <f>TRIM(Employee_dataset[[#This Row],[Status]])</f>
        <v>Pending</v>
      </c>
      <c r="H398" s="1">
        <f>_xlfn.LET(
     _xlpm.d, Employee_dataset[[#This Row],[Join_Date]],
     IF(
        ISNUMBER(_xlpm.d),_xlpm.d,""
       )
    )</f>
        <v>45159</v>
      </c>
      <c r="I398" s="6">
        <f>_xlfn.LET(
     _xlpm.s, TRIM(Employee_dataset[[#This Row],[Salary]]),
     IF(
        UPPER(_xlpm.s)="N/A","",
        IF(
           ISNUMBER(--_xlpm.s),ROUND(_xlfn.NUMBERVALUE(_xlpm.s),2),""
          )
       )
    )</f>
        <v>61586.76</v>
      </c>
      <c r="J398" t="str">
        <f>TRIM(Employee_dataset[[#This Row],[Email]])</f>
        <v>frank.garcia@example.com</v>
      </c>
      <c r="K398" t="b">
        <f>_xlfn.LET(
     _xlpm.p,TRIM(SUBSTITUTE(Employee_dataset[[#This Row],[Phone]],"-","")),
     IF(
        LEN(_xlpm.p)=10,_xlfn.CONCAT("("&amp;LEFT(_xlpm.p,3)&amp;") "&amp;MID(_xlpm.p,4,3)&amp;"-"&amp;RIGHT(_xlpm.p,4),"")
       )
     )</f>
        <v>0</v>
      </c>
      <c r="L398" t="str">
        <f>TRIM(Employee_dataset[[#This Row],[Performance_Score]])</f>
        <v>Excellent</v>
      </c>
      <c r="M398" t="str">
        <f>TRIM(Employee_dataset[[#This Row],[Remote_Work]])</f>
        <v>FALSE</v>
      </c>
    </row>
    <row r="399" spans="1:13" x14ac:dyDescent="0.3">
      <c r="A399" t="str">
        <f>TRIM(Employee_dataset[[#This Row],[Employee_ID]])</f>
        <v>EMP1397</v>
      </c>
      <c r="B399" t="str">
        <f>PROPER(TRIM(Employee_dataset[[#This Row],[First_Name]]))</f>
        <v>Eva</v>
      </c>
      <c r="C399" t="str">
        <f>PROPER(TRIM(Employee_dataset[[#This Row],[Last_Name]]))</f>
        <v>Miller</v>
      </c>
      <c r="D399" s="6" t="str">
        <f>_xlfn.LET(
     _xlpm.a, TRIM(Employee_dataset[[#This Row],[Age]]),
     IF(
        _xlpm.a="","",
        IF(
           AND(ISNUMBER(--_xlpm.a),LEN(_xlpm.a)=2),_xlpm.a,""
          )
       )
    )</f>
        <v>30</v>
      </c>
      <c r="E399" t="str">
        <f>TRIM(_xlfn.TEXTBEFORE(Employee_dataset[[#This Row],[Department_Region]],"-"))</f>
        <v>Finance</v>
      </c>
      <c r="F399" t="str">
        <f>TRIM(_xlfn.TEXTAFTER(Employee_dataset[[#This Row],[Department_Region]],"-"))</f>
        <v>Nevada</v>
      </c>
      <c r="G399" t="str">
        <f>TRIM(Employee_dataset[[#This Row],[Status]])</f>
        <v>Active</v>
      </c>
      <c r="H399" s="1">
        <f>_xlfn.LET(
     _xlpm.d, Employee_dataset[[#This Row],[Join_Date]],
     IF(
        ISNUMBER(_xlpm.d),_xlpm.d,""
       )
    )</f>
        <v>45272</v>
      </c>
      <c r="I399" s="6">
        <f>_xlfn.LET(
     _xlpm.s, TRIM(Employee_dataset[[#This Row],[Salary]]),
     IF(
        UPPER(_xlpm.s)="N/A","",
        IF(
           ISNUMBER(--_xlpm.s),ROUND(_xlfn.NUMBERVALUE(_xlpm.s),2),""
          )
       )
    )</f>
        <v>56662.86</v>
      </c>
      <c r="J399" t="str">
        <f>TRIM(Employee_dataset[[#This Row],[Email]])</f>
        <v>eva.miller@example.com</v>
      </c>
      <c r="K399" t="str">
        <f>_xlfn.LET(
     _xlpm.p,TRIM(SUBSTITUTE(Employee_dataset[[#This Row],[Phone]],"-","")),
     IF(
        LEN(_xlpm.p)=10,_xlfn.CONCAT("("&amp;LEFT(_xlpm.p,3)&amp;") "&amp;MID(_xlpm.p,4,3)&amp;"-"&amp;RIGHT(_xlpm.p,4),"")
       )
     )</f>
        <v>(362) 948-9785</v>
      </c>
      <c r="L399" t="str">
        <f>TRIM(Employee_dataset[[#This Row],[Performance_Score]])</f>
        <v>Average</v>
      </c>
      <c r="M399" t="str">
        <f>TRIM(Employee_dataset[[#This Row],[Remote_Work]])</f>
        <v>TRUE</v>
      </c>
    </row>
    <row r="400" spans="1:13" x14ac:dyDescent="0.3">
      <c r="A400" t="str">
        <f>TRIM(Employee_dataset[[#This Row],[Employee_ID]])</f>
        <v>EMP1398</v>
      </c>
      <c r="B400" t="str">
        <f>PROPER(TRIM(Employee_dataset[[#This Row],[First_Name]]))</f>
        <v>Bob</v>
      </c>
      <c r="C400" t="str">
        <f>PROPER(TRIM(Employee_dataset[[#This Row],[Last_Name]]))</f>
        <v>Garcia</v>
      </c>
      <c r="D400" s="6" t="str">
        <f>_xlfn.LET(
     _xlpm.a, TRIM(Employee_dataset[[#This Row],[Age]]),
     IF(
        _xlpm.a="","",
        IF(
           AND(ISNUMBER(--_xlpm.a),LEN(_xlpm.a)=2),_xlpm.a,""
          )
       )
    )</f>
        <v>30</v>
      </c>
      <c r="E400" t="str">
        <f>TRIM(_xlfn.TEXTBEFORE(Employee_dataset[[#This Row],[Department_Region]],"-"))</f>
        <v>Sales</v>
      </c>
      <c r="F400" t="str">
        <f>TRIM(_xlfn.TEXTAFTER(Employee_dataset[[#This Row],[Department_Region]],"-"))</f>
        <v>New York</v>
      </c>
      <c r="G400" t="str">
        <f>TRIM(Employee_dataset[[#This Row],[Status]])</f>
        <v>Pending</v>
      </c>
      <c r="H400" s="1">
        <f>_xlfn.LET(
     _xlpm.d, Employee_dataset[[#This Row],[Join_Date]],
     IF(
        ISNUMBER(_xlpm.d),_xlpm.d,""
       )
    )</f>
        <v>45223</v>
      </c>
      <c r="I400" s="6" t="str">
        <f>_xlfn.LET(
     _xlpm.s, TRIM(Employee_dataset[[#This Row],[Salary]]),
     IF(
        UPPER(_xlpm.s)="N/A","",
        IF(
           ISNUMBER(--_xlpm.s),ROUND(_xlfn.NUMBERVALUE(_xlpm.s),2),""
          )
       )
    )</f>
        <v/>
      </c>
      <c r="J400" t="str">
        <f>TRIM(Employee_dataset[[#This Row],[Email]])</f>
        <v>bob.garcia@example.com</v>
      </c>
      <c r="K400" t="str">
        <f>_xlfn.LET(
     _xlpm.p,TRIM(SUBSTITUTE(Employee_dataset[[#This Row],[Phone]],"-","")),
     IF(
        LEN(_xlpm.p)=10,_xlfn.CONCAT("("&amp;LEFT(_xlpm.p,3)&amp;") "&amp;MID(_xlpm.p,4,3)&amp;"-"&amp;RIGHT(_xlpm.p,4),"")
       )
     )</f>
        <v>(103) 131-0093</v>
      </c>
      <c r="L400" t="str">
        <f>TRIM(Employee_dataset[[#This Row],[Performance_Score]])</f>
        <v>Excellent</v>
      </c>
      <c r="M400" t="str">
        <f>TRIM(Employee_dataset[[#This Row],[Remote_Work]])</f>
        <v>TRUE</v>
      </c>
    </row>
    <row r="401" spans="1:13" x14ac:dyDescent="0.3">
      <c r="A401" t="str">
        <f>TRIM(Employee_dataset[[#This Row],[Employee_ID]])</f>
        <v>EMP1399</v>
      </c>
      <c r="B401" t="str">
        <f>PROPER(TRIM(Employee_dataset[[#This Row],[First_Name]]))</f>
        <v>Frank</v>
      </c>
      <c r="C401" t="str">
        <f>PROPER(TRIM(Employee_dataset[[#This Row],[Last_Name]]))</f>
        <v>Smith</v>
      </c>
      <c r="D401" s="6" t="str">
        <f>_xlfn.LET(
     _xlpm.a, TRIM(Employee_dataset[[#This Row],[Age]]),
     IF(
        _xlpm.a="","",
        IF(
           AND(ISNUMBER(--_xlpm.a),LEN(_xlpm.a)=2),_xlpm.a,""
          )
       )
    )</f>
        <v>25</v>
      </c>
      <c r="E401" t="str">
        <f>TRIM(_xlfn.TEXTBEFORE(Employee_dataset[[#This Row],[Department_Region]],"-"))</f>
        <v>Finance</v>
      </c>
      <c r="F401" t="str">
        <f>TRIM(_xlfn.TEXTAFTER(Employee_dataset[[#This Row],[Department_Region]],"-"))</f>
        <v>Nevada</v>
      </c>
      <c r="G401" t="str">
        <f>TRIM(Employee_dataset[[#This Row],[Status]])</f>
        <v>Active</v>
      </c>
      <c r="H401" s="1">
        <f>_xlfn.LET(
     _xlpm.d, Employee_dataset[[#This Row],[Join_Date]],
     IF(
        ISNUMBER(_xlpm.d),_xlpm.d,""
       )
    )</f>
        <v>44809</v>
      </c>
      <c r="I401" s="6">
        <f>_xlfn.LET(
     _xlpm.s, TRIM(Employee_dataset[[#This Row],[Salary]]),
     IF(
        UPPER(_xlpm.s)="N/A","",
        IF(
           ISNUMBER(--_xlpm.s),ROUND(_xlfn.NUMBERVALUE(_xlpm.s),2),""
          )
       )
    )</f>
        <v>54957.98</v>
      </c>
      <c r="J401" t="str">
        <f>TRIM(Employee_dataset[[#This Row],[Email]])</f>
        <v>frank.smith@example.com</v>
      </c>
      <c r="K401" t="str">
        <f>_xlfn.LET(
     _xlpm.p,TRIM(SUBSTITUTE(Employee_dataset[[#This Row],[Phone]],"-","")),
     IF(
        LEN(_xlpm.p)=10,_xlfn.CONCAT("("&amp;LEFT(_xlpm.p,3)&amp;") "&amp;MID(_xlpm.p,4,3)&amp;"-"&amp;RIGHT(_xlpm.p,4),"")
       )
     )</f>
        <v>(318) 143-9665</v>
      </c>
      <c r="L401" t="str">
        <f>TRIM(Employee_dataset[[#This Row],[Performance_Score]])</f>
        <v>Excellent</v>
      </c>
      <c r="M401" t="str">
        <f>TRIM(Employee_dataset[[#This Row],[Remote_Work]])</f>
        <v>TRUE</v>
      </c>
    </row>
    <row r="402" spans="1:13" x14ac:dyDescent="0.3">
      <c r="A402" t="str">
        <f>TRIM(Employee_dataset[[#This Row],[Employee_ID]])</f>
        <v>EMP1400</v>
      </c>
      <c r="B402" t="str">
        <f>PROPER(TRIM(Employee_dataset[[#This Row],[First_Name]]))</f>
        <v>Bob</v>
      </c>
      <c r="C402" t="str">
        <f>PROPER(TRIM(Employee_dataset[[#This Row],[Last_Name]]))</f>
        <v>Garcia</v>
      </c>
      <c r="D402" s="6" t="str">
        <f>_xlfn.LET(
     _xlpm.a, TRIM(Employee_dataset[[#This Row],[Age]]),
     IF(
        _xlpm.a="","",
        IF(
           AND(ISNUMBER(--_xlpm.a),LEN(_xlpm.a)=2),_xlpm.a,""
          )
       )
    )</f>
        <v>25</v>
      </c>
      <c r="E402" t="str">
        <f>TRIM(_xlfn.TEXTBEFORE(Employee_dataset[[#This Row],[Department_Region]],"-"))</f>
        <v>HR</v>
      </c>
      <c r="F402" t="str">
        <f>TRIM(_xlfn.TEXTAFTER(Employee_dataset[[#This Row],[Department_Region]],"-"))</f>
        <v>California</v>
      </c>
      <c r="G402" t="str">
        <f>TRIM(Employee_dataset[[#This Row],[Status]])</f>
        <v>Inactive</v>
      </c>
      <c r="H402" s="1">
        <f>_xlfn.LET(
     _xlpm.d, Employee_dataset[[#This Row],[Join_Date]],
     IF(
        ISNUMBER(_xlpm.d),_xlpm.d,""
       )
    )</f>
        <v>44111</v>
      </c>
      <c r="I402" s="6">
        <f>_xlfn.LET(
     _xlpm.s, TRIM(Employee_dataset[[#This Row],[Salary]]),
     IF(
        UPPER(_xlpm.s)="N/A","",
        IF(
           ISNUMBER(--_xlpm.s),ROUND(_xlfn.NUMBERVALUE(_xlpm.s),2),""
          )
       )
    )</f>
        <v>76790.47</v>
      </c>
      <c r="J402" t="str">
        <f>TRIM(Employee_dataset[[#This Row],[Email]])</f>
        <v>bob.garcia@example.com</v>
      </c>
      <c r="K402" t="str">
        <f>_xlfn.LET(
     _xlpm.p,TRIM(SUBSTITUTE(Employee_dataset[[#This Row],[Phone]],"-","")),
     IF(
        LEN(_xlpm.p)=10,_xlfn.CONCAT("("&amp;LEFT(_xlpm.p,3)&amp;") "&amp;MID(_xlpm.p,4,3)&amp;"-"&amp;RIGHT(_xlpm.p,4),"")
       )
     )</f>
        <v>(134) 732-3548</v>
      </c>
      <c r="L402" t="str">
        <f>TRIM(Employee_dataset[[#This Row],[Performance_Score]])</f>
        <v>Excellent</v>
      </c>
      <c r="M402" t="str">
        <f>TRIM(Employee_dataset[[#This Row],[Remote_Work]])</f>
        <v>TRUE</v>
      </c>
    </row>
    <row r="403" spans="1:13" x14ac:dyDescent="0.3">
      <c r="A403" t="str">
        <f>TRIM(Employee_dataset[[#This Row],[Employee_ID]])</f>
        <v>EMP1401</v>
      </c>
      <c r="B403" t="str">
        <f>PROPER(TRIM(Employee_dataset[[#This Row],[First_Name]]))</f>
        <v>Charlie</v>
      </c>
      <c r="C403" t="str">
        <f>PROPER(TRIM(Employee_dataset[[#This Row],[Last_Name]]))</f>
        <v>Brown</v>
      </c>
      <c r="D403" s="6" t="str">
        <f>_xlfn.LET(
     _xlpm.a, TRIM(Employee_dataset[[#This Row],[Age]]),
     IF(
        _xlpm.a="","",
        IF(
           AND(ISNUMBER(--_xlpm.a),LEN(_xlpm.a)=2),_xlpm.a,""
          )
       )
    )</f>
        <v>30</v>
      </c>
      <c r="E403" t="str">
        <f>TRIM(_xlfn.TEXTBEFORE(Employee_dataset[[#This Row],[Department_Region]],"-"))</f>
        <v>Cloud Tech</v>
      </c>
      <c r="F403" t="str">
        <f>TRIM(_xlfn.TEXTAFTER(Employee_dataset[[#This Row],[Department_Region]],"-"))</f>
        <v>Illinois</v>
      </c>
      <c r="G403" t="str">
        <f>TRIM(Employee_dataset[[#This Row],[Status]])</f>
        <v>Pending</v>
      </c>
      <c r="H403" s="1">
        <f>_xlfn.LET(
     _xlpm.d, Employee_dataset[[#This Row],[Join_Date]],
     IF(
        ISNUMBER(_xlpm.d),_xlpm.d,""
       )
    )</f>
        <v>43848</v>
      </c>
      <c r="I403" s="6">
        <f>_xlfn.LET(
     _xlpm.s, TRIM(Employee_dataset[[#This Row],[Salary]]),
     IF(
        UPPER(_xlpm.s)="N/A","",
        IF(
           ISNUMBER(--_xlpm.s),ROUND(_xlfn.NUMBERVALUE(_xlpm.s),2),""
          )
       )
    )</f>
        <v>92722.35</v>
      </c>
      <c r="J403" t="str">
        <f>TRIM(Employee_dataset[[#This Row],[Email]])</f>
        <v>charlie.brown@example.com</v>
      </c>
      <c r="K403" t="str">
        <f>_xlfn.LET(
     _xlpm.p,TRIM(SUBSTITUTE(Employee_dataset[[#This Row],[Phone]],"-","")),
     IF(
        LEN(_xlpm.p)=10,_xlfn.CONCAT("("&amp;LEFT(_xlpm.p,3)&amp;") "&amp;MID(_xlpm.p,4,3)&amp;"-"&amp;RIGHT(_xlpm.p,4),"")
       )
     )</f>
        <v>(401) 289-7431</v>
      </c>
      <c r="L403" t="str">
        <f>TRIM(Employee_dataset[[#This Row],[Performance_Score]])</f>
        <v>Excellent</v>
      </c>
      <c r="M403" t="str">
        <f>TRIM(Employee_dataset[[#This Row],[Remote_Work]])</f>
        <v>FALSE</v>
      </c>
    </row>
    <row r="404" spans="1:13" x14ac:dyDescent="0.3">
      <c r="A404" t="str">
        <f>TRIM(Employee_dataset[[#This Row],[Employee_ID]])</f>
        <v>EMP1402</v>
      </c>
      <c r="B404" t="str">
        <f>PROPER(TRIM(Employee_dataset[[#This Row],[First_Name]]))</f>
        <v>Frank</v>
      </c>
      <c r="C404" t="str">
        <f>PROPER(TRIM(Employee_dataset[[#This Row],[Last_Name]]))</f>
        <v>Williams</v>
      </c>
      <c r="D404" s="6" t="str">
        <f>_xlfn.LET(
     _xlpm.a, TRIM(Employee_dataset[[#This Row],[Age]]),
     IF(
        _xlpm.a="","",
        IF(
           AND(ISNUMBER(--_xlpm.a),LEN(_xlpm.a)=2),_xlpm.a,""
          )
       )
    )</f>
        <v>30</v>
      </c>
      <c r="E404" t="str">
        <f>TRIM(_xlfn.TEXTBEFORE(Employee_dataset[[#This Row],[Department_Region]],"-"))</f>
        <v>DevOps</v>
      </c>
      <c r="F404" t="str">
        <f>TRIM(_xlfn.TEXTAFTER(Employee_dataset[[#This Row],[Department_Region]],"-"))</f>
        <v>Nevada</v>
      </c>
      <c r="G404" t="str">
        <f>TRIM(Employee_dataset[[#This Row],[Status]])</f>
        <v>Active</v>
      </c>
      <c r="H404" s="1">
        <f>_xlfn.LET(
     _xlpm.d, Employee_dataset[[#This Row],[Join_Date]],
     IF(
        ISNUMBER(_xlpm.d),_xlpm.d,""
       )
    )</f>
        <v>44674</v>
      </c>
      <c r="I404" s="6">
        <f>_xlfn.LET(
     _xlpm.s, TRIM(Employee_dataset[[#This Row],[Salary]]),
     IF(
        UPPER(_xlpm.s)="N/A","",
        IF(
           ISNUMBER(--_xlpm.s),ROUND(_xlfn.NUMBERVALUE(_xlpm.s),2),""
          )
       )
    )</f>
        <v>93125.32</v>
      </c>
      <c r="J404" t="str">
        <f>TRIM(Employee_dataset[[#This Row],[Email]])</f>
        <v>frank.williams@example.com</v>
      </c>
      <c r="K404" t="str">
        <f>_xlfn.LET(
     _xlpm.p,TRIM(SUBSTITUTE(Employee_dataset[[#This Row],[Phone]],"-","")),
     IF(
        LEN(_xlpm.p)=10,_xlfn.CONCAT("("&amp;LEFT(_xlpm.p,3)&amp;") "&amp;MID(_xlpm.p,4,3)&amp;"-"&amp;RIGHT(_xlpm.p,4),"")
       )
     )</f>
        <v>(512) 257-2075</v>
      </c>
      <c r="L404" t="str">
        <f>TRIM(Employee_dataset[[#This Row],[Performance_Score]])</f>
        <v>Average</v>
      </c>
      <c r="M404" t="str">
        <f>TRIM(Employee_dataset[[#This Row],[Remote_Work]])</f>
        <v>FALSE</v>
      </c>
    </row>
    <row r="405" spans="1:13" x14ac:dyDescent="0.3">
      <c r="A405" t="str">
        <f>TRIM(Employee_dataset[[#This Row],[Employee_ID]])</f>
        <v>EMP1403</v>
      </c>
      <c r="B405" t="str">
        <f>PROPER(TRIM(Employee_dataset[[#This Row],[First_Name]]))</f>
        <v>David</v>
      </c>
      <c r="C405" t="str">
        <f>PROPER(TRIM(Employee_dataset[[#This Row],[Last_Name]]))</f>
        <v>Smith</v>
      </c>
      <c r="D405" s="6" t="str">
        <f>_xlfn.LET(
     _xlpm.a, TRIM(Employee_dataset[[#This Row],[Age]]),
     IF(
        _xlpm.a="","",
        IF(
           AND(ISNUMBER(--_xlpm.a),LEN(_xlpm.a)=2),_xlpm.a,""
          )
       )
    )</f>
        <v>25</v>
      </c>
      <c r="E405" t="str">
        <f>TRIM(_xlfn.TEXTBEFORE(Employee_dataset[[#This Row],[Department_Region]],"-"))</f>
        <v>Cloud Tech</v>
      </c>
      <c r="F405" t="str">
        <f>TRIM(_xlfn.TEXTAFTER(Employee_dataset[[#This Row],[Department_Region]],"-"))</f>
        <v>New York</v>
      </c>
      <c r="G405" t="str">
        <f>TRIM(Employee_dataset[[#This Row],[Status]])</f>
        <v>Active</v>
      </c>
      <c r="H405" s="1">
        <f>_xlfn.LET(
     _xlpm.d, Employee_dataset[[#This Row],[Join_Date]],
     IF(
        ISNUMBER(_xlpm.d),_xlpm.d,""
       )
    )</f>
        <v>45038</v>
      </c>
      <c r="I405" s="6">
        <f>_xlfn.LET(
     _xlpm.s, TRIM(Employee_dataset[[#This Row],[Salary]]),
     IF(
        UPPER(_xlpm.s)="N/A","",
        IF(
           ISNUMBER(--_xlpm.s),ROUND(_xlfn.NUMBERVALUE(_xlpm.s),2),""
          )
       )
    )</f>
        <v>101100.64</v>
      </c>
      <c r="J405" t="str">
        <f>TRIM(Employee_dataset[[#This Row],[Email]])</f>
        <v>david.smith@example.com</v>
      </c>
      <c r="K405" t="str">
        <f>_xlfn.LET(
     _xlpm.p,TRIM(SUBSTITUTE(Employee_dataset[[#This Row],[Phone]],"-","")),
     IF(
        LEN(_xlpm.p)=10,_xlfn.CONCAT("("&amp;LEFT(_xlpm.p,3)&amp;") "&amp;MID(_xlpm.p,4,3)&amp;"-"&amp;RIGHT(_xlpm.p,4),"")
       )
     )</f>
        <v>(502) 412-0956</v>
      </c>
      <c r="L405" t="str">
        <f>TRIM(Employee_dataset[[#This Row],[Performance_Score]])</f>
        <v>Average</v>
      </c>
      <c r="M405" t="str">
        <f>TRIM(Employee_dataset[[#This Row],[Remote_Work]])</f>
        <v>FALSE</v>
      </c>
    </row>
    <row r="406" spans="1:13" x14ac:dyDescent="0.3">
      <c r="A406" t="str">
        <f>TRIM(Employee_dataset[[#This Row],[Employee_ID]])</f>
        <v>EMP1404</v>
      </c>
      <c r="B406" t="str">
        <f>PROPER(TRIM(Employee_dataset[[#This Row],[First_Name]]))</f>
        <v>Grace</v>
      </c>
      <c r="C406" t="str">
        <f>PROPER(TRIM(Employee_dataset[[#This Row],[Last_Name]]))</f>
        <v>Garcia</v>
      </c>
      <c r="D406" s="6" t="str">
        <f>_xlfn.LET(
     _xlpm.a, TRIM(Employee_dataset[[#This Row],[Age]]),
     IF(
        _xlpm.a="","",
        IF(
           AND(ISNUMBER(--_xlpm.a),LEN(_xlpm.a)=2),_xlpm.a,""
          )
       )
    )</f>
        <v>35</v>
      </c>
      <c r="E406" t="str">
        <f>TRIM(_xlfn.TEXTBEFORE(Employee_dataset[[#This Row],[Department_Region]],"-"))</f>
        <v>Admin</v>
      </c>
      <c r="F406" t="str">
        <f>TRIM(_xlfn.TEXTAFTER(Employee_dataset[[#This Row],[Department_Region]],"-"))</f>
        <v>New York</v>
      </c>
      <c r="G406" t="str">
        <f>TRIM(Employee_dataset[[#This Row],[Status]])</f>
        <v>Inactive</v>
      </c>
      <c r="H406" s="1">
        <f>_xlfn.LET(
     _xlpm.d, Employee_dataset[[#This Row],[Join_Date]],
     IF(
        ISNUMBER(_xlpm.d),_xlpm.d,""
       )
    )</f>
        <v>45151</v>
      </c>
      <c r="I406" s="6">
        <f>_xlfn.LET(
     _xlpm.s, TRIM(Employee_dataset[[#This Row],[Salary]]),
     IF(
        UPPER(_xlpm.s)="N/A","",
        IF(
           ISNUMBER(--_xlpm.s),ROUND(_xlfn.NUMBERVALUE(_xlpm.s),2),""
          )
       )
    )</f>
        <v>55897.41</v>
      </c>
      <c r="J406" t="str">
        <f>TRIM(Employee_dataset[[#This Row],[Email]])</f>
        <v>grace.garcia@example.com</v>
      </c>
      <c r="K406" t="str">
        <f>_xlfn.LET(
     _xlpm.p,TRIM(SUBSTITUTE(Employee_dataset[[#This Row],[Phone]],"-","")),
     IF(
        LEN(_xlpm.p)=10,_xlfn.CONCAT("("&amp;LEFT(_xlpm.p,3)&amp;") "&amp;MID(_xlpm.p,4,3)&amp;"-"&amp;RIGHT(_xlpm.p,4),"")
       )
     )</f>
        <v>(907) 371-0093</v>
      </c>
      <c r="L406" t="str">
        <f>TRIM(Employee_dataset[[#This Row],[Performance_Score]])</f>
        <v>Poor</v>
      </c>
      <c r="M406" t="str">
        <f>TRIM(Employee_dataset[[#This Row],[Remote_Work]])</f>
        <v>FALSE</v>
      </c>
    </row>
    <row r="407" spans="1:13" x14ac:dyDescent="0.3">
      <c r="A407" t="str">
        <f>TRIM(Employee_dataset[[#This Row],[Employee_ID]])</f>
        <v>EMP1405</v>
      </c>
      <c r="B407" t="str">
        <f>PROPER(TRIM(Employee_dataset[[#This Row],[First_Name]]))</f>
        <v>Eva</v>
      </c>
      <c r="C407" t="str">
        <f>PROPER(TRIM(Employee_dataset[[#This Row],[Last_Name]]))</f>
        <v>Brown</v>
      </c>
      <c r="D407" s="6" t="str">
        <f>_xlfn.LET(
     _xlpm.a, TRIM(Employee_dataset[[#This Row],[Age]]),
     IF(
        _xlpm.a="","",
        IF(
           AND(ISNUMBER(--_xlpm.a),LEN(_xlpm.a)=2),_xlpm.a,""
          )
       )
    )</f>
        <v>25</v>
      </c>
      <c r="E407" t="str">
        <f>TRIM(_xlfn.TEXTBEFORE(Employee_dataset[[#This Row],[Department_Region]],"-"))</f>
        <v>DevOps</v>
      </c>
      <c r="F407" t="str">
        <f>TRIM(_xlfn.TEXTAFTER(Employee_dataset[[#This Row],[Department_Region]],"-"))</f>
        <v>California</v>
      </c>
      <c r="G407" t="str">
        <f>TRIM(Employee_dataset[[#This Row],[Status]])</f>
        <v>Active</v>
      </c>
      <c r="H407" s="1">
        <f>_xlfn.LET(
     _xlpm.d, Employee_dataset[[#This Row],[Join_Date]],
     IF(
        ISNUMBER(_xlpm.d),_xlpm.d,""
       )
    )</f>
        <v>44891</v>
      </c>
      <c r="I407" s="6">
        <f>_xlfn.LET(
     _xlpm.s, TRIM(Employee_dataset[[#This Row],[Salary]]),
     IF(
        UPPER(_xlpm.s)="N/A","",
        IF(
           ISNUMBER(--_xlpm.s),ROUND(_xlfn.NUMBERVALUE(_xlpm.s),2),""
          )
       )
    )</f>
        <v>92484.88</v>
      </c>
      <c r="J407" t="str">
        <f>TRIM(Employee_dataset[[#This Row],[Email]])</f>
        <v>eva.brown@example.com</v>
      </c>
      <c r="K407" t="str">
        <f>_xlfn.LET(
     _xlpm.p,TRIM(SUBSTITUTE(Employee_dataset[[#This Row],[Phone]],"-","")),
     IF(
        LEN(_xlpm.p)=10,_xlfn.CONCAT("("&amp;LEFT(_xlpm.p,3)&amp;") "&amp;MID(_xlpm.p,4,3)&amp;"-"&amp;RIGHT(_xlpm.p,4),"")
       )
     )</f>
        <v>(388) 221-1456</v>
      </c>
      <c r="L407" t="str">
        <f>TRIM(Employee_dataset[[#This Row],[Performance_Score]])</f>
        <v>Good</v>
      </c>
      <c r="M407" t="str">
        <f>TRIM(Employee_dataset[[#This Row],[Remote_Work]])</f>
        <v>TRUE</v>
      </c>
    </row>
    <row r="408" spans="1:13" x14ac:dyDescent="0.3">
      <c r="A408" t="str">
        <f>TRIM(Employee_dataset[[#This Row],[Employee_ID]])</f>
        <v>EMP1406</v>
      </c>
      <c r="B408" t="str">
        <f>PROPER(TRIM(Employee_dataset[[#This Row],[First_Name]]))</f>
        <v>Grace</v>
      </c>
      <c r="C408" t="str">
        <f>PROPER(TRIM(Employee_dataset[[#This Row],[Last_Name]]))</f>
        <v>Miller</v>
      </c>
      <c r="D408" s="6" t="str">
        <f>_xlfn.LET(
     _xlpm.a, TRIM(Employee_dataset[[#This Row],[Age]]),
     IF(
        _xlpm.a="","",
        IF(
           AND(ISNUMBER(--_xlpm.a),LEN(_xlpm.a)=2),_xlpm.a,""
          )
       )
    )</f>
        <v>35</v>
      </c>
      <c r="E408" t="str">
        <f>TRIM(_xlfn.TEXTBEFORE(Employee_dataset[[#This Row],[Department_Region]],"-"))</f>
        <v>DevOps</v>
      </c>
      <c r="F408" t="str">
        <f>TRIM(_xlfn.TEXTAFTER(Employee_dataset[[#This Row],[Department_Region]],"-"))</f>
        <v>Texas</v>
      </c>
      <c r="G408" t="str">
        <f>TRIM(Employee_dataset[[#This Row],[Status]])</f>
        <v>Active</v>
      </c>
      <c r="H408" s="1">
        <f>_xlfn.LET(
     _xlpm.d, Employee_dataset[[#This Row],[Join_Date]],
     IF(
        ISNUMBER(_xlpm.d),_xlpm.d,""
       )
    )</f>
        <v>44844</v>
      </c>
      <c r="I408" s="6">
        <f>_xlfn.LET(
     _xlpm.s, TRIM(Employee_dataset[[#This Row],[Salary]]),
     IF(
        UPPER(_xlpm.s)="N/A","",
        IF(
           ISNUMBER(--_xlpm.s),ROUND(_xlfn.NUMBERVALUE(_xlpm.s),2),""
          )
       )
    )</f>
        <v>77011.990000000005</v>
      </c>
      <c r="J408" t="str">
        <f>TRIM(Employee_dataset[[#This Row],[Email]])</f>
        <v>grace.miller@example.com</v>
      </c>
      <c r="K408" t="str">
        <f>_xlfn.LET(
     _xlpm.p,TRIM(SUBSTITUTE(Employee_dataset[[#This Row],[Phone]],"-","")),
     IF(
        LEN(_xlpm.p)=10,_xlfn.CONCAT("("&amp;LEFT(_xlpm.p,3)&amp;") "&amp;MID(_xlpm.p,4,3)&amp;"-"&amp;RIGHT(_xlpm.p,4),"")
       )
     )</f>
        <v>(758) 474-5704</v>
      </c>
      <c r="L408" t="str">
        <f>TRIM(Employee_dataset[[#This Row],[Performance_Score]])</f>
        <v>Average</v>
      </c>
      <c r="M408" t="str">
        <f>TRIM(Employee_dataset[[#This Row],[Remote_Work]])</f>
        <v>TRUE</v>
      </c>
    </row>
    <row r="409" spans="1:13" x14ac:dyDescent="0.3">
      <c r="A409" t="str">
        <f>TRIM(Employee_dataset[[#This Row],[Employee_ID]])</f>
        <v>EMP1407</v>
      </c>
      <c r="B409" t="str">
        <f>PROPER(TRIM(Employee_dataset[[#This Row],[First_Name]]))</f>
        <v>Bob</v>
      </c>
      <c r="C409" t="str">
        <f>PROPER(TRIM(Employee_dataset[[#This Row],[Last_Name]]))</f>
        <v>Garcia</v>
      </c>
      <c r="D409" s="6" t="str">
        <f>_xlfn.LET(
     _xlpm.a, TRIM(Employee_dataset[[#This Row],[Age]]),
     IF(
        _xlpm.a="","",
        IF(
           AND(ISNUMBER(--_xlpm.a),LEN(_xlpm.a)=2),_xlpm.a,""
          )
       )
    )</f>
        <v/>
      </c>
      <c r="E409" t="str">
        <f>TRIM(_xlfn.TEXTBEFORE(Employee_dataset[[#This Row],[Department_Region]],"-"))</f>
        <v>Cloud Tech</v>
      </c>
      <c r="F409" t="str">
        <f>TRIM(_xlfn.TEXTAFTER(Employee_dataset[[#This Row],[Department_Region]],"-"))</f>
        <v>California</v>
      </c>
      <c r="G409" t="str">
        <f>TRIM(Employee_dataset[[#This Row],[Status]])</f>
        <v>Inactive</v>
      </c>
      <c r="H409" s="1">
        <f>_xlfn.LET(
     _xlpm.d, Employee_dataset[[#This Row],[Join_Date]],
     IF(
        ISNUMBER(_xlpm.d),_xlpm.d,""
       )
    )</f>
        <v>44101</v>
      </c>
      <c r="I409" s="6">
        <f>_xlfn.LET(
     _xlpm.s, TRIM(Employee_dataset[[#This Row],[Salary]]),
     IF(
        UPPER(_xlpm.s)="N/A","",
        IF(
           ISNUMBER(--_xlpm.s),ROUND(_xlfn.NUMBERVALUE(_xlpm.s),2),""
          )
       )
    )</f>
        <v>77078.679999999993</v>
      </c>
      <c r="J409" t="str">
        <f>TRIM(Employee_dataset[[#This Row],[Email]])</f>
        <v>bob.garcia@example.com</v>
      </c>
      <c r="K409" t="str">
        <f>_xlfn.LET(
     _xlpm.p,TRIM(SUBSTITUTE(Employee_dataset[[#This Row],[Phone]],"-","")),
     IF(
        LEN(_xlpm.p)=10,_xlfn.CONCAT("("&amp;LEFT(_xlpm.p,3)&amp;") "&amp;MID(_xlpm.p,4,3)&amp;"-"&amp;RIGHT(_xlpm.p,4),"")
       )
     )</f>
        <v>(458) 971-4801</v>
      </c>
      <c r="L409" t="str">
        <f>TRIM(Employee_dataset[[#This Row],[Performance_Score]])</f>
        <v>Average</v>
      </c>
      <c r="M409" t="str">
        <f>TRIM(Employee_dataset[[#This Row],[Remote_Work]])</f>
        <v>TRUE</v>
      </c>
    </row>
    <row r="410" spans="1:13" x14ac:dyDescent="0.3">
      <c r="A410" t="str">
        <f>TRIM(Employee_dataset[[#This Row],[Employee_ID]])</f>
        <v>EMP1408</v>
      </c>
      <c r="B410" t="str">
        <f>PROPER(TRIM(Employee_dataset[[#This Row],[First_Name]]))</f>
        <v>Grace</v>
      </c>
      <c r="C410" t="str">
        <f>PROPER(TRIM(Employee_dataset[[#This Row],[Last_Name]]))</f>
        <v>Brown</v>
      </c>
      <c r="D410" s="6" t="str">
        <f>_xlfn.LET(
     _xlpm.a, TRIM(Employee_dataset[[#This Row],[Age]]),
     IF(
        _xlpm.a="","",
        IF(
           AND(ISNUMBER(--_xlpm.a),LEN(_xlpm.a)=2),_xlpm.a,""
          )
       )
    )</f>
        <v>35</v>
      </c>
      <c r="E410" t="str">
        <f>TRIM(_xlfn.TEXTBEFORE(Employee_dataset[[#This Row],[Department_Region]],"-"))</f>
        <v>Sales</v>
      </c>
      <c r="F410" t="str">
        <f>TRIM(_xlfn.TEXTAFTER(Employee_dataset[[#This Row],[Department_Region]],"-"))</f>
        <v>Nevada</v>
      </c>
      <c r="G410" t="str">
        <f>TRIM(Employee_dataset[[#This Row],[Status]])</f>
        <v>Active</v>
      </c>
      <c r="H410" s="1">
        <f>_xlfn.LET(
     _xlpm.d, Employee_dataset[[#This Row],[Join_Date]],
     IF(
        ISNUMBER(_xlpm.d),_xlpm.d,""
       )
    )</f>
        <v>45393</v>
      </c>
      <c r="I410" s="6">
        <f>_xlfn.LET(
     _xlpm.s, TRIM(Employee_dataset[[#This Row],[Salary]]),
     IF(
        UPPER(_xlpm.s)="N/A","",
        IF(
           ISNUMBER(--_xlpm.s),ROUND(_xlfn.NUMBERVALUE(_xlpm.s),2),""
          )
       )
    )</f>
        <v>82971.02</v>
      </c>
      <c r="J410" t="str">
        <f>TRIM(Employee_dataset[[#This Row],[Email]])</f>
        <v>grace.brown@example.com</v>
      </c>
      <c r="K410" t="str">
        <f>_xlfn.LET(
     _xlpm.p,TRIM(SUBSTITUTE(Employee_dataset[[#This Row],[Phone]],"-","")),
     IF(
        LEN(_xlpm.p)=10,_xlfn.CONCAT("("&amp;LEFT(_xlpm.p,3)&amp;") "&amp;MID(_xlpm.p,4,3)&amp;"-"&amp;RIGHT(_xlpm.p,4),"")
       )
     )</f>
        <v>(632) 570-3964</v>
      </c>
      <c r="L410" t="str">
        <f>TRIM(Employee_dataset[[#This Row],[Performance_Score]])</f>
        <v>Good</v>
      </c>
      <c r="M410" t="str">
        <f>TRIM(Employee_dataset[[#This Row],[Remote_Work]])</f>
        <v>FALSE</v>
      </c>
    </row>
    <row r="411" spans="1:13" x14ac:dyDescent="0.3">
      <c r="A411" t="str">
        <f>TRIM(Employee_dataset[[#This Row],[Employee_ID]])</f>
        <v>EMP1409</v>
      </c>
      <c r="B411" t="str">
        <f>PROPER(TRIM(Employee_dataset[[#This Row],[First_Name]]))</f>
        <v>Bob</v>
      </c>
      <c r="C411" t="str">
        <f>PROPER(TRIM(Employee_dataset[[#This Row],[Last_Name]]))</f>
        <v>Miller</v>
      </c>
      <c r="D411" s="6" t="str">
        <f>_xlfn.LET(
     _xlpm.a, TRIM(Employee_dataset[[#This Row],[Age]]),
     IF(
        _xlpm.a="","",
        IF(
           AND(ISNUMBER(--_xlpm.a),LEN(_xlpm.a)=2),_xlpm.a,""
          )
       )
    )</f>
        <v>25</v>
      </c>
      <c r="E411" t="str">
        <f>TRIM(_xlfn.TEXTBEFORE(Employee_dataset[[#This Row],[Department_Region]],"-"))</f>
        <v>Sales</v>
      </c>
      <c r="F411" t="str">
        <f>TRIM(_xlfn.TEXTAFTER(Employee_dataset[[#This Row],[Department_Region]],"-"))</f>
        <v>Texas</v>
      </c>
      <c r="G411" t="str">
        <f>TRIM(Employee_dataset[[#This Row],[Status]])</f>
        <v>Active</v>
      </c>
      <c r="H411" s="1">
        <f>_xlfn.LET(
     _xlpm.d, Employee_dataset[[#This Row],[Join_Date]],
     IF(
        ISNUMBER(_xlpm.d),_xlpm.d,""
       )
    )</f>
        <v>44367</v>
      </c>
      <c r="I411" s="6">
        <f>_xlfn.LET(
     _xlpm.s, TRIM(Employee_dataset[[#This Row],[Salary]]),
     IF(
        UPPER(_xlpm.s)="N/A","",
        IF(
           ISNUMBER(--_xlpm.s),ROUND(_xlfn.NUMBERVALUE(_xlpm.s),2),""
          )
       )
    )</f>
        <v>65102.01</v>
      </c>
      <c r="J411" t="str">
        <f>TRIM(Employee_dataset[[#This Row],[Email]])</f>
        <v>bob.miller@example.com</v>
      </c>
      <c r="K411" t="str">
        <f>_xlfn.LET(
     _xlpm.p,TRIM(SUBSTITUTE(Employee_dataset[[#This Row],[Phone]],"-","")),
     IF(
        LEN(_xlpm.p)=10,_xlfn.CONCAT("("&amp;LEFT(_xlpm.p,3)&amp;") "&amp;MID(_xlpm.p,4,3)&amp;"-"&amp;RIGHT(_xlpm.p,4),"")
       )
     )</f>
        <v>(313) 614-8781</v>
      </c>
      <c r="L411" t="str">
        <f>TRIM(Employee_dataset[[#This Row],[Performance_Score]])</f>
        <v>Average</v>
      </c>
      <c r="M411" t="str">
        <f>TRIM(Employee_dataset[[#This Row],[Remote_Work]])</f>
        <v>TRUE</v>
      </c>
    </row>
    <row r="412" spans="1:13" x14ac:dyDescent="0.3">
      <c r="A412" t="str">
        <f>TRIM(Employee_dataset[[#This Row],[Employee_ID]])</f>
        <v>EMP1410</v>
      </c>
      <c r="B412" t="str">
        <f>PROPER(TRIM(Employee_dataset[[#This Row],[First_Name]]))</f>
        <v>Grace</v>
      </c>
      <c r="C412" t="str">
        <f>PROPER(TRIM(Employee_dataset[[#This Row],[Last_Name]]))</f>
        <v>Williams</v>
      </c>
      <c r="D412" s="6" t="str">
        <f>_xlfn.LET(
     _xlpm.a, TRIM(Employee_dataset[[#This Row],[Age]]),
     IF(
        _xlpm.a="","",
        IF(
           AND(ISNUMBER(--_xlpm.a),LEN(_xlpm.a)=2),_xlpm.a,""
          )
       )
    )</f>
        <v/>
      </c>
      <c r="E412" t="str">
        <f>TRIM(_xlfn.TEXTBEFORE(Employee_dataset[[#This Row],[Department_Region]],"-"))</f>
        <v>HR</v>
      </c>
      <c r="F412" t="str">
        <f>TRIM(_xlfn.TEXTAFTER(Employee_dataset[[#This Row],[Department_Region]],"-"))</f>
        <v>Nevada</v>
      </c>
      <c r="G412" t="str">
        <f>TRIM(Employee_dataset[[#This Row],[Status]])</f>
        <v>Pending</v>
      </c>
      <c r="H412" s="1">
        <f>_xlfn.LET(
     _xlpm.d, Employee_dataset[[#This Row],[Join_Date]],
     IF(
        ISNUMBER(_xlpm.d),_xlpm.d,""
       )
    )</f>
        <v>44857</v>
      </c>
      <c r="I412" s="6">
        <f>_xlfn.LET(
     _xlpm.s, TRIM(Employee_dataset[[#This Row],[Salary]]),
     IF(
        UPPER(_xlpm.s)="N/A","",
        IF(
           ISNUMBER(--_xlpm.s),ROUND(_xlfn.NUMBERVALUE(_xlpm.s),2),""
          )
       )
    )</f>
        <v>103697.7</v>
      </c>
      <c r="J412" t="str">
        <f>TRIM(Employee_dataset[[#This Row],[Email]])</f>
        <v>grace.williams@example.com</v>
      </c>
      <c r="K412" t="str">
        <f>_xlfn.LET(
     _xlpm.p,TRIM(SUBSTITUTE(Employee_dataset[[#This Row],[Phone]],"-","")),
     IF(
        LEN(_xlpm.p)=10,_xlfn.CONCAT("("&amp;LEFT(_xlpm.p,3)&amp;") "&amp;MID(_xlpm.p,4,3)&amp;"-"&amp;RIGHT(_xlpm.p,4),"")
       )
     )</f>
        <v>(455) 696-4429</v>
      </c>
      <c r="L412" t="str">
        <f>TRIM(Employee_dataset[[#This Row],[Performance_Score]])</f>
        <v>Excellent</v>
      </c>
      <c r="M412" t="str">
        <f>TRIM(Employee_dataset[[#This Row],[Remote_Work]])</f>
        <v>TRUE</v>
      </c>
    </row>
    <row r="413" spans="1:13" x14ac:dyDescent="0.3">
      <c r="A413" t="str">
        <f>TRIM(Employee_dataset[[#This Row],[Employee_ID]])</f>
        <v>EMP1411</v>
      </c>
      <c r="B413" t="str">
        <f>PROPER(TRIM(Employee_dataset[[#This Row],[First_Name]]))</f>
        <v>Grace</v>
      </c>
      <c r="C413" t="str">
        <f>PROPER(TRIM(Employee_dataset[[#This Row],[Last_Name]]))</f>
        <v>Garcia</v>
      </c>
      <c r="D413" s="6" t="str">
        <f>_xlfn.LET(
     _xlpm.a, TRIM(Employee_dataset[[#This Row],[Age]]),
     IF(
        _xlpm.a="","",
        IF(
           AND(ISNUMBER(--_xlpm.a),LEN(_xlpm.a)=2),_xlpm.a,""
          )
       )
    )</f>
        <v>25</v>
      </c>
      <c r="E413" t="str">
        <f>TRIM(_xlfn.TEXTBEFORE(Employee_dataset[[#This Row],[Department_Region]],"-"))</f>
        <v>DevOps</v>
      </c>
      <c r="F413" t="str">
        <f>TRIM(_xlfn.TEXTAFTER(Employee_dataset[[#This Row],[Department_Region]],"-"))</f>
        <v>Illinois</v>
      </c>
      <c r="G413" t="str">
        <f>TRIM(Employee_dataset[[#This Row],[Status]])</f>
        <v>Pending</v>
      </c>
      <c r="H413" s="1">
        <f>_xlfn.LET(
     _xlpm.d, Employee_dataset[[#This Row],[Join_Date]],
     IF(
        ISNUMBER(_xlpm.d),_xlpm.d,""
       )
    )</f>
        <v>45092</v>
      </c>
      <c r="I413" s="6">
        <f>_xlfn.LET(
     _xlpm.s, TRIM(Employee_dataset[[#This Row],[Salary]]),
     IF(
        UPPER(_xlpm.s)="N/A","",
        IF(
           ISNUMBER(--_xlpm.s),ROUND(_xlfn.NUMBERVALUE(_xlpm.s),2),""
          )
       )
    )</f>
        <v>60687.63</v>
      </c>
      <c r="J413" t="str">
        <f>TRIM(Employee_dataset[[#This Row],[Email]])</f>
        <v>grace.garcia@example.com</v>
      </c>
      <c r="K413" t="str">
        <f>_xlfn.LET(
     _xlpm.p,TRIM(SUBSTITUTE(Employee_dataset[[#This Row],[Phone]],"-","")),
     IF(
        LEN(_xlpm.p)=10,_xlfn.CONCAT("("&amp;LEFT(_xlpm.p,3)&amp;") "&amp;MID(_xlpm.p,4,3)&amp;"-"&amp;RIGHT(_xlpm.p,4),"")
       )
     )</f>
        <v>(985) 916-7953</v>
      </c>
      <c r="L413" t="str">
        <f>TRIM(Employee_dataset[[#This Row],[Performance_Score]])</f>
        <v>Excellent</v>
      </c>
      <c r="M413" t="str">
        <f>TRIM(Employee_dataset[[#This Row],[Remote_Work]])</f>
        <v>FALSE</v>
      </c>
    </row>
    <row r="414" spans="1:13" x14ac:dyDescent="0.3">
      <c r="A414" t="str">
        <f>TRIM(Employee_dataset[[#This Row],[Employee_ID]])</f>
        <v>EMP1412</v>
      </c>
      <c r="B414" t="str">
        <f>PROPER(TRIM(Employee_dataset[[#This Row],[First_Name]]))</f>
        <v>Bob</v>
      </c>
      <c r="C414" t="str">
        <f>PROPER(TRIM(Employee_dataset[[#This Row],[Last_Name]]))</f>
        <v>Miller</v>
      </c>
      <c r="D414" s="6" t="str">
        <f>_xlfn.LET(
     _xlpm.a, TRIM(Employee_dataset[[#This Row],[Age]]),
     IF(
        _xlpm.a="","",
        IF(
           AND(ISNUMBER(--_xlpm.a),LEN(_xlpm.a)=2),_xlpm.a,""
          )
       )
    )</f>
        <v/>
      </c>
      <c r="E414" t="str">
        <f>TRIM(_xlfn.TEXTBEFORE(Employee_dataset[[#This Row],[Department_Region]],"-"))</f>
        <v>Admin</v>
      </c>
      <c r="F414" t="str">
        <f>TRIM(_xlfn.TEXTAFTER(Employee_dataset[[#This Row],[Department_Region]],"-"))</f>
        <v>New York</v>
      </c>
      <c r="G414" t="str">
        <f>TRIM(Employee_dataset[[#This Row],[Status]])</f>
        <v>Pending</v>
      </c>
      <c r="H414" s="1">
        <f>_xlfn.LET(
     _xlpm.d, Employee_dataset[[#This Row],[Join_Date]],
     IF(
        ISNUMBER(_xlpm.d),_xlpm.d,""
       )
    )</f>
        <v>44500</v>
      </c>
      <c r="I414" s="6">
        <f>_xlfn.LET(
     _xlpm.s, TRIM(Employee_dataset[[#This Row],[Salary]]),
     IF(
        UPPER(_xlpm.s)="N/A","",
        IF(
           ISNUMBER(--_xlpm.s),ROUND(_xlfn.NUMBERVALUE(_xlpm.s),2),""
          )
       )
    )</f>
        <v>77351.210000000006</v>
      </c>
      <c r="J414" t="str">
        <f>TRIM(Employee_dataset[[#This Row],[Email]])</f>
        <v>bob.miller@example.com</v>
      </c>
      <c r="K414" t="str">
        <f>_xlfn.LET(
     _xlpm.p,TRIM(SUBSTITUTE(Employee_dataset[[#This Row],[Phone]],"-","")),
     IF(
        LEN(_xlpm.p)=10,_xlfn.CONCAT("("&amp;LEFT(_xlpm.p,3)&amp;") "&amp;MID(_xlpm.p,4,3)&amp;"-"&amp;RIGHT(_xlpm.p,4),"")
       )
     )</f>
        <v>(107) 272-8497</v>
      </c>
      <c r="L414" t="str">
        <f>TRIM(Employee_dataset[[#This Row],[Performance_Score]])</f>
        <v>Good</v>
      </c>
      <c r="M414" t="str">
        <f>TRIM(Employee_dataset[[#This Row],[Remote_Work]])</f>
        <v>FALSE</v>
      </c>
    </row>
    <row r="415" spans="1:13" x14ac:dyDescent="0.3">
      <c r="A415" t="str">
        <f>TRIM(Employee_dataset[[#This Row],[Employee_ID]])</f>
        <v>EMP1413</v>
      </c>
      <c r="B415" t="str">
        <f>PROPER(TRIM(Employee_dataset[[#This Row],[First_Name]]))</f>
        <v>Bob</v>
      </c>
      <c r="C415" t="str">
        <f>PROPER(TRIM(Employee_dataset[[#This Row],[Last_Name]]))</f>
        <v>Smith</v>
      </c>
      <c r="D415" s="6" t="str">
        <f>_xlfn.LET(
     _xlpm.a, TRIM(Employee_dataset[[#This Row],[Age]]),
     IF(
        _xlpm.a="","",
        IF(
           AND(ISNUMBER(--_xlpm.a),LEN(_xlpm.a)=2),_xlpm.a,""
          )
       )
    )</f>
        <v>35</v>
      </c>
      <c r="E415" t="str">
        <f>TRIM(_xlfn.TEXTBEFORE(Employee_dataset[[#This Row],[Department_Region]],"-"))</f>
        <v>DevOps</v>
      </c>
      <c r="F415" t="str">
        <f>TRIM(_xlfn.TEXTAFTER(Employee_dataset[[#This Row],[Department_Region]],"-"))</f>
        <v>Florida</v>
      </c>
      <c r="G415" t="str">
        <f>TRIM(Employee_dataset[[#This Row],[Status]])</f>
        <v>Pending</v>
      </c>
      <c r="H415" s="1">
        <f>_xlfn.LET(
     _xlpm.d, Employee_dataset[[#This Row],[Join_Date]],
     IF(
        ISNUMBER(_xlpm.d),_xlpm.d,""
       )
    )</f>
        <v>45564</v>
      </c>
      <c r="I415" s="6">
        <f>_xlfn.LET(
     _xlpm.s, TRIM(Employee_dataset[[#This Row],[Salary]]),
     IF(
        UPPER(_xlpm.s)="N/A","",
        IF(
           ISNUMBER(--_xlpm.s),ROUND(_xlfn.NUMBERVALUE(_xlpm.s),2),""
          )
       )
    )</f>
        <v>66704.62</v>
      </c>
      <c r="J415" t="str">
        <f>TRIM(Employee_dataset[[#This Row],[Email]])</f>
        <v>bob.smith@example.com</v>
      </c>
      <c r="K415" t="str">
        <f>_xlfn.LET(
     _xlpm.p,TRIM(SUBSTITUTE(Employee_dataset[[#This Row],[Phone]],"-","")),
     IF(
        LEN(_xlpm.p)=10,_xlfn.CONCAT("("&amp;LEFT(_xlpm.p,3)&amp;") "&amp;MID(_xlpm.p,4,3)&amp;"-"&amp;RIGHT(_xlpm.p,4),"")
       )
     )</f>
        <v>(247) 414-0702</v>
      </c>
      <c r="L415" t="str">
        <f>TRIM(Employee_dataset[[#This Row],[Performance_Score]])</f>
        <v>Poor</v>
      </c>
      <c r="M415" t="str">
        <f>TRIM(Employee_dataset[[#This Row],[Remote_Work]])</f>
        <v>TRUE</v>
      </c>
    </row>
    <row r="416" spans="1:13" x14ac:dyDescent="0.3">
      <c r="A416" t="str">
        <f>TRIM(Employee_dataset[[#This Row],[Employee_ID]])</f>
        <v>EMP1414</v>
      </c>
      <c r="B416" t="str">
        <f>PROPER(TRIM(Employee_dataset[[#This Row],[First_Name]]))</f>
        <v>Grace</v>
      </c>
      <c r="C416" t="str">
        <f>PROPER(TRIM(Employee_dataset[[#This Row],[Last_Name]]))</f>
        <v>Williams</v>
      </c>
      <c r="D416" s="6" t="str">
        <f>_xlfn.LET(
     _xlpm.a, TRIM(Employee_dataset[[#This Row],[Age]]),
     IF(
        _xlpm.a="","",
        IF(
           AND(ISNUMBER(--_xlpm.a),LEN(_xlpm.a)=2),_xlpm.a,""
          )
       )
    )</f>
        <v>25</v>
      </c>
      <c r="E416" t="str">
        <f>TRIM(_xlfn.TEXTBEFORE(Employee_dataset[[#This Row],[Department_Region]],"-"))</f>
        <v>Finance</v>
      </c>
      <c r="F416" t="str">
        <f>TRIM(_xlfn.TEXTAFTER(Employee_dataset[[#This Row],[Department_Region]],"-"))</f>
        <v>Illinois</v>
      </c>
      <c r="G416" t="str">
        <f>TRIM(Employee_dataset[[#This Row],[Status]])</f>
        <v>Pending</v>
      </c>
      <c r="H416" s="1">
        <f>_xlfn.LET(
     _xlpm.d, Employee_dataset[[#This Row],[Join_Date]],
     IF(
        ISNUMBER(_xlpm.d),_xlpm.d,""
       )
    )</f>
        <v>43943</v>
      </c>
      <c r="I416" s="6">
        <f>_xlfn.LET(
     _xlpm.s, TRIM(Employee_dataset[[#This Row],[Salary]]),
     IF(
        UPPER(_xlpm.s)="N/A","",
        IF(
           ISNUMBER(--_xlpm.s),ROUND(_xlfn.NUMBERVALUE(_xlpm.s),2),""
          )
       )
    )</f>
        <v>71650.3</v>
      </c>
      <c r="J416" t="str">
        <f>TRIM(Employee_dataset[[#This Row],[Email]])</f>
        <v>grace.williams@example.com</v>
      </c>
      <c r="K416" t="str">
        <f>_xlfn.LET(
     _xlpm.p,TRIM(SUBSTITUTE(Employee_dataset[[#This Row],[Phone]],"-","")),
     IF(
        LEN(_xlpm.p)=10,_xlfn.CONCAT("("&amp;LEFT(_xlpm.p,3)&amp;") "&amp;MID(_xlpm.p,4,3)&amp;"-"&amp;RIGHT(_xlpm.p,4),"")
       )
     )</f>
        <v>(491) 074-0649</v>
      </c>
      <c r="L416" t="str">
        <f>TRIM(Employee_dataset[[#This Row],[Performance_Score]])</f>
        <v>Poor</v>
      </c>
      <c r="M416" t="str">
        <f>TRIM(Employee_dataset[[#This Row],[Remote_Work]])</f>
        <v>TRUE</v>
      </c>
    </row>
    <row r="417" spans="1:13" x14ac:dyDescent="0.3">
      <c r="A417" t="str">
        <f>TRIM(Employee_dataset[[#This Row],[Employee_ID]])</f>
        <v>EMP1415</v>
      </c>
      <c r="B417" t="str">
        <f>PROPER(TRIM(Employee_dataset[[#This Row],[First_Name]]))</f>
        <v>Charlie</v>
      </c>
      <c r="C417" t="str">
        <f>PROPER(TRIM(Employee_dataset[[#This Row],[Last_Name]]))</f>
        <v>Smith</v>
      </c>
      <c r="D417" s="6" t="str">
        <f>_xlfn.LET(
     _xlpm.a, TRIM(Employee_dataset[[#This Row],[Age]]),
     IF(
        _xlpm.a="","",
        IF(
           AND(ISNUMBER(--_xlpm.a),LEN(_xlpm.a)=2),_xlpm.a,""
          )
       )
    )</f>
        <v>25</v>
      </c>
      <c r="E417" t="str">
        <f>TRIM(_xlfn.TEXTBEFORE(Employee_dataset[[#This Row],[Department_Region]],"-"))</f>
        <v>Cloud Tech</v>
      </c>
      <c r="F417" t="str">
        <f>TRIM(_xlfn.TEXTAFTER(Employee_dataset[[#This Row],[Department_Region]],"-"))</f>
        <v>Nevada</v>
      </c>
      <c r="G417" t="str">
        <f>TRIM(Employee_dataset[[#This Row],[Status]])</f>
        <v>Active</v>
      </c>
      <c r="H417" s="1">
        <f>_xlfn.LET(
     _xlpm.d, Employee_dataset[[#This Row],[Join_Date]],
     IF(
        ISNUMBER(_xlpm.d),_xlpm.d,""
       )
    )</f>
        <v>45267</v>
      </c>
      <c r="I417" s="6">
        <f>_xlfn.LET(
     _xlpm.s, TRIM(Employee_dataset[[#This Row],[Salary]]),
     IF(
        UPPER(_xlpm.s)="N/A","",
        IF(
           ISNUMBER(--_xlpm.s),ROUND(_xlfn.NUMBERVALUE(_xlpm.s),2),""
          )
       )
    )</f>
        <v>50794.54</v>
      </c>
      <c r="J417" t="str">
        <f>TRIM(Employee_dataset[[#This Row],[Email]])</f>
        <v>charlie.smith@example.com</v>
      </c>
      <c r="K417" t="b">
        <f>_xlfn.LET(
     _xlpm.p,TRIM(SUBSTITUTE(Employee_dataset[[#This Row],[Phone]],"-","")),
     IF(
        LEN(_xlpm.p)=10,_xlfn.CONCAT("("&amp;LEFT(_xlpm.p,3)&amp;") "&amp;MID(_xlpm.p,4,3)&amp;"-"&amp;RIGHT(_xlpm.p,4),"")
       )
     )</f>
        <v>0</v>
      </c>
      <c r="L417" t="str">
        <f>TRIM(Employee_dataset[[#This Row],[Performance_Score]])</f>
        <v>Good</v>
      </c>
      <c r="M417" t="str">
        <f>TRIM(Employee_dataset[[#This Row],[Remote_Work]])</f>
        <v>TRUE</v>
      </c>
    </row>
    <row r="418" spans="1:13" x14ac:dyDescent="0.3">
      <c r="A418" t="str">
        <f>TRIM(Employee_dataset[[#This Row],[Employee_ID]])</f>
        <v>EMP1416</v>
      </c>
      <c r="B418" t="str">
        <f>PROPER(TRIM(Employee_dataset[[#This Row],[First_Name]]))</f>
        <v>Frank</v>
      </c>
      <c r="C418" t="str">
        <f>PROPER(TRIM(Employee_dataset[[#This Row],[Last_Name]]))</f>
        <v>Jones</v>
      </c>
      <c r="D418" s="6" t="str">
        <f>_xlfn.LET(
     _xlpm.a, TRIM(Employee_dataset[[#This Row],[Age]]),
     IF(
        _xlpm.a="","",
        IF(
           AND(ISNUMBER(--_xlpm.a),LEN(_xlpm.a)=2),_xlpm.a,""
          )
       )
    )</f>
        <v/>
      </c>
      <c r="E418" t="str">
        <f>TRIM(_xlfn.TEXTBEFORE(Employee_dataset[[#This Row],[Department_Region]],"-"))</f>
        <v>Sales</v>
      </c>
      <c r="F418" t="str">
        <f>TRIM(_xlfn.TEXTAFTER(Employee_dataset[[#This Row],[Department_Region]],"-"))</f>
        <v>Nevada</v>
      </c>
      <c r="G418" t="str">
        <f>TRIM(Employee_dataset[[#This Row],[Status]])</f>
        <v>Inactive</v>
      </c>
      <c r="H418" s="1">
        <f>_xlfn.LET(
     _xlpm.d, Employee_dataset[[#This Row],[Join_Date]],
     IF(
        ISNUMBER(_xlpm.d),_xlpm.d,""
       )
    )</f>
        <v>44172</v>
      </c>
      <c r="I418" s="6">
        <f>_xlfn.LET(
     _xlpm.s, TRIM(Employee_dataset[[#This Row],[Salary]]),
     IF(
        UPPER(_xlpm.s)="N/A","",
        IF(
           ISNUMBER(--_xlpm.s),ROUND(_xlfn.NUMBERVALUE(_xlpm.s),2),""
          )
       )
    )</f>
        <v>76030.86</v>
      </c>
      <c r="J418" t="str">
        <f>TRIM(Employee_dataset[[#This Row],[Email]])</f>
        <v>frank.jones@example.com</v>
      </c>
      <c r="K418" t="str">
        <f>_xlfn.LET(
     _xlpm.p,TRIM(SUBSTITUTE(Employee_dataset[[#This Row],[Phone]],"-","")),
     IF(
        LEN(_xlpm.p)=10,_xlfn.CONCAT("("&amp;LEFT(_xlpm.p,3)&amp;") "&amp;MID(_xlpm.p,4,3)&amp;"-"&amp;RIGHT(_xlpm.p,4),"")
       )
     )</f>
        <v>(236) 914-3074</v>
      </c>
      <c r="L418" t="str">
        <f>TRIM(Employee_dataset[[#This Row],[Performance_Score]])</f>
        <v>Good</v>
      </c>
      <c r="M418" t="str">
        <f>TRIM(Employee_dataset[[#This Row],[Remote_Work]])</f>
        <v>TRUE</v>
      </c>
    </row>
    <row r="419" spans="1:13" x14ac:dyDescent="0.3">
      <c r="A419" t="str">
        <f>TRIM(Employee_dataset[[#This Row],[Employee_ID]])</f>
        <v>EMP1417</v>
      </c>
      <c r="B419" t="str">
        <f>PROPER(TRIM(Employee_dataset[[#This Row],[First_Name]]))</f>
        <v>Eva</v>
      </c>
      <c r="C419" t="str">
        <f>PROPER(TRIM(Employee_dataset[[#This Row],[Last_Name]]))</f>
        <v>Johnson</v>
      </c>
      <c r="D419" s="6" t="str">
        <f>_xlfn.LET(
     _xlpm.a, TRIM(Employee_dataset[[#This Row],[Age]]),
     IF(
        _xlpm.a="","",
        IF(
           AND(ISNUMBER(--_xlpm.a),LEN(_xlpm.a)=2),_xlpm.a,""
          )
       )
    )</f>
        <v>25</v>
      </c>
      <c r="E419" t="str">
        <f>TRIM(_xlfn.TEXTBEFORE(Employee_dataset[[#This Row],[Department_Region]],"-"))</f>
        <v>Cloud Tech</v>
      </c>
      <c r="F419" t="str">
        <f>TRIM(_xlfn.TEXTAFTER(Employee_dataset[[#This Row],[Department_Region]],"-"))</f>
        <v>California</v>
      </c>
      <c r="G419" t="str">
        <f>TRIM(Employee_dataset[[#This Row],[Status]])</f>
        <v>Inactive</v>
      </c>
      <c r="H419" s="1">
        <f>_xlfn.LET(
     _xlpm.d, Employee_dataset[[#This Row],[Join_Date]],
     IF(
        ISNUMBER(_xlpm.d),_xlpm.d,""
       )
    )</f>
        <v>44388</v>
      </c>
      <c r="I419" s="6">
        <f>_xlfn.LET(
     _xlpm.s, TRIM(Employee_dataset[[#This Row],[Salary]]),
     IF(
        UPPER(_xlpm.s)="N/A","",
        IF(
           ISNUMBER(--_xlpm.s),ROUND(_xlfn.NUMBERVALUE(_xlpm.s),2),""
          )
       )
    )</f>
        <v>86669.79</v>
      </c>
      <c r="J419" t="str">
        <f>TRIM(Employee_dataset[[#This Row],[Email]])</f>
        <v>eva.johnson@example.com</v>
      </c>
      <c r="K419" t="str">
        <f>_xlfn.LET(
     _xlpm.p,TRIM(SUBSTITUTE(Employee_dataset[[#This Row],[Phone]],"-","")),
     IF(
        LEN(_xlpm.p)=10,_xlfn.CONCAT("("&amp;LEFT(_xlpm.p,3)&amp;") "&amp;MID(_xlpm.p,4,3)&amp;"-"&amp;RIGHT(_xlpm.p,4),"")
       )
     )</f>
        <v>(366) 614-4941</v>
      </c>
      <c r="L419" t="str">
        <f>TRIM(Employee_dataset[[#This Row],[Performance_Score]])</f>
        <v>Excellent</v>
      </c>
      <c r="M419" t="str">
        <f>TRIM(Employee_dataset[[#This Row],[Remote_Work]])</f>
        <v>TRUE</v>
      </c>
    </row>
    <row r="420" spans="1:13" x14ac:dyDescent="0.3">
      <c r="A420" t="str">
        <f>TRIM(Employee_dataset[[#This Row],[Employee_ID]])</f>
        <v>EMP1418</v>
      </c>
      <c r="B420" t="str">
        <f>PROPER(TRIM(Employee_dataset[[#This Row],[First_Name]]))</f>
        <v>Bob</v>
      </c>
      <c r="C420" t="str">
        <f>PROPER(TRIM(Employee_dataset[[#This Row],[Last_Name]]))</f>
        <v>Garcia</v>
      </c>
      <c r="D420" s="6" t="str">
        <f>_xlfn.LET(
     _xlpm.a, TRIM(Employee_dataset[[#This Row],[Age]]),
     IF(
        _xlpm.a="","",
        IF(
           AND(ISNUMBER(--_xlpm.a),LEN(_xlpm.a)=2),_xlpm.a,""
          )
       )
    )</f>
        <v>40</v>
      </c>
      <c r="E420" t="str">
        <f>TRIM(_xlfn.TEXTBEFORE(Employee_dataset[[#This Row],[Department_Region]],"-"))</f>
        <v>Finance</v>
      </c>
      <c r="F420" t="str">
        <f>TRIM(_xlfn.TEXTAFTER(Employee_dataset[[#This Row],[Department_Region]],"-"))</f>
        <v>Illinois</v>
      </c>
      <c r="G420" t="str">
        <f>TRIM(Employee_dataset[[#This Row],[Status]])</f>
        <v>Inactive</v>
      </c>
      <c r="H420" s="1">
        <f>_xlfn.LET(
     _xlpm.d, Employee_dataset[[#This Row],[Join_Date]],
     IF(
        ISNUMBER(_xlpm.d),_xlpm.d,""
       )
    )</f>
        <v>43944</v>
      </c>
      <c r="I420" s="6">
        <f>_xlfn.LET(
     _xlpm.s, TRIM(Employee_dataset[[#This Row],[Salary]]),
     IF(
        UPPER(_xlpm.s)="N/A","",
        IF(
           ISNUMBER(--_xlpm.s),ROUND(_xlfn.NUMBERVALUE(_xlpm.s),2),""
          )
       )
    )</f>
        <v>84972.7</v>
      </c>
      <c r="J420" t="str">
        <f>TRIM(Employee_dataset[[#This Row],[Email]])</f>
        <v>bob.garcia@example.com</v>
      </c>
      <c r="K420" t="str">
        <f>_xlfn.LET(
     _xlpm.p,TRIM(SUBSTITUTE(Employee_dataset[[#This Row],[Phone]],"-","")),
     IF(
        LEN(_xlpm.p)=10,_xlfn.CONCAT("("&amp;LEFT(_xlpm.p,3)&amp;") "&amp;MID(_xlpm.p,4,3)&amp;"-"&amp;RIGHT(_xlpm.p,4),"")
       )
     )</f>
        <v>(965) 923-4267</v>
      </c>
      <c r="L420" t="str">
        <f>TRIM(Employee_dataset[[#This Row],[Performance_Score]])</f>
        <v>Poor</v>
      </c>
      <c r="M420" t="str">
        <f>TRIM(Employee_dataset[[#This Row],[Remote_Work]])</f>
        <v>TRUE</v>
      </c>
    </row>
    <row r="421" spans="1:13" x14ac:dyDescent="0.3">
      <c r="A421" t="str">
        <f>TRIM(Employee_dataset[[#This Row],[Employee_ID]])</f>
        <v>EMP1419</v>
      </c>
      <c r="B421" t="str">
        <f>PROPER(TRIM(Employee_dataset[[#This Row],[First_Name]]))</f>
        <v>Frank</v>
      </c>
      <c r="C421" t="str">
        <f>PROPER(TRIM(Employee_dataset[[#This Row],[Last_Name]]))</f>
        <v>Miller</v>
      </c>
      <c r="D421" s="6" t="str">
        <f>_xlfn.LET(
     _xlpm.a, TRIM(Employee_dataset[[#This Row],[Age]]),
     IF(
        _xlpm.a="","",
        IF(
           AND(ISNUMBER(--_xlpm.a),LEN(_xlpm.a)=2),_xlpm.a,""
          )
       )
    )</f>
        <v>30</v>
      </c>
      <c r="E421" t="str">
        <f>TRIM(_xlfn.TEXTBEFORE(Employee_dataset[[#This Row],[Department_Region]],"-"))</f>
        <v>HR</v>
      </c>
      <c r="F421" t="str">
        <f>TRIM(_xlfn.TEXTAFTER(Employee_dataset[[#This Row],[Department_Region]],"-"))</f>
        <v>Texas</v>
      </c>
      <c r="G421" t="str">
        <f>TRIM(Employee_dataset[[#This Row],[Status]])</f>
        <v>Pending</v>
      </c>
      <c r="H421" s="1">
        <f>_xlfn.LET(
     _xlpm.d, Employee_dataset[[#This Row],[Join_Date]],
     IF(
        ISNUMBER(_xlpm.d),_xlpm.d,""
       )
    )</f>
        <v>45211</v>
      </c>
      <c r="I421" s="6">
        <f>_xlfn.LET(
     _xlpm.s, TRIM(Employee_dataset[[#This Row],[Salary]]),
     IF(
        UPPER(_xlpm.s)="N/A","",
        IF(
           ISNUMBER(--_xlpm.s),ROUND(_xlfn.NUMBERVALUE(_xlpm.s),2),""
          )
       )
    )</f>
        <v>100594.49</v>
      </c>
      <c r="J421" t="str">
        <f>TRIM(Employee_dataset[[#This Row],[Email]])</f>
        <v>frank.miller@example.com</v>
      </c>
      <c r="K421" t="str">
        <f>_xlfn.LET(
     _xlpm.p,TRIM(SUBSTITUTE(Employee_dataset[[#This Row],[Phone]],"-","")),
     IF(
        LEN(_xlpm.p)=10,_xlfn.CONCAT("("&amp;LEFT(_xlpm.p,3)&amp;") "&amp;MID(_xlpm.p,4,3)&amp;"-"&amp;RIGHT(_xlpm.p,4),"")
       )
     )</f>
        <v>(344) 149-7825</v>
      </c>
      <c r="L421" t="str">
        <f>TRIM(Employee_dataset[[#This Row],[Performance_Score]])</f>
        <v>Average</v>
      </c>
      <c r="M421" t="str">
        <f>TRIM(Employee_dataset[[#This Row],[Remote_Work]])</f>
        <v>FALSE</v>
      </c>
    </row>
    <row r="422" spans="1:13" x14ac:dyDescent="0.3">
      <c r="A422" t="str">
        <f>TRIM(Employee_dataset[[#This Row],[Employee_ID]])</f>
        <v>EMP1420</v>
      </c>
      <c r="B422" t="str">
        <f>PROPER(TRIM(Employee_dataset[[#This Row],[First_Name]]))</f>
        <v>Alice</v>
      </c>
      <c r="C422" t="str">
        <f>PROPER(TRIM(Employee_dataset[[#This Row],[Last_Name]]))</f>
        <v>Johnson</v>
      </c>
      <c r="D422" s="6" t="str">
        <f>_xlfn.LET(
     _xlpm.a, TRIM(Employee_dataset[[#This Row],[Age]]),
     IF(
        _xlpm.a="","",
        IF(
           AND(ISNUMBER(--_xlpm.a),LEN(_xlpm.a)=2),_xlpm.a,""
          )
       )
    )</f>
        <v>25</v>
      </c>
      <c r="E422" t="str">
        <f>TRIM(_xlfn.TEXTBEFORE(Employee_dataset[[#This Row],[Department_Region]],"-"))</f>
        <v>Cloud Tech</v>
      </c>
      <c r="F422" t="str">
        <f>TRIM(_xlfn.TEXTAFTER(Employee_dataset[[#This Row],[Department_Region]],"-"))</f>
        <v>New York</v>
      </c>
      <c r="G422" t="str">
        <f>TRIM(Employee_dataset[[#This Row],[Status]])</f>
        <v>Active</v>
      </c>
      <c r="H422" s="1">
        <f>_xlfn.LET(
     _xlpm.d, Employee_dataset[[#This Row],[Join_Date]],
     IF(
        ISNUMBER(_xlpm.d),_xlpm.d,""
       )
    )</f>
        <v>44797</v>
      </c>
      <c r="I422" s="6">
        <f>_xlfn.LET(
     _xlpm.s, TRIM(Employee_dataset[[#This Row],[Salary]]),
     IF(
        UPPER(_xlpm.s)="N/A","",
        IF(
           ISNUMBER(--_xlpm.s),ROUND(_xlfn.NUMBERVALUE(_xlpm.s),2),""
          )
       )
    )</f>
        <v>75478.350000000006</v>
      </c>
      <c r="J422" t="str">
        <f>TRIM(Employee_dataset[[#This Row],[Email]])</f>
        <v>alice.johnson@example.com</v>
      </c>
      <c r="K422" t="str">
        <f>_xlfn.LET(
     _xlpm.p,TRIM(SUBSTITUTE(Employee_dataset[[#This Row],[Phone]],"-","")),
     IF(
        LEN(_xlpm.p)=10,_xlfn.CONCAT("("&amp;LEFT(_xlpm.p,3)&amp;") "&amp;MID(_xlpm.p,4,3)&amp;"-"&amp;RIGHT(_xlpm.p,4),"")
       )
     )</f>
        <v>(612) 875-8574</v>
      </c>
      <c r="L422" t="str">
        <f>TRIM(Employee_dataset[[#This Row],[Performance_Score]])</f>
        <v>Excellent</v>
      </c>
      <c r="M422" t="str">
        <f>TRIM(Employee_dataset[[#This Row],[Remote_Work]])</f>
        <v>FALSE</v>
      </c>
    </row>
    <row r="423" spans="1:13" x14ac:dyDescent="0.3">
      <c r="A423" t="str">
        <f>TRIM(Employee_dataset[[#This Row],[Employee_ID]])</f>
        <v>EMP1421</v>
      </c>
      <c r="B423" t="str">
        <f>PROPER(TRIM(Employee_dataset[[#This Row],[First_Name]]))</f>
        <v>Charlie</v>
      </c>
      <c r="C423" t="str">
        <f>PROPER(TRIM(Employee_dataset[[#This Row],[Last_Name]]))</f>
        <v>Johnson</v>
      </c>
      <c r="D423" s="6" t="str">
        <f>_xlfn.LET(
     _xlpm.a, TRIM(Employee_dataset[[#This Row],[Age]]),
     IF(
        _xlpm.a="","",
        IF(
           AND(ISNUMBER(--_xlpm.a),LEN(_xlpm.a)=2),_xlpm.a,""
          )
       )
    )</f>
        <v>25</v>
      </c>
      <c r="E423" t="str">
        <f>TRIM(_xlfn.TEXTBEFORE(Employee_dataset[[#This Row],[Department_Region]],"-"))</f>
        <v>Sales</v>
      </c>
      <c r="F423" t="str">
        <f>TRIM(_xlfn.TEXTAFTER(Employee_dataset[[#This Row],[Department_Region]],"-"))</f>
        <v>Nevada</v>
      </c>
      <c r="G423" t="str">
        <f>TRIM(Employee_dataset[[#This Row],[Status]])</f>
        <v>Pending</v>
      </c>
      <c r="H423" s="1">
        <f>_xlfn.LET(
     _xlpm.d, Employee_dataset[[#This Row],[Join_Date]],
     IF(
        ISNUMBER(_xlpm.d),_xlpm.d,""
       )
    )</f>
        <v>45173</v>
      </c>
      <c r="I423" s="6">
        <f>_xlfn.LET(
     _xlpm.s, TRIM(Employee_dataset[[#This Row],[Salary]]),
     IF(
        UPPER(_xlpm.s)="N/A","",
        IF(
           ISNUMBER(--_xlpm.s),ROUND(_xlfn.NUMBERVALUE(_xlpm.s),2),""
          )
       )
    )</f>
        <v>79355.850000000006</v>
      </c>
      <c r="J423" t="str">
        <f>TRIM(Employee_dataset[[#This Row],[Email]])</f>
        <v>charlie.johnson@example.com</v>
      </c>
      <c r="K423" t="str">
        <f>_xlfn.LET(
     _xlpm.p,TRIM(SUBSTITUTE(Employee_dataset[[#This Row],[Phone]],"-","")),
     IF(
        LEN(_xlpm.p)=10,_xlfn.CONCAT("("&amp;LEFT(_xlpm.p,3)&amp;") "&amp;MID(_xlpm.p,4,3)&amp;"-"&amp;RIGHT(_xlpm.p,4),"")
       )
     )</f>
        <v>(676) 670-8060</v>
      </c>
      <c r="L423" t="str">
        <f>TRIM(Employee_dataset[[#This Row],[Performance_Score]])</f>
        <v>Good</v>
      </c>
      <c r="M423" t="str">
        <f>TRIM(Employee_dataset[[#This Row],[Remote_Work]])</f>
        <v>FALSE</v>
      </c>
    </row>
    <row r="424" spans="1:13" x14ac:dyDescent="0.3">
      <c r="A424" t="str">
        <f>TRIM(Employee_dataset[[#This Row],[Employee_ID]])</f>
        <v>EMP1422</v>
      </c>
      <c r="B424" t="str">
        <f>PROPER(TRIM(Employee_dataset[[#This Row],[First_Name]]))</f>
        <v>Grace</v>
      </c>
      <c r="C424" t="str">
        <f>PROPER(TRIM(Employee_dataset[[#This Row],[Last_Name]]))</f>
        <v>Miller</v>
      </c>
      <c r="D424" s="6" t="str">
        <f>_xlfn.LET(
     _xlpm.a, TRIM(Employee_dataset[[#This Row],[Age]]),
     IF(
        _xlpm.a="","",
        IF(
           AND(ISNUMBER(--_xlpm.a),LEN(_xlpm.a)=2),_xlpm.a,""
          )
       )
    )</f>
        <v>35</v>
      </c>
      <c r="E424" t="str">
        <f>TRIM(_xlfn.TEXTBEFORE(Employee_dataset[[#This Row],[Department_Region]],"-"))</f>
        <v>HR</v>
      </c>
      <c r="F424" t="str">
        <f>TRIM(_xlfn.TEXTAFTER(Employee_dataset[[#This Row],[Department_Region]],"-"))</f>
        <v>Texas</v>
      </c>
      <c r="G424" t="str">
        <f>TRIM(Employee_dataset[[#This Row],[Status]])</f>
        <v>Pending</v>
      </c>
      <c r="H424" s="1">
        <f>_xlfn.LET(
     _xlpm.d, Employee_dataset[[#This Row],[Join_Date]],
     IF(
        ISNUMBER(_xlpm.d),_xlpm.d,""
       )
    )</f>
        <v>44594</v>
      </c>
      <c r="I424" s="6">
        <f>_xlfn.LET(
     _xlpm.s, TRIM(Employee_dataset[[#This Row],[Salary]]),
     IF(
        UPPER(_xlpm.s)="N/A","",
        IF(
           ISNUMBER(--_xlpm.s),ROUND(_xlfn.NUMBERVALUE(_xlpm.s),2),""
          )
       )
    )</f>
        <v>58358.07</v>
      </c>
      <c r="J424" t="str">
        <f>TRIM(Employee_dataset[[#This Row],[Email]])</f>
        <v>grace.miller@example.com</v>
      </c>
      <c r="K424" t="str">
        <f>_xlfn.LET(
     _xlpm.p,TRIM(SUBSTITUTE(Employee_dataset[[#This Row],[Phone]],"-","")),
     IF(
        LEN(_xlpm.p)=10,_xlfn.CONCAT("("&amp;LEFT(_xlpm.p,3)&amp;") "&amp;MID(_xlpm.p,4,3)&amp;"-"&amp;RIGHT(_xlpm.p,4),"")
       )
     )</f>
        <v>(294) 398-5297</v>
      </c>
      <c r="L424" t="str">
        <f>TRIM(Employee_dataset[[#This Row],[Performance_Score]])</f>
        <v>Poor</v>
      </c>
      <c r="M424" t="str">
        <f>TRIM(Employee_dataset[[#This Row],[Remote_Work]])</f>
        <v>TRUE</v>
      </c>
    </row>
    <row r="425" spans="1:13" x14ac:dyDescent="0.3">
      <c r="A425" t="str">
        <f>TRIM(Employee_dataset[[#This Row],[Employee_ID]])</f>
        <v>EMP1423</v>
      </c>
      <c r="B425" t="str">
        <f>PROPER(TRIM(Employee_dataset[[#This Row],[First_Name]]))</f>
        <v>Alice</v>
      </c>
      <c r="C425" t="str">
        <f>PROPER(TRIM(Employee_dataset[[#This Row],[Last_Name]]))</f>
        <v>Williams</v>
      </c>
      <c r="D425" s="6" t="str">
        <f>_xlfn.LET(
     _xlpm.a, TRIM(Employee_dataset[[#This Row],[Age]]),
     IF(
        _xlpm.a="","",
        IF(
           AND(ISNUMBER(--_xlpm.a),LEN(_xlpm.a)=2),_xlpm.a,""
          )
       )
    )</f>
        <v>30</v>
      </c>
      <c r="E425" t="str">
        <f>TRIM(_xlfn.TEXTBEFORE(Employee_dataset[[#This Row],[Department_Region]],"-"))</f>
        <v>Admin</v>
      </c>
      <c r="F425" t="str">
        <f>TRIM(_xlfn.TEXTAFTER(Employee_dataset[[#This Row],[Department_Region]],"-"))</f>
        <v>Illinois</v>
      </c>
      <c r="G425" t="str">
        <f>TRIM(Employee_dataset[[#This Row],[Status]])</f>
        <v>Active</v>
      </c>
      <c r="H425" s="1">
        <f>_xlfn.LET(
     _xlpm.d, Employee_dataset[[#This Row],[Join_Date]],
     IF(
        ISNUMBER(_xlpm.d),_xlpm.d,""
       )
    )</f>
        <v>44652</v>
      </c>
      <c r="I425" s="6">
        <f>_xlfn.LET(
     _xlpm.s, TRIM(Employee_dataset[[#This Row],[Salary]]),
     IF(
        UPPER(_xlpm.s)="N/A","",
        IF(
           ISNUMBER(--_xlpm.s),ROUND(_xlfn.NUMBERVALUE(_xlpm.s),2),""
          )
       )
    )</f>
        <v>54824.85</v>
      </c>
      <c r="J425" t="str">
        <f>TRIM(Employee_dataset[[#This Row],[Email]])</f>
        <v>alice.williams@example.com</v>
      </c>
      <c r="K425" t="str">
        <f>_xlfn.LET(
     _xlpm.p,TRIM(SUBSTITUTE(Employee_dataset[[#This Row],[Phone]],"-","")),
     IF(
        LEN(_xlpm.p)=10,_xlfn.CONCAT("("&amp;LEFT(_xlpm.p,3)&amp;") "&amp;MID(_xlpm.p,4,3)&amp;"-"&amp;RIGHT(_xlpm.p,4),"")
       )
     )</f>
        <v>(940) 626-0786</v>
      </c>
      <c r="L425" t="str">
        <f>TRIM(Employee_dataset[[#This Row],[Performance_Score]])</f>
        <v>Average</v>
      </c>
      <c r="M425" t="str">
        <f>TRIM(Employee_dataset[[#This Row],[Remote_Work]])</f>
        <v>FALSE</v>
      </c>
    </row>
    <row r="426" spans="1:13" x14ac:dyDescent="0.3">
      <c r="A426" t="str">
        <f>TRIM(Employee_dataset[[#This Row],[Employee_ID]])</f>
        <v>EMP1424</v>
      </c>
      <c r="B426" t="str">
        <f>PROPER(TRIM(Employee_dataset[[#This Row],[First_Name]]))</f>
        <v>Eva</v>
      </c>
      <c r="C426" t="str">
        <f>PROPER(TRIM(Employee_dataset[[#This Row],[Last_Name]]))</f>
        <v>Garcia</v>
      </c>
      <c r="D426" s="6" t="str">
        <f>_xlfn.LET(
     _xlpm.a, TRIM(Employee_dataset[[#This Row],[Age]]),
     IF(
        _xlpm.a="","",
        IF(
           AND(ISNUMBER(--_xlpm.a),LEN(_xlpm.a)=2),_xlpm.a,""
          )
       )
    )</f>
        <v>35</v>
      </c>
      <c r="E426" t="str">
        <f>TRIM(_xlfn.TEXTBEFORE(Employee_dataset[[#This Row],[Department_Region]],"-"))</f>
        <v>HR</v>
      </c>
      <c r="F426" t="str">
        <f>TRIM(_xlfn.TEXTAFTER(Employee_dataset[[#This Row],[Department_Region]],"-"))</f>
        <v>Texas</v>
      </c>
      <c r="G426" t="str">
        <f>TRIM(Employee_dataset[[#This Row],[Status]])</f>
        <v>Pending</v>
      </c>
      <c r="H426" s="1">
        <f>_xlfn.LET(
     _xlpm.d, Employee_dataset[[#This Row],[Join_Date]],
     IF(
        ISNUMBER(_xlpm.d),_xlpm.d,""
       )
    )</f>
        <v>44766</v>
      </c>
      <c r="I426" s="6">
        <f>_xlfn.LET(
     _xlpm.s, TRIM(Employee_dataset[[#This Row],[Salary]]),
     IF(
        UPPER(_xlpm.s)="N/A","",
        IF(
           ISNUMBER(--_xlpm.s),ROUND(_xlfn.NUMBERVALUE(_xlpm.s),2),""
          )
       )
    )</f>
        <v>50557.84</v>
      </c>
      <c r="J426" t="str">
        <f>TRIM(Employee_dataset[[#This Row],[Email]])</f>
        <v>eva.garcia@example.com</v>
      </c>
      <c r="K426" t="b">
        <f>_xlfn.LET(
     _xlpm.p,TRIM(SUBSTITUTE(Employee_dataset[[#This Row],[Phone]],"-","")),
     IF(
        LEN(_xlpm.p)=10,_xlfn.CONCAT("("&amp;LEFT(_xlpm.p,3)&amp;") "&amp;MID(_xlpm.p,4,3)&amp;"-"&amp;RIGHT(_xlpm.p,4),"")
       )
     )</f>
        <v>0</v>
      </c>
      <c r="L426" t="str">
        <f>TRIM(Employee_dataset[[#This Row],[Performance_Score]])</f>
        <v>Average</v>
      </c>
      <c r="M426" t="str">
        <f>TRIM(Employee_dataset[[#This Row],[Remote_Work]])</f>
        <v>TRUE</v>
      </c>
    </row>
    <row r="427" spans="1:13" x14ac:dyDescent="0.3">
      <c r="A427" t="str">
        <f>TRIM(Employee_dataset[[#This Row],[Employee_ID]])</f>
        <v>EMP1425</v>
      </c>
      <c r="B427" t="str">
        <f>PROPER(TRIM(Employee_dataset[[#This Row],[First_Name]]))</f>
        <v>Eva</v>
      </c>
      <c r="C427" t="str">
        <f>PROPER(TRIM(Employee_dataset[[#This Row],[Last_Name]]))</f>
        <v>Jones</v>
      </c>
      <c r="D427" s="6" t="str">
        <f>_xlfn.LET(
     _xlpm.a, TRIM(Employee_dataset[[#This Row],[Age]]),
     IF(
        _xlpm.a="","",
        IF(
           AND(ISNUMBER(--_xlpm.a),LEN(_xlpm.a)=2),_xlpm.a,""
          )
       )
    )</f>
        <v/>
      </c>
      <c r="E427" t="str">
        <f>TRIM(_xlfn.TEXTBEFORE(Employee_dataset[[#This Row],[Department_Region]],"-"))</f>
        <v>Admin</v>
      </c>
      <c r="F427" t="str">
        <f>TRIM(_xlfn.TEXTAFTER(Employee_dataset[[#This Row],[Department_Region]],"-"))</f>
        <v>Florida</v>
      </c>
      <c r="G427" t="str">
        <f>TRIM(Employee_dataset[[#This Row],[Status]])</f>
        <v>Inactive</v>
      </c>
      <c r="H427" s="1">
        <f>_xlfn.LET(
     _xlpm.d, Employee_dataset[[#This Row],[Join_Date]],
     IF(
        ISNUMBER(_xlpm.d),_xlpm.d,""
       )
    )</f>
        <v>45042</v>
      </c>
      <c r="I427" s="6">
        <f>_xlfn.LET(
     _xlpm.s, TRIM(Employee_dataset[[#This Row],[Salary]]),
     IF(
        UPPER(_xlpm.s)="N/A","",
        IF(
           ISNUMBER(--_xlpm.s),ROUND(_xlfn.NUMBERVALUE(_xlpm.s),2),""
          )
       )
    )</f>
        <v>118030.04</v>
      </c>
      <c r="J427" t="str">
        <f>TRIM(Employee_dataset[[#This Row],[Email]])</f>
        <v>eva.jones@example.com</v>
      </c>
      <c r="K427" t="str">
        <f>_xlfn.LET(
     _xlpm.p,TRIM(SUBSTITUTE(Employee_dataset[[#This Row],[Phone]],"-","")),
     IF(
        LEN(_xlpm.p)=10,_xlfn.CONCAT("("&amp;LEFT(_xlpm.p,3)&amp;") "&amp;MID(_xlpm.p,4,3)&amp;"-"&amp;RIGHT(_xlpm.p,4),"")
       )
     )</f>
        <v>(750) 198-0381</v>
      </c>
      <c r="L427" t="str">
        <f>TRIM(Employee_dataset[[#This Row],[Performance_Score]])</f>
        <v>Excellent</v>
      </c>
      <c r="M427" t="str">
        <f>TRIM(Employee_dataset[[#This Row],[Remote_Work]])</f>
        <v>TRUE</v>
      </c>
    </row>
    <row r="428" spans="1:13" x14ac:dyDescent="0.3">
      <c r="A428" t="str">
        <f>TRIM(Employee_dataset[[#This Row],[Employee_ID]])</f>
        <v>EMP1426</v>
      </c>
      <c r="B428" t="str">
        <f>PROPER(TRIM(Employee_dataset[[#This Row],[First_Name]]))</f>
        <v>David</v>
      </c>
      <c r="C428" t="str">
        <f>PROPER(TRIM(Employee_dataset[[#This Row],[Last_Name]]))</f>
        <v>Smith</v>
      </c>
      <c r="D428" s="6" t="str">
        <f>_xlfn.LET(
     _xlpm.a, TRIM(Employee_dataset[[#This Row],[Age]]),
     IF(
        _xlpm.a="","",
        IF(
           AND(ISNUMBER(--_xlpm.a),LEN(_xlpm.a)=2),_xlpm.a,""
          )
       )
    )</f>
        <v/>
      </c>
      <c r="E428" t="str">
        <f>TRIM(_xlfn.TEXTBEFORE(Employee_dataset[[#This Row],[Department_Region]],"-"))</f>
        <v>Admin</v>
      </c>
      <c r="F428" t="str">
        <f>TRIM(_xlfn.TEXTAFTER(Employee_dataset[[#This Row],[Department_Region]],"-"))</f>
        <v>New York</v>
      </c>
      <c r="G428" t="str">
        <f>TRIM(Employee_dataset[[#This Row],[Status]])</f>
        <v>Active</v>
      </c>
      <c r="H428" s="1">
        <f>_xlfn.LET(
     _xlpm.d, Employee_dataset[[#This Row],[Join_Date]],
     IF(
        ISNUMBER(_xlpm.d),_xlpm.d,""
       )
    )</f>
        <v>44670</v>
      </c>
      <c r="I428" s="6">
        <f>_xlfn.LET(
     _xlpm.s, TRIM(Employee_dataset[[#This Row],[Salary]]),
     IF(
        UPPER(_xlpm.s)="N/A","",
        IF(
           ISNUMBER(--_xlpm.s),ROUND(_xlfn.NUMBERVALUE(_xlpm.s),2),""
          )
       )
    )</f>
        <v>51673.72</v>
      </c>
      <c r="J428" t="str">
        <f>TRIM(Employee_dataset[[#This Row],[Email]])</f>
        <v>david.smith@example.com</v>
      </c>
      <c r="K428" t="str">
        <f>_xlfn.LET(
     _xlpm.p,TRIM(SUBSTITUTE(Employee_dataset[[#This Row],[Phone]],"-","")),
     IF(
        LEN(_xlpm.p)=10,_xlfn.CONCAT("("&amp;LEFT(_xlpm.p,3)&amp;") "&amp;MID(_xlpm.p,4,3)&amp;"-"&amp;RIGHT(_xlpm.p,4),"")
       )
     )</f>
        <v>(872) 324-4078</v>
      </c>
      <c r="L428" t="str">
        <f>TRIM(Employee_dataset[[#This Row],[Performance_Score]])</f>
        <v>Poor</v>
      </c>
      <c r="M428" t="str">
        <f>TRIM(Employee_dataset[[#This Row],[Remote_Work]])</f>
        <v>FALSE</v>
      </c>
    </row>
    <row r="429" spans="1:13" x14ac:dyDescent="0.3">
      <c r="A429" t="str">
        <f>TRIM(Employee_dataset[[#This Row],[Employee_ID]])</f>
        <v>EMP1427</v>
      </c>
      <c r="B429" t="str">
        <f>PROPER(TRIM(Employee_dataset[[#This Row],[First_Name]]))</f>
        <v>Alice</v>
      </c>
      <c r="C429" t="str">
        <f>PROPER(TRIM(Employee_dataset[[#This Row],[Last_Name]]))</f>
        <v>Brown</v>
      </c>
      <c r="D429" s="6" t="str">
        <f>_xlfn.LET(
     _xlpm.a, TRIM(Employee_dataset[[#This Row],[Age]]),
     IF(
        _xlpm.a="","",
        IF(
           AND(ISNUMBER(--_xlpm.a),LEN(_xlpm.a)=2),_xlpm.a,""
          )
       )
    )</f>
        <v>35</v>
      </c>
      <c r="E429" t="str">
        <f>TRIM(_xlfn.TEXTBEFORE(Employee_dataset[[#This Row],[Department_Region]],"-"))</f>
        <v>Cloud Tech</v>
      </c>
      <c r="F429" t="str">
        <f>TRIM(_xlfn.TEXTAFTER(Employee_dataset[[#This Row],[Department_Region]],"-"))</f>
        <v>Nevada</v>
      </c>
      <c r="G429" t="str">
        <f>TRIM(Employee_dataset[[#This Row],[Status]])</f>
        <v>Inactive</v>
      </c>
      <c r="H429" s="1">
        <f>_xlfn.LET(
     _xlpm.d, Employee_dataset[[#This Row],[Join_Date]],
     IF(
        ISNUMBER(_xlpm.d),_xlpm.d,""
       )
    )</f>
        <v>45569</v>
      </c>
      <c r="I429" s="6">
        <f>_xlfn.LET(
     _xlpm.s, TRIM(Employee_dataset[[#This Row],[Salary]]),
     IF(
        UPPER(_xlpm.s)="N/A","",
        IF(
           ISNUMBER(--_xlpm.s),ROUND(_xlfn.NUMBERVALUE(_xlpm.s),2),""
          )
       )
    )</f>
        <v>101665.79</v>
      </c>
      <c r="J429" t="str">
        <f>TRIM(Employee_dataset[[#This Row],[Email]])</f>
        <v>alice.brown@example.com</v>
      </c>
      <c r="K429" t="str">
        <f>_xlfn.LET(
     _xlpm.p,TRIM(SUBSTITUTE(Employee_dataset[[#This Row],[Phone]],"-","")),
     IF(
        LEN(_xlpm.p)=10,_xlfn.CONCAT("("&amp;LEFT(_xlpm.p,3)&amp;") "&amp;MID(_xlpm.p,4,3)&amp;"-"&amp;RIGHT(_xlpm.p,4),"")
       )
     )</f>
        <v>(311) 029-1812</v>
      </c>
      <c r="L429" t="str">
        <f>TRIM(Employee_dataset[[#This Row],[Performance_Score]])</f>
        <v>Poor</v>
      </c>
      <c r="M429" t="str">
        <f>TRIM(Employee_dataset[[#This Row],[Remote_Work]])</f>
        <v>TRUE</v>
      </c>
    </row>
    <row r="430" spans="1:13" x14ac:dyDescent="0.3">
      <c r="A430" t="str">
        <f>TRIM(Employee_dataset[[#This Row],[Employee_ID]])</f>
        <v>EMP1428</v>
      </c>
      <c r="B430" t="str">
        <f>PROPER(TRIM(Employee_dataset[[#This Row],[First_Name]]))</f>
        <v>David</v>
      </c>
      <c r="C430" t="str">
        <f>PROPER(TRIM(Employee_dataset[[#This Row],[Last_Name]]))</f>
        <v>Smith</v>
      </c>
      <c r="D430" s="6" t="str">
        <f>_xlfn.LET(
     _xlpm.a, TRIM(Employee_dataset[[#This Row],[Age]]),
     IF(
        _xlpm.a="","",
        IF(
           AND(ISNUMBER(--_xlpm.a),LEN(_xlpm.a)=2),_xlpm.a,""
          )
       )
    )</f>
        <v/>
      </c>
      <c r="E430" t="str">
        <f>TRIM(_xlfn.TEXTBEFORE(Employee_dataset[[#This Row],[Department_Region]],"-"))</f>
        <v>Admin</v>
      </c>
      <c r="F430" t="str">
        <f>TRIM(_xlfn.TEXTAFTER(Employee_dataset[[#This Row],[Department_Region]],"-"))</f>
        <v>Florida</v>
      </c>
      <c r="G430" t="str">
        <f>TRIM(Employee_dataset[[#This Row],[Status]])</f>
        <v>Inactive</v>
      </c>
      <c r="H430" s="1">
        <f>_xlfn.LET(
     _xlpm.d, Employee_dataset[[#This Row],[Join_Date]],
     IF(
        ISNUMBER(_xlpm.d),_xlpm.d,""
       )
    )</f>
        <v>43953</v>
      </c>
      <c r="I430" s="6">
        <f>_xlfn.LET(
     _xlpm.s, TRIM(Employee_dataset[[#This Row],[Salary]]),
     IF(
        UPPER(_xlpm.s)="N/A","",
        IF(
           ISNUMBER(--_xlpm.s),ROUND(_xlfn.NUMBERVALUE(_xlpm.s),2),""
          )
       )
    )</f>
        <v>118079.15</v>
      </c>
      <c r="J430" t="str">
        <f>TRIM(Employee_dataset[[#This Row],[Email]])</f>
        <v>david.smith@example.com</v>
      </c>
      <c r="K430" t="str">
        <f>_xlfn.LET(
     _xlpm.p,TRIM(SUBSTITUTE(Employee_dataset[[#This Row],[Phone]],"-","")),
     IF(
        LEN(_xlpm.p)=10,_xlfn.CONCAT("("&amp;LEFT(_xlpm.p,3)&amp;") "&amp;MID(_xlpm.p,4,3)&amp;"-"&amp;RIGHT(_xlpm.p,4),"")
       )
     )</f>
        <v>(317) 087-6013</v>
      </c>
      <c r="L430" t="str">
        <f>TRIM(Employee_dataset[[#This Row],[Performance_Score]])</f>
        <v>Good</v>
      </c>
      <c r="M430" t="str">
        <f>TRIM(Employee_dataset[[#This Row],[Remote_Work]])</f>
        <v>TRUE</v>
      </c>
    </row>
    <row r="431" spans="1:13" x14ac:dyDescent="0.3">
      <c r="A431" t="str">
        <f>TRIM(Employee_dataset[[#This Row],[Employee_ID]])</f>
        <v>EMP1429</v>
      </c>
      <c r="B431" t="str">
        <f>PROPER(TRIM(Employee_dataset[[#This Row],[First_Name]]))</f>
        <v>Eva</v>
      </c>
      <c r="C431" t="str">
        <f>PROPER(TRIM(Employee_dataset[[#This Row],[Last_Name]]))</f>
        <v>Brown</v>
      </c>
      <c r="D431" s="6" t="str">
        <f>_xlfn.LET(
     _xlpm.a, TRIM(Employee_dataset[[#This Row],[Age]]),
     IF(
        _xlpm.a="","",
        IF(
           AND(ISNUMBER(--_xlpm.a),LEN(_xlpm.a)=2),_xlpm.a,""
          )
       )
    )</f>
        <v>25</v>
      </c>
      <c r="E431" t="str">
        <f>TRIM(_xlfn.TEXTBEFORE(Employee_dataset[[#This Row],[Department_Region]],"-"))</f>
        <v>Cloud Tech</v>
      </c>
      <c r="F431" t="str">
        <f>TRIM(_xlfn.TEXTAFTER(Employee_dataset[[#This Row],[Department_Region]],"-"))</f>
        <v>New York</v>
      </c>
      <c r="G431" t="str">
        <f>TRIM(Employee_dataset[[#This Row],[Status]])</f>
        <v>Pending</v>
      </c>
      <c r="H431" s="1">
        <f>_xlfn.LET(
     _xlpm.d, Employee_dataset[[#This Row],[Join_Date]],
     IF(
        ISNUMBER(_xlpm.d),_xlpm.d,""
       )
    )</f>
        <v>44676</v>
      </c>
      <c r="I431" s="6">
        <f>_xlfn.LET(
     _xlpm.s, TRIM(Employee_dataset[[#This Row],[Salary]]),
     IF(
        UPPER(_xlpm.s)="N/A","",
        IF(
           ISNUMBER(--_xlpm.s),ROUND(_xlfn.NUMBERVALUE(_xlpm.s),2),""
          )
       )
    )</f>
        <v>99059.28</v>
      </c>
      <c r="J431" t="str">
        <f>TRIM(Employee_dataset[[#This Row],[Email]])</f>
        <v>eva.brown@example.com</v>
      </c>
      <c r="K431" t="str">
        <f>_xlfn.LET(
     _xlpm.p,TRIM(SUBSTITUTE(Employee_dataset[[#This Row],[Phone]],"-","")),
     IF(
        LEN(_xlpm.p)=10,_xlfn.CONCAT("("&amp;LEFT(_xlpm.p,3)&amp;") "&amp;MID(_xlpm.p,4,3)&amp;"-"&amp;RIGHT(_xlpm.p,4),"")
       )
     )</f>
        <v>(672) 384-9790</v>
      </c>
      <c r="L431" t="str">
        <f>TRIM(Employee_dataset[[#This Row],[Performance_Score]])</f>
        <v>Poor</v>
      </c>
      <c r="M431" t="str">
        <f>TRIM(Employee_dataset[[#This Row],[Remote_Work]])</f>
        <v>FALSE</v>
      </c>
    </row>
    <row r="432" spans="1:13" x14ac:dyDescent="0.3">
      <c r="A432" t="str">
        <f>TRIM(Employee_dataset[[#This Row],[Employee_ID]])</f>
        <v>EMP1430</v>
      </c>
      <c r="B432" t="str">
        <f>PROPER(TRIM(Employee_dataset[[#This Row],[First_Name]]))</f>
        <v>Bob</v>
      </c>
      <c r="C432" t="str">
        <f>PROPER(TRIM(Employee_dataset[[#This Row],[Last_Name]]))</f>
        <v>Smith</v>
      </c>
      <c r="D432" s="6" t="str">
        <f>_xlfn.LET(
     _xlpm.a, TRIM(Employee_dataset[[#This Row],[Age]]),
     IF(
        _xlpm.a="","",
        IF(
           AND(ISNUMBER(--_xlpm.a),LEN(_xlpm.a)=2),_xlpm.a,""
          )
       )
    )</f>
        <v/>
      </c>
      <c r="E432" t="str">
        <f>TRIM(_xlfn.TEXTBEFORE(Employee_dataset[[#This Row],[Department_Region]],"-"))</f>
        <v>Cloud Tech</v>
      </c>
      <c r="F432" t="str">
        <f>TRIM(_xlfn.TEXTAFTER(Employee_dataset[[#This Row],[Department_Region]],"-"))</f>
        <v>Illinois</v>
      </c>
      <c r="G432" t="str">
        <f>TRIM(Employee_dataset[[#This Row],[Status]])</f>
        <v>Active</v>
      </c>
      <c r="H432" s="1">
        <f>_xlfn.LET(
     _xlpm.d, Employee_dataset[[#This Row],[Join_Date]],
     IF(
        ISNUMBER(_xlpm.d),_xlpm.d,""
       )
    )</f>
        <v>45136</v>
      </c>
      <c r="I432" s="6">
        <f>_xlfn.LET(
     _xlpm.s, TRIM(Employee_dataset[[#This Row],[Salary]]),
     IF(
        UPPER(_xlpm.s)="N/A","",
        IF(
           ISNUMBER(--_xlpm.s),ROUND(_xlfn.NUMBERVALUE(_xlpm.s),2),""
          )
       )
    )</f>
        <v>107397.4</v>
      </c>
      <c r="J432" t="str">
        <f>TRIM(Employee_dataset[[#This Row],[Email]])</f>
        <v>bob.smith@example.com</v>
      </c>
      <c r="K432" t="str">
        <f>_xlfn.LET(
     _xlpm.p,TRIM(SUBSTITUTE(Employee_dataset[[#This Row],[Phone]],"-","")),
     IF(
        LEN(_xlpm.p)=10,_xlfn.CONCAT("("&amp;LEFT(_xlpm.p,3)&amp;") "&amp;MID(_xlpm.p,4,3)&amp;"-"&amp;RIGHT(_xlpm.p,4),"")
       )
     )</f>
        <v>(620) 223-2882</v>
      </c>
      <c r="L432" t="str">
        <f>TRIM(Employee_dataset[[#This Row],[Performance_Score]])</f>
        <v>Poor</v>
      </c>
      <c r="M432" t="str">
        <f>TRIM(Employee_dataset[[#This Row],[Remote_Work]])</f>
        <v>FALSE</v>
      </c>
    </row>
    <row r="433" spans="1:13" x14ac:dyDescent="0.3">
      <c r="A433" t="str">
        <f>TRIM(Employee_dataset[[#This Row],[Employee_ID]])</f>
        <v>EMP1431</v>
      </c>
      <c r="B433" t="str">
        <f>PROPER(TRIM(Employee_dataset[[#This Row],[First_Name]]))</f>
        <v>Alice</v>
      </c>
      <c r="C433" t="str">
        <f>PROPER(TRIM(Employee_dataset[[#This Row],[Last_Name]]))</f>
        <v>Miller</v>
      </c>
      <c r="D433" s="6" t="str">
        <f>_xlfn.LET(
     _xlpm.a, TRIM(Employee_dataset[[#This Row],[Age]]),
     IF(
        _xlpm.a="","",
        IF(
           AND(ISNUMBER(--_xlpm.a),LEN(_xlpm.a)=2),_xlpm.a,""
          )
       )
    )</f>
        <v>40</v>
      </c>
      <c r="E433" t="str">
        <f>TRIM(_xlfn.TEXTBEFORE(Employee_dataset[[#This Row],[Department_Region]],"-"))</f>
        <v>DevOps</v>
      </c>
      <c r="F433" t="str">
        <f>TRIM(_xlfn.TEXTAFTER(Employee_dataset[[#This Row],[Department_Region]],"-"))</f>
        <v>New York</v>
      </c>
      <c r="G433" t="str">
        <f>TRIM(Employee_dataset[[#This Row],[Status]])</f>
        <v>Active</v>
      </c>
      <c r="H433" s="1">
        <f>_xlfn.LET(
     _xlpm.d, Employee_dataset[[#This Row],[Join_Date]],
     IF(
        ISNUMBER(_xlpm.d),_xlpm.d,""
       )
    )</f>
        <v>44428</v>
      </c>
      <c r="I433" s="6">
        <f>_xlfn.LET(
     _xlpm.s, TRIM(Employee_dataset[[#This Row],[Salary]]),
     IF(
        UPPER(_xlpm.s)="N/A","",
        IF(
           ISNUMBER(--_xlpm.s),ROUND(_xlfn.NUMBERVALUE(_xlpm.s),2),""
          )
       )
    )</f>
        <v>68269.37</v>
      </c>
      <c r="J433" t="str">
        <f>TRIM(Employee_dataset[[#This Row],[Email]])</f>
        <v>alice.miller@example.com</v>
      </c>
      <c r="K433" t="str">
        <f>_xlfn.LET(
     _xlpm.p,TRIM(SUBSTITUTE(Employee_dataset[[#This Row],[Phone]],"-","")),
     IF(
        LEN(_xlpm.p)=10,_xlfn.CONCAT("("&amp;LEFT(_xlpm.p,3)&amp;") "&amp;MID(_xlpm.p,4,3)&amp;"-"&amp;RIGHT(_xlpm.p,4),"")
       )
     )</f>
        <v>(774) 419-7545</v>
      </c>
      <c r="L433" t="str">
        <f>TRIM(Employee_dataset[[#This Row],[Performance_Score]])</f>
        <v>Excellent</v>
      </c>
      <c r="M433" t="str">
        <f>TRIM(Employee_dataset[[#This Row],[Remote_Work]])</f>
        <v>FALSE</v>
      </c>
    </row>
    <row r="434" spans="1:13" x14ac:dyDescent="0.3">
      <c r="A434" t="str">
        <f>TRIM(Employee_dataset[[#This Row],[Employee_ID]])</f>
        <v>EMP1432</v>
      </c>
      <c r="B434" t="str">
        <f>PROPER(TRIM(Employee_dataset[[#This Row],[First_Name]]))</f>
        <v>Grace</v>
      </c>
      <c r="C434" t="str">
        <f>PROPER(TRIM(Employee_dataset[[#This Row],[Last_Name]]))</f>
        <v>Jones</v>
      </c>
      <c r="D434" s="6" t="str">
        <f>_xlfn.LET(
     _xlpm.a, TRIM(Employee_dataset[[#This Row],[Age]]),
     IF(
        _xlpm.a="","",
        IF(
           AND(ISNUMBER(--_xlpm.a),LEN(_xlpm.a)=2),_xlpm.a,""
          )
       )
    )</f>
        <v>35</v>
      </c>
      <c r="E434" t="str">
        <f>TRIM(_xlfn.TEXTBEFORE(Employee_dataset[[#This Row],[Department_Region]],"-"))</f>
        <v>HR</v>
      </c>
      <c r="F434" t="str">
        <f>TRIM(_xlfn.TEXTAFTER(Employee_dataset[[#This Row],[Department_Region]],"-"))</f>
        <v>Florida</v>
      </c>
      <c r="G434" t="str">
        <f>TRIM(Employee_dataset[[#This Row],[Status]])</f>
        <v>Inactive</v>
      </c>
      <c r="H434" s="1">
        <f>_xlfn.LET(
     _xlpm.d, Employee_dataset[[#This Row],[Join_Date]],
     IF(
        ISNUMBER(_xlpm.d),_xlpm.d,""
       )
    )</f>
        <v>44309</v>
      </c>
      <c r="I434" s="6">
        <f>_xlfn.LET(
     _xlpm.s, TRIM(Employee_dataset[[#This Row],[Salary]]),
     IF(
        UPPER(_xlpm.s)="N/A","",
        IF(
           ISNUMBER(--_xlpm.s),ROUND(_xlfn.NUMBERVALUE(_xlpm.s),2),""
          )
       )
    )</f>
        <v>55228.12</v>
      </c>
      <c r="J434" t="str">
        <f>TRIM(Employee_dataset[[#This Row],[Email]])</f>
        <v>grace.jones@example.com</v>
      </c>
      <c r="K434" t="str">
        <f>_xlfn.LET(
     _xlpm.p,TRIM(SUBSTITUTE(Employee_dataset[[#This Row],[Phone]],"-","")),
     IF(
        LEN(_xlpm.p)=10,_xlfn.CONCAT("("&amp;LEFT(_xlpm.p,3)&amp;") "&amp;MID(_xlpm.p,4,3)&amp;"-"&amp;RIGHT(_xlpm.p,4),"")
       )
     )</f>
        <v>(617) 662-0470</v>
      </c>
      <c r="L434" t="str">
        <f>TRIM(Employee_dataset[[#This Row],[Performance_Score]])</f>
        <v>Poor</v>
      </c>
      <c r="M434" t="str">
        <f>TRIM(Employee_dataset[[#This Row],[Remote_Work]])</f>
        <v>TRUE</v>
      </c>
    </row>
    <row r="435" spans="1:13" x14ac:dyDescent="0.3">
      <c r="A435" t="str">
        <f>TRIM(Employee_dataset[[#This Row],[Employee_ID]])</f>
        <v>EMP1433</v>
      </c>
      <c r="B435" t="str">
        <f>PROPER(TRIM(Employee_dataset[[#This Row],[First_Name]]))</f>
        <v>Bob</v>
      </c>
      <c r="C435" t="str">
        <f>PROPER(TRIM(Employee_dataset[[#This Row],[Last_Name]]))</f>
        <v>Garcia</v>
      </c>
      <c r="D435" s="6" t="str">
        <f>_xlfn.LET(
     _xlpm.a, TRIM(Employee_dataset[[#This Row],[Age]]),
     IF(
        _xlpm.a="","",
        IF(
           AND(ISNUMBER(--_xlpm.a),LEN(_xlpm.a)=2),_xlpm.a,""
          )
       )
    )</f>
        <v>30</v>
      </c>
      <c r="E435" t="str">
        <f>TRIM(_xlfn.TEXTBEFORE(Employee_dataset[[#This Row],[Department_Region]],"-"))</f>
        <v>Cloud Tech</v>
      </c>
      <c r="F435" t="str">
        <f>TRIM(_xlfn.TEXTAFTER(Employee_dataset[[#This Row],[Department_Region]],"-"))</f>
        <v>New York</v>
      </c>
      <c r="G435" t="str">
        <f>TRIM(Employee_dataset[[#This Row],[Status]])</f>
        <v>Inactive</v>
      </c>
      <c r="H435" s="1">
        <f>_xlfn.LET(
     _xlpm.d, Employee_dataset[[#This Row],[Join_Date]],
     IF(
        ISNUMBER(_xlpm.d),_xlpm.d,""
       )
    )</f>
        <v>44785</v>
      </c>
      <c r="I435" s="6">
        <f>_xlfn.LET(
     _xlpm.s, TRIM(Employee_dataset[[#This Row],[Salary]]),
     IF(
        UPPER(_xlpm.s)="N/A","",
        IF(
           ISNUMBER(--_xlpm.s),ROUND(_xlfn.NUMBERVALUE(_xlpm.s),2),""
          )
       )
    )</f>
        <v>71982.33</v>
      </c>
      <c r="J435" t="str">
        <f>TRIM(Employee_dataset[[#This Row],[Email]])</f>
        <v>bob.garcia@example.com</v>
      </c>
      <c r="K435" t="str">
        <f>_xlfn.LET(
     _xlpm.p,TRIM(SUBSTITUTE(Employee_dataset[[#This Row],[Phone]],"-","")),
     IF(
        LEN(_xlpm.p)=10,_xlfn.CONCAT("("&amp;LEFT(_xlpm.p,3)&amp;") "&amp;MID(_xlpm.p,4,3)&amp;"-"&amp;RIGHT(_xlpm.p,4),"")
       )
     )</f>
        <v>(960) 940-9704</v>
      </c>
      <c r="L435" t="str">
        <f>TRIM(Employee_dataset[[#This Row],[Performance_Score]])</f>
        <v>Average</v>
      </c>
      <c r="M435" t="str">
        <f>TRIM(Employee_dataset[[#This Row],[Remote_Work]])</f>
        <v>FALSE</v>
      </c>
    </row>
    <row r="436" spans="1:13" x14ac:dyDescent="0.3">
      <c r="A436" t="str">
        <f>TRIM(Employee_dataset[[#This Row],[Employee_ID]])</f>
        <v>EMP1434</v>
      </c>
      <c r="B436" t="str">
        <f>PROPER(TRIM(Employee_dataset[[#This Row],[First_Name]]))</f>
        <v>Frank</v>
      </c>
      <c r="C436" t="str">
        <f>PROPER(TRIM(Employee_dataset[[#This Row],[Last_Name]]))</f>
        <v>Brown</v>
      </c>
      <c r="D436" s="6" t="str">
        <f>_xlfn.LET(
     _xlpm.a, TRIM(Employee_dataset[[#This Row],[Age]]),
     IF(
        _xlpm.a="","",
        IF(
           AND(ISNUMBER(--_xlpm.a),LEN(_xlpm.a)=2),_xlpm.a,""
          )
       )
    )</f>
        <v>30</v>
      </c>
      <c r="E436" t="str">
        <f>TRIM(_xlfn.TEXTBEFORE(Employee_dataset[[#This Row],[Department_Region]],"-"))</f>
        <v>Finance</v>
      </c>
      <c r="F436" t="str">
        <f>TRIM(_xlfn.TEXTAFTER(Employee_dataset[[#This Row],[Department_Region]],"-"))</f>
        <v>California</v>
      </c>
      <c r="G436" t="str">
        <f>TRIM(Employee_dataset[[#This Row],[Status]])</f>
        <v>Inactive</v>
      </c>
      <c r="H436" s="1">
        <f>_xlfn.LET(
     _xlpm.d, Employee_dataset[[#This Row],[Join_Date]],
     IF(
        ISNUMBER(_xlpm.d),_xlpm.d,""
       )
    )</f>
        <v>44373</v>
      </c>
      <c r="I436" s="6">
        <f>_xlfn.LET(
     _xlpm.s, TRIM(Employee_dataset[[#This Row],[Salary]]),
     IF(
        UPPER(_xlpm.s)="N/A","",
        IF(
           ISNUMBER(--_xlpm.s),ROUND(_xlfn.NUMBERVALUE(_xlpm.s),2),""
          )
       )
    )</f>
        <v>109673.75</v>
      </c>
      <c r="J436" t="str">
        <f>TRIM(Employee_dataset[[#This Row],[Email]])</f>
        <v>frank.brown@example.com</v>
      </c>
      <c r="K436" t="str">
        <f>_xlfn.LET(
     _xlpm.p,TRIM(SUBSTITUTE(Employee_dataset[[#This Row],[Phone]],"-","")),
     IF(
        LEN(_xlpm.p)=10,_xlfn.CONCAT("("&amp;LEFT(_xlpm.p,3)&amp;") "&amp;MID(_xlpm.p,4,3)&amp;"-"&amp;RIGHT(_xlpm.p,4),"")
       )
     )</f>
        <v>(277) 402-5882</v>
      </c>
      <c r="L436" t="str">
        <f>TRIM(Employee_dataset[[#This Row],[Performance_Score]])</f>
        <v>Excellent</v>
      </c>
      <c r="M436" t="str">
        <f>TRIM(Employee_dataset[[#This Row],[Remote_Work]])</f>
        <v>FALSE</v>
      </c>
    </row>
    <row r="437" spans="1:13" x14ac:dyDescent="0.3">
      <c r="A437" t="str">
        <f>TRIM(Employee_dataset[[#This Row],[Employee_ID]])</f>
        <v>EMP1435</v>
      </c>
      <c r="B437" t="str">
        <f>PROPER(TRIM(Employee_dataset[[#This Row],[First_Name]]))</f>
        <v>Eva</v>
      </c>
      <c r="C437" t="str">
        <f>PROPER(TRIM(Employee_dataset[[#This Row],[Last_Name]]))</f>
        <v>Garcia</v>
      </c>
      <c r="D437" s="6" t="str">
        <f>_xlfn.LET(
     _xlpm.a, TRIM(Employee_dataset[[#This Row],[Age]]),
     IF(
        _xlpm.a="","",
        IF(
           AND(ISNUMBER(--_xlpm.a),LEN(_xlpm.a)=2),_xlpm.a,""
          )
       )
    )</f>
        <v/>
      </c>
      <c r="E437" t="str">
        <f>TRIM(_xlfn.TEXTBEFORE(Employee_dataset[[#This Row],[Department_Region]],"-"))</f>
        <v>Cloud Tech</v>
      </c>
      <c r="F437" t="str">
        <f>TRIM(_xlfn.TEXTAFTER(Employee_dataset[[#This Row],[Department_Region]],"-"))</f>
        <v>New York</v>
      </c>
      <c r="G437" t="str">
        <f>TRIM(Employee_dataset[[#This Row],[Status]])</f>
        <v>Inactive</v>
      </c>
      <c r="H437" s="1">
        <f>_xlfn.LET(
     _xlpm.d, Employee_dataset[[#This Row],[Join_Date]],
     IF(
        ISNUMBER(_xlpm.d),_xlpm.d,""
       )
    )</f>
        <v>44134</v>
      </c>
      <c r="I437" s="6">
        <f>_xlfn.LET(
     _xlpm.s, TRIM(Employee_dataset[[#This Row],[Salary]]),
     IF(
        UPPER(_xlpm.s)="N/A","",
        IF(
           ISNUMBER(--_xlpm.s),ROUND(_xlfn.NUMBERVALUE(_xlpm.s),2),""
          )
       )
    )</f>
        <v>56384.9</v>
      </c>
      <c r="J437" t="str">
        <f>TRIM(Employee_dataset[[#This Row],[Email]])</f>
        <v>eva.garcia@example.com</v>
      </c>
      <c r="K437" t="str">
        <f>_xlfn.LET(
     _xlpm.p,TRIM(SUBSTITUTE(Employee_dataset[[#This Row],[Phone]],"-","")),
     IF(
        LEN(_xlpm.p)=10,_xlfn.CONCAT("("&amp;LEFT(_xlpm.p,3)&amp;") "&amp;MID(_xlpm.p,4,3)&amp;"-"&amp;RIGHT(_xlpm.p,4),"")
       )
     )</f>
        <v>(586) 812-2594</v>
      </c>
      <c r="L437" t="str">
        <f>TRIM(Employee_dataset[[#This Row],[Performance_Score]])</f>
        <v>Excellent</v>
      </c>
      <c r="M437" t="str">
        <f>TRIM(Employee_dataset[[#This Row],[Remote_Work]])</f>
        <v>TRUE</v>
      </c>
    </row>
    <row r="438" spans="1:13" x14ac:dyDescent="0.3">
      <c r="A438" t="str">
        <f>TRIM(Employee_dataset[[#This Row],[Employee_ID]])</f>
        <v>EMP1436</v>
      </c>
      <c r="B438" t="str">
        <f>PROPER(TRIM(Employee_dataset[[#This Row],[First_Name]]))</f>
        <v>Frank</v>
      </c>
      <c r="C438" t="str">
        <f>PROPER(TRIM(Employee_dataset[[#This Row],[Last_Name]]))</f>
        <v>Garcia</v>
      </c>
      <c r="D438" s="6" t="str">
        <f>_xlfn.LET(
     _xlpm.a, TRIM(Employee_dataset[[#This Row],[Age]]),
     IF(
        _xlpm.a="","",
        IF(
           AND(ISNUMBER(--_xlpm.a),LEN(_xlpm.a)=2),_xlpm.a,""
          )
       )
    )</f>
        <v>40</v>
      </c>
      <c r="E438" t="str">
        <f>TRIM(_xlfn.TEXTBEFORE(Employee_dataset[[#This Row],[Department_Region]],"-"))</f>
        <v>Sales</v>
      </c>
      <c r="F438" t="str">
        <f>TRIM(_xlfn.TEXTAFTER(Employee_dataset[[#This Row],[Department_Region]],"-"))</f>
        <v>Texas</v>
      </c>
      <c r="G438" t="str">
        <f>TRIM(Employee_dataset[[#This Row],[Status]])</f>
        <v>Pending</v>
      </c>
      <c r="H438" s="1">
        <f>_xlfn.LET(
     _xlpm.d, Employee_dataset[[#This Row],[Join_Date]],
     IF(
        ISNUMBER(_xlpm.d),_xlpm.d,""
       )
    )</f>
        <v>44443</v>
      </c>
      <c r="I438" s="6">
        <f>_xlfn.LET(
     _xlpm.s, TRIM(Employee_dataset[[#This Row],[Salary]]),
     IF(
        UPPER(_xlpm.s)="N/A","",
        IF(
           ISNUMBER(--_xlpm.s),ROUND(_xlfn.NUMBERVALUE(_xlpm.s),2),""
          )
       )
    )</f>
        <v>68211.679999999993</v>
      </c>
      <c r="J438" t="str">
        <f>TRIM(Employee_dataset[[#This Row],[Email]])</f>
        <v>frank.garcia@example.com</v>
      </c>
      <c r="K438" t="str">
        <f>_xlfn.LET(
     _xlpm.p,TRIM(SUBSTITUTE(Employee_dataset[[#This Row],[Phone]],"-","")),
     IF(
        LEN(_xlpm.p)=10,_xlfn.CONCAT("("&amp;LEFT(_xlpm.p,3)&amp;") "&amp;MID(_xlpm.p,4,3)&amp;"-"&amp;RIGHT(_xlpm.p,4),"")
       )
     )</f>
        <v>(724) 461-7678</v>
      </c>
      <c r="L438" t="str">
        <f>TRIM(Employee_dataset[[#This Row],[Performance_Score]])</f>
        <v>Good</v>
      </c>
      <c r="M438" t="str">
        <f>TRIM(Employee_dataset[[#This Row],[Remote_Work]])</f>
        <v>FALSE</v>
      </c>
    </row>
    <row r="439" spans="1:13" x14ac:dyDescent="0.3">
      <c r="A439" t="str">
        <f>TRIM(Employee_dataset[[#This Row],[Employee_ID]])</f>
        <v>EMP1437</v>
      </c>
      <c r="B439" t="str">
        <f>PROPER(TRIM(Employee_dataset[[#This Row],[First_Name]]))</f>
        <v>Alice</v>
      </c>
      <c r="C439" t="str">
        <f>PROPER(TRIM(Employee_dataset[[#This Row],[Last_Name]]))</f>
        <v>Garcia</v>
      </c>
      <c r="D439" s="6" t="str">
        <f>_xlfn.LET(
     _xlpm.a, TRIM(Employee_dataset[[#This Row],[Age]]),
     IF(
        _xlpm.a="","",
        IF(
           AND(ISNUMBER(--_xlpm.a),LEN(_xlpm.a)=2),_xlpm.a,""
          )
       )
    )</f>
        <v>40</v>
      </c>
      <c r="E439" t="str">
        <f>TRIM(_xlfn.TEXTBEFORE(Employee_dataset[[#This Row],[Department_Region]],"-"))</f>
        <v>Finance</v>
      </c>
      <c r="F439" t="str">
        <f>TRIM(_xlfn.TEXTAFTER(Employee_dataset[[#This Row],[Department_Region]],"-"))</f>
        <v>Illinois</v>
      </c>
      <c r="G439" t="str">
        <f>TRIM(Employee_dataset[[#This Row],[Status]])</f>
        <v>Pending</v>
      </c>
      <c r="H439" s="1">
        <f>_xlfn.LET(
     _xlpm.d, Employee_dataset[[#This Row],[Join_Date]],
     IF(
        ISNUMBER(_xlpm.d),_xlpm.d,""
       )
    )</f>
        <v>44957</v>
      </c>
      <c r="I439" s="6">
        <f>_xlfn.LET(
     _xlpm.s, TRIM(Employee_dataset[[#This Row],[Salary]]),
     IF(
        UPPER(_xlpm.s)="N/A","",
        IF(
           ISNUMBER(--_xlpm.s),ROUND(_xlfn.NUMBERVALUE(_xlpm.s),2),""
          )
       )
    )</f>
        <v>67489.679999999993</v>
      </c>
      <c r="J439" t="str">
        <f>TRIM(Employee_dataset[[#This Row],[Email]])</f>
        <v>alice.garcia@example.com</v>
      </c>
      <c r="K439" t="str">
        <f>_xlfn.LET(
     _xlpm.p,TRIM(SUBSTITUTE(Employee_dataset[[#This Row],[Phone]],"-","")),
     IF(
        LEN(_xlpm.p)=10,_xlfn.CONCAT("("&amp;LEFT(_xlpm.p,3)&amp;") "&amp;MID(_xlpm.p,4,3)&amp;"-"&amp;RIGHT(_xlpm.p,4),"")
       )
     )</f>
        <v>(298) 842-5994</v>
      </c>
      <c r="L439" t="str">
        <f>TRIM(Employee_dataset[[#This Row],[Performance_Score]])</f>
        <v>Poor</v>
      </c>
      <c r="M439" t="str">
        <f>TRIM(Employee_dataset[[#This Row],[Remote_Work]])</f>
        <v>FALSE</v>
      </c>
    </row>
    <row r="440" spans="1:13" x14ac:dyDescent="0.3">
      <c r="A440" t="str">
        <f>TRIM(Employee_dataset[[#This Row],[Employee_ID]])</f>
        <v>EMP1438</v>
      </c>
      <c r="B440" t="str">
        <f>PROPER(TRIM(Employee_dataset[[#This Row],[First_Name]]))</f>
        <v>Charlie</v>
      </c>
      <c r="C440" t="str">
        <f>PROPER(TRIM(Employee_dataset[[#This Row],[Last_Name]]))</f>
        <v>Davis</v>
      </c>
      <c r="D440" s="6" t="str">
        <f>_xlfn.LET(
     _xlpm.a, TRIM(Employee_dataset[[#This Row],[Age]]),
     IF(
        _xlpm.a="","",
        IF(
           AND(ISNUMBER(--_xlpm.a),LEN(_xlpm.a)=2),_xlpm.a,""
          )
       )
    )</f>
        <v>25</v>
      </c>
      <c r="E440" t="str">
        <f>TRIM(_xlfn.TEXTBEFORE(Employee_dataset[[#This Row],[Department_Region]],"-"))</f>
        <v>Cloud Tech</v>
      </c>
      <c r="F440" t="str">
        <f>TRIM(_xlfn.TEXTAFTER(Employee_dataset[[#This Row],[Department_Region]],"-"))</f>
        <v>Texas</v>
      </c>
      <c r="G440" t="str">
        <f>TRIM(Employee_dataset[[#This Row],[Status]])</f>
        <v>Active</v>
      </c>
      <c r="H440" s="1">
        <f>_xlfn.LET(
     _xlpm.d, Employee_dataset[[#This Row],[Join_Date]],
     IF(
        ISNUMBER(_xlpm.d),_xlpm.d,""
       )
    )</f>
        <v>44098</v>
      </c>
      <c r="I440" s="6">
        <f>_xlfn.LET(
     _xlpm.s, TRIM(Employee_dataset[[#This Row],[Salary]]),
     IF(
        UPPER(_xlpm.s)="N/A","",
        IF(
           ISNUMBER(--_xlpm.s),ROUND(_xlfn.NUMBERVALUE(_xlpm.s),2),""
          )
       )
    )</f>
        <v>63869.31</v>
      </c>
      <c r="J440" t="str">
        <f>TRIM(Employee_dataset[[#This Row],[Email]])</f>
        <v>charlie.davis@example.com</v>
      </c>
      <c r="K440" t="str">
        <f>_xlfn.LET(
     _xlpm.p,TRIM(SUBSTITUTE(Employee_dataset[[#This Row],[Phone]],"-","")),
     IF(
        LEN(_xlpm.p)=10,_xlfn.CONCAT("("&amp;LEFT(_xlpm.p,3)&amp;") "&amp;MID(_xlpm.p,4,3)&amp;"-"&amp;RIGHT(_xlpm.p,4),"")
       )
     )</f>
        <v>(996) 100-2310</v>
      </c>
      <c r="L440" t="str">
        <f>TRIM(Employee_dataset[[#This Row],[Performance_Score]])</f>
        <v>Good</v>
      </c>
      <c r="M440" t="str">
        <f>TRIM(Employee_dataset[[#This Row],[Remote_Work]])</f>
        <v>FALSE</v>
      </c>
    </row>
    <row r="441" spans="1:13" x14ac:dyDescent="0.3">
      <c r="A441" t="str">
        <f>TRIM(Employee_dataset[[#This Row],[Employee_ID]])</f>
        <v>EMP1439</v>
      </c>
      <c r="B441" t="str">
        <f>PROPER(TRIM(Employee_dataset[[#This Row],[First_Name]]))</f>
        <v>Bob</v>
      </c>
      <c r="C441" t="str">
        <f>PROPER(TRIM(Employee_dataset[[#This Row],[Last_Name]]))</f>
        <v>Williams</v>
      </c>
      <c r="D441" s="6" t="str">
        <f>_xlfn.LET(
     _xlpm.a, TRIM(Employee_dataset[[#This Row],[Age]]),
     IF(
        _xlpm.a="","",
        IF(
           AND(ISNUMBER(--_xlpm.a),LEN(_xlpm.a)=2),_xlpm.a,""
          )
       )
    )</f>
        <v/>
      </c>
      <c r="E441" t="str">
        <f>TRIM(_xlfn.TEXTBEFORE(Employee_dataset[[#This Row],[Department_Region]],"-"))</f>
        <v>Sales</v>
      </c>
      <c r="F441" t="str">
        <f>TRIM(_xlfn.TEXTAFTER(Employee_dataset[[#This Row],[Department_Region]],"-"))</f>
        <v>California</v>
      </c>
      <c r="G441" t="str">
        <f>TRIM(Employee_dataset[[#This Row],[Status]])</f>
        <v>Active</v>
      </c>
      <c r="H441" s="1">
        <f>_xlfn.LET(
     _xlpm.d, Employee_dataset[[#This Row],[Join_Date]],
     IF(
        ISNUMBER(_xlpm.d),_xlpm.d,""
       )
    )</f>
        <v>43875</v>
      </c>
      <c r="I441" s="6">
        <f>_xlfn.LET(
     _xlpm.s, TRIM(Employee_dataset[[#This Row],[Salary]]),
     IF(
        UPPER(_xlpm.s)="N/A","",
        IF(
           ISNUMBER(--_xlpm.s),ROUND(_xlfn.NUMBERVALUE(_xlpm.s),2),""
          )
       )
    )</f>
        <v>119801.3</v>
      </c>
      <c r="J441" t="str">
        <f>TRIM(Employee_dataset[[#This Row],[Email]])</f>
        <v>bob.williams@example.com</v>
      </c>
      <c r="K441" t="str">
        <f>_xlfn.LET(
     _xlpm.p,TRIM(SUBSTITUTE(Employee_dataset[[#This Row],[Phone]],"-","")),
     IF(
        LEN(_xlpm.p)=10,_xlfn.CONCAT("("&amp;LEFT(_xlpm.p,3)&amp;") "&amp;MID(_xlpm.p,4,3)&amp;"-"&amp;RIGHT(_xlpm.p,4),"")
       )
     )</f>
        <v>(775) 331-2660</v>
      </c>
      <c r="L441" t="str">
        <f>TRIM(Employee_dataset[[#This Row],[Performance_Score]])</f>
        <v>Average</v>
      </c>
      <c r="M441" t="str">
        <f>TRIM(Employee_dataset[[#This Row],[Remote_Work]])</f>
        <v>TRUE</v>
      </c>
    </row>
    <row r="442" spans="1:13" x14ac:dyDescent="0.3">
      <c r="A442" t="str">
        <f>TRIM(Employee_dataset[[#This Row],[Employee_ID]])</f>
        <v>EMP1440</v>
      </c>
      <c r="B442" t="str">
        <f>PROPER(TRIM(Employee_dataset[[#This Row],[First_Name]]))</f>
        <v>Heidi</v>
      </c>
      <c r="C442" t="str">
        <f>PROPER(TRIM(Employee_dataset[[#This Row],[Last_Name]]))</f>
        <v>Smith</v>
      </c>
      <c r="D442" s="6" t="str">
        <f>_xlfn.LET(
     _xlpm.a, TRIM(Employee_dataset[[#This Row],[Age]]),
     IF(
        _xlpm.a="","",
        IF(
           AND(ISNUMBER(--_xlpm.a),LEN(_xlpm.a)=2),_xlpm.a,""
          )
       )
    )</f>
        <v>30</v>
      </c>
      <c r="E442" t="str">
        <f>TRIM(_xlfn.TEXTBEFORE(Employee_dataset[[#This Row],[Department_Region]],"-"))</f>
        <v>Cloud Tech</v>
      </c>
      <c r="F442" t="str">
        <f>TRIM(_xlfn.TEXTAFTER(Employee_dataset[[#This Row],[Department_Region]],"-"))</f>
        <v>California</v>
      </c>
      <c r="G442" t="str">
        <f>TRIM(Employee_dataset[[#This Row],[Status]])</f>
        <v>Active</v>
      </c>
      <c r="H442" s="1">
        <f>_xlfn.LET(
     _xlpm.d, Employee_dataset[[#This Row],[Join_Date]],
     IF(
        ISNUMBER(_xlpm.d),_xlpm.d,""
       )
    )</f>
        <v>43918</v>
      </c>
      <c r="I442" s="6">
        <f>_xlfn.LET(
     _xlpm.s, TRIM(Employee_dataset[[#This Row],[Salary]]),
     IF(
        UPPER(_xlpm.s)="N/A","",
        IF(
           ISNUMBER(--_xlpm.s),ROUND(_xlfn.NUMBERVALUE(_xlpm.s),2),""
          )
       )
    )</f>
        <v>115959.65</v>
      </c>
      <c r="J442" t="str">
        <f>TRIM(Employee_dataset[[#This Row],[Email]])</f>
        <v>heidi.smith@example.com</v>
      </c>
      <c r="K442" t="b">
        <f>_xlfn.LET(
     _xlpm.p,TRIM(SUBSTITUTE(Employee_dataset[[#This Row],[Phone]],"-","")),
     IF(
        LEN(_xlpm.p)=10,_xlfn.CONCAT("("&amp;LEFT(_xlpm.p,3)&amp;") "&amp;MID(_xlpm.p,4,3)&amp;"-"&amp;RIGHT(_xlpm.p,4),"")
       )
     )</f>
        <v>0</v>
      </c>
      <c r="L442" t="str">
        <f>TRIM(Employee_dataset[[#This Row],[Performance_Score]])</f>
        <v>Excellent</v>
      </c>
      <c r="M442" t="str">
        <f>TRIM(Employee_dataset[[#This Row],[Remote_Work]])</f>
        <v>TRUE</v>
      </c>
    </row>
    <row r="443" spans="1:13" x14ac:dyDescent="0.3">
      <c r="A443" t="str">
        <f>TRIM(Employee_dataset[[#This Row],[Employee_ID]])</f>
        <v>EMP1441</v>
      </c>
      <c r="B443" t="str">
        <f>PROPER(TRIM(Employee_dataset[[#This Row],[First_Name]]))</f>
        <v>Grace</v>
      </c>
      <c r="C443" t="str">
        <f>PROPER(TRIM(Employee_dataset[[#This Row],[Last_Name]]))</f>
        <v>Garcia</v>
      </c>
      <c r="D443" s="6" t="str">
        <f>_xlfn.LET(
     _xlpm.a, TRIM(Employee_dataset[[#This Row],[Age]]),
     IF(
        _xlpm.a="","",
        IF(
           AND(ISNUMBER(--_xlpm.a),LEN(_xlpm.a)=2),_xlpm.a,""
          )
       )
    )</f>
        <v>40</v>
      </c>
      <c r="E443" t="str">
        <f>TRIM(_xlfn.TEXTBEFORE(Employee_dataset[[#This Row],[Department_Region]],"-"))</f>
        <v>Finance</v>
      </c>
      <c r="F443" t="str">
        <f>TRIM(_xlfn.TEXTAFTER(Employee_dataset[[#This Row],[Department_Region]],"-"))</f>
        <v>Texas</v>
      </c>
      <c r="G443" t="str">
        <f>TRIM(Employee_dataset[[#This Row],[Status]])</f>
        <v>Inactive</v>
      </c>
      <c r="H443" s="1">
        <f>_xlfn.LET(
     _xlpm.d, Employee_dataset[[#This Row],[Join_Date]],
     IF(
        ISNUMBER(_xlpm.d),_xlpm.d,""
       )
    )</f>
        <v>45230</v>
      </c>
      <c r="I443" s="6">
        <f>_xlfn.LET(
     _xlpm.s, TRIM(Employee_dataset[[#This Row],[Salary]]),
     IF(
        UPPER(_xlpm.s)="N/A","",
        IF(
           ISNUMBER(--_xlpm.s),ROUND(_xlfn.NUMBERVALUE(_xlpm.s),2),""
          )
       )
    )</f>
        <v>79866.48</v>
      </c>
      <c r="J443" t="str">
        <f>TRIM(Employee_dataset[[#This Row],[Email]])</f>
        <v>grace.garcia@example.com</v>
      </c>
      <c r="K443" t="str">
        <f>_xlfn.LET(
     _xlpm.p,TRIM(SUBSTITUTE(Employee_dataset[[#This Row],[Phone]],"-","")),
     IF(
        LEN(_xlpm.p)=10,_xlfn.CONCAT("("&amp;LEFT(_xlpm.p,3)&amp;") "&amp;MID(_xlpm.p,4,3)&amp;"-"&amp;RIGHT(_xlpm.p,4),"")
       )
     )</f>
        <v>(251) 762-9832</v>
      </c>
      <c r="L443" t="str">
        <f>TRIM(Employee_dataset[[#This Row],[Performance_Score]])</f>
        <v>Excellent</v>
      </c>
      <c r="M443" t="str">
        <f>TRIM(Employee_dataset[[#This Row],[Remote_Work]])</f>
        <v>TRUE</v>
      </c>
    </row>
    <row r="444" spans="1:13" x14ac:dyDescent="0.3">
      <c r="A444" t="str">
        <f>TRIM(Employee_dataset[[#This Row],[Employee_ID]])</f>
        <v>EMP1442</v>
      </c>
      <c r="B444" t="str">
        <f>PROPER(TRIM(Employee_dataset[[#This Row],[First_Name]]))</f>
        <v>Charlie</v>
      </c>
      <c r="C444" t="str">
        <f>PROPER(TRIM(Employee_dataset[[#This Row],[Last_Name]]))</f>
        <v>Smith</v>
      </c>
      <c r="D444" s="6" t="str">
        <f>_xlfn.LET(
     _xlpm.a, TRIM(Employee_dataset[[#This Row],[Age]]),
     IF(
        _xlpm.a="","",
        IF(
           AND(ISNUMBER(--_xlpm.a),LEN(_xlpm.a)=2),_xlpm.a,""
          )
       )
    )</f>
        <v>35</v>
      </c>
      <c r="E444" t="str">
        <f>TRIM(_xlfn.TEXTBEFORE(Employee_dataset[[#This Row],[Department_Region]],"-"))</f>
        <v>HR</v>
      </c>
      <c r="F444" t="str">
        <f>TRIM(_xlfn.TEXTAFTER(Employee_dataset[[#This Row],[Department_Region]],"-"))</f>
        <v>Florida</v>
      </c>
      <c r="G444" t="str">
        <f>TRIM(Employee_dataset[[#This Row],[Status]])</f>
        <v>Active</v>
      </c>
      <c r="H444" s="1">
        <f>_xlfn.LET(
     _xlpm.d, Employee_dataset[[#This Row],[Join_Date]],
     IF(
        ISNUMBER(_xlpm.d),_xlpm.d,""
       )
    )</f>
        <v>43901</v>
      </c>
      <c r="I444" s="6">
        <f>_xlfn.LET(
     _xlpm.s, TRIM(Employee_dataset[[#This Row],[Salary]]),
     IF(
        UPPER(_xlpm.s)="N/A","",
        IF(
           ISNUMBER(--_xlpm.s),ROUND(_xlfn.NUMBERVALUE(_xlpm.s),2),""
          )
       )
    )</f>
        <v>92987.46</v>
      </c>
      <c r="J444" t="str">
        <f>TRIM(Employee_dataset[[#This Row],[Email]])</f>
        <v>charlie.smith@example.com</v>
      </c>
      <c r="K444" t="str">
        <f>_xlfn.LET(
     _xlpm.p,TRIM(SUBSTITUTE(Employee_dataset[[#This Row],[Phone]],"-","")),
     IF(
        LEN(_xlpm.p)=10,_xlfn.CONCAT("("&amp;LEFT(_xlpm.p,3)&amp;") "&amp;MID(_xlpm.p,4,3)&amp;"-"&amp;RIGHT(_xlpm.p,4),"")
       )
     )</f>
        <v>(477) 433-2682</v>
      </c>
      <c r="L444" t="str">
        <f>TRIM(Employee_dataset[[#This Row],[Performance_Score]])</f>
        <v>Excellent</v>
      </c>
      <c r="M444" t="str">
        <f>TRIM(Employee_dataset[[#This Row],[Remote_Work]])</f>
        <v>TRUE</v>
      </c>
    </row>
    <row r="445" spans="1:13" x14ac:dyDescent="0.3">
      <c r="A445" t="str">
        <f>TRIM(Employee_dataset[[#This Row],[Employee_ID]])</f>
        <v>EMP1443</v>
      </c>
      <c r="B445" t="str">
        <f>PROPER(TRIM(Employee_dataset[[#This Row],[First_Name]]))</f>
        <v>Eva</v>
      </c>
      <c r="C445" t="str">
        <f>PROPER(TRIM(Employee_dataset[[#This Row],[Last_Name]]))</f>
        <v>Garcia</v>
      </c>
      <c r="D445" s="6" t="str">
        <f>_xlfn.LET(
     _xlpm.a, TRIM(Employee_dataset[[#This Row],[Age]]),
     IF(
        _xlpm.a="","",
        IF(
           AND(ISNUMBER(--_xlpm.a),LEN(_xlpm.a)=2),_xlpm.a,""
          )
       )
    )</f>
        <v>40</v>
      </c>
      <c r="E445" t="str">
        <f>TRIM(_xlfn.TEXTBEFORE(Employee_dataset[[#This Row],[Department_Region]],"-"))</f>
        <v>Finance</v>
      </c>
      <c r="F445" t="str">
        <f>TRIM(_xlfn.TEXTAFTER(Employee_dataset[[#This Row],[Department_Region]],"-"))</f>
        <v>Illinois</v>
      </c>
      <c r="G445" t="str">
        <f>TRIM(Employee_dataset[[#This Row],[Status]])</f>
        <v>Inactive</v>
      </c>
      <c r="H445" s="1">
        <f>_xlfn.LET(
     _xlpm.d, Employee_dataset[[#This Row],[Join_Date]],
     IF(
        ISNUMBER(_xlpm.d),_xlpm.d,""
       )
    )</f>
        <v>43955</v>
      </c>
      <c r="I445" s="6">
        <f>_xlfn.LET(
     _xlpm.s, TRIM(Employee_dataset[[#This Row],[Salary]]),
     IF(
        UPPER(_xlpm.s)="N/A","",
        IF(
           ISNUMBER(--_xlpm.s),ROUND(_xlfn.NUMBERVALUE(_xlpm.s),2),""
          )
       )
    )</f>
        <v>56140.51</v>
      </c>
      <c r="J445" t="str">
        <f>TRIM(Employee_dataset[[#This Row],[Email]])</f>
        <v>eva.garcia@example.com</v>
      </c>
      <c r="K445" t="str">
        <f>_xlfn.LET(
     _xlpm.p,TRIM(SUBSTITUTE(Employee_dataset[[#This Row],[Phone]],"-","")),
     IF(
        LEN(_xlpm.p)=10,_xlfn.CONCAT("("&amp;LEFT(_xlpm.p,3)&amp;") "&amp;MID(_xlpm.p,4,3)&amp;"-"&amp;RIGHT(_xlpm.p,4),"")
       )
     )</f>
        <v>(190) 130-2055</v>
      </c>
      <c r="L445" t="str">
        <f>TRIM(Employee_dataset[[#This Row],[Performance_Score]])</f>
        <v>Average</v>
      </c>
      <c r="M445" t="str">
        <f>TRIM(Employee_dataset[[#This Row],[Remote_Work]])</f>
        <v>FALSE</v>
      </c>
    </row>
    <row r="446" spans="1:13" x14ac:dyDescent="0.3">
      <c r="A446" t="str">
        <f>TRIM(Employee_dataset[[#This Row],[Employee_ID]])</f>
        <v>EMP1444</v>
      </c>
      <c r="B446" t="str">
        <f>PROPER(TRIM(Employee_dataset[[#This Row],[First_Name]]))</f>
        <v>Grace</v>
      </c>
      <c r="C446" t="str">
        <f>PROPER(TRIM(Employee_dataset[[#This Row],[Last_Name]]))</f>
        <v>Brown</v>
      </c>
      <c r="D446" s="6" t="str">
        <f>_xlfn.LET(
     _xlpm.a, TRIM(Employee_dataset[[#This Row],[Age]]),
     IF(
        _xlpm.a="","",
        IF(
           AND(ISNUMBER(--_xlpm.a),LEN(_xlpm.a)=2),_xlpm.a,""
          )
       )
    )</f>
        <v>30</v>
      </c>
      <c r="E446" t="str">
        <f>TRIM(_xlfn.TEXTBEFORE(Employee_dataset[[#This Row],[Department_Region]],"-"))</f>
        <v>DevOps</v>
      </c>
      <c r="F446" t="str">
        <f>TRIM(_xlfn.TEXTAFTER(Employee_dataset[[#This Row],[Department_Region]],"-"))</f>
        <v>Illinois</v>
      </c>
      <c r="G446" t="str">
        <f>TRIM(Employee_dataset[[#This Row],[Status]])</f>
        <v>Active</v>
      </c>
      <c r="H446" s="1">
        <f>_xlfn.LET(
     _xlpm.d, Employee_dataset[[#This Row],[Join_Date]],
     IF(
        ISNUMBER(_xlpm.d),_xlpm.d,""
       )
    )</f>
        <v>45122</v>
      </c>
      <c r="I446" s="6">
        <f>_xlfn.LET(
     _xlpm.s, TRIM(Employee_dataset[[#This Row],[Salary]]),
     IF(
        UPPER(_xlpm.s)="N/A","",
        IF(
           ISNUMBER(--_xlpm.s),ROUND(_xlfn.NUMBERVALUE(_xlpm.s),2),""
          )
       )
    )</f>
        <v>119586.11</v>
      </c>
      <c r="J446" t="str">
        <f>TRIM(Employee_dataset[[#This Row],[Email]])</f>
        <v>grace.brown@example.com</v>
      </c>
      <c r="K446" t="str">
        <f>_xlfn.LET(
     _xlpm.p,TRIM(SUBSTITUTE(Employee_dataset[[#This Row],[Phone]],"-","")),
     IF(
        LEN(_xlpm.p)=10,_xlfn.CONCAT("("&amp;LEFT(_xlpm.p,3)&amp;") "&amp;MID(_xlpm.p,4,3)&amp;"-"&amp;RIGHT(_xlpm.p,4),"")
       )
     )</f>
        <v>(981) 528-7338</v>
      </c>
      <c r="L446" t="str">
        <f>TRIM(Employee_dataset[[#This Row],[Performance_Score]])</f>
        <v>Average</v>
      </c>
      <c r="M446" t="str">
        <f>TRIM(Employee_dataset[[#This Row],[Remote_Work]])</f>
        <v>TRUE</v>
      </c>
    </row>
    <row r="447" spans="1:13" x14ac:dyDescent="0.3">
      <c r="A447" t="str">
        <f>TRIM(Employee_dataset[[#This Row],[Employee_ID]])</f>
        <v>EMP1445</v>
      </c>
      <c r="B447" t="str">
        <f>PROPER(TRIM(Employee_dataset[[#This Row],[First_Name]]))</f>
        <v>Alice</v>
      </c>
      <c r="C447" t="str">
        <f>PROPER(TRIM(Employee_dataset[[#This Row],[Last_Name]]))</f>
        <v>Williams</v>
      </c>
      <c r="D447" s="6" t="str">
        <f>_xlfn.LET(
     _xlpm.a, TRIM(Employee_dataset[[#This Row],[Age]]),
     IF(
        _xlpm.a="","",
        IF(
           AND(ISNUMBER(--_xlpm.a),LEN(_xlpm.a)=2),_xlpm.a,""
          )
       )
    )</f>
        <v>40</v>
      </c>
      <c r="E447" t="str">
        <f>TRIM(_xlfn.TEXTBEFORE(Employee_dataset[[#This Row],[Department_Region]],"-"))</f>
        <v>DevOps</v>
      </c>
      <c r="F447" t="str">
        <f>TRIM(_xlfn.TEXTAFTER(Employee_dataset[[#This Row],[Department_Region]],"-"))</f>
        <v>California</v>
      </c>
      <c r="G447" t="str">
        <f>TRIM(Employee_dataset[[#This Row],[Status]])</f>
        <v>Inactive</v>
      </c>
      <c r="H447" s="1">
        <f>_xlfn.LET(
     _xlpm.d, Employee_dataset[[#This Row],[Join_Date]],
     IF(
        ISNUMBER(_xlpm.d),_xlpm.d,""
       )
    )</f>
        <v>44946</v>
      </c>
      <c r="I447" s="6">
        <f>_xlfn.LET(
     _xlpm.s, TRIM(Employee_dataset[[#This Row],[Salary]]),
     IF(
        UPPER(_xlpm.s)="N/A","",
        IF(
           ISNUMBER(--_xlpm.s),ROUND(_xlfn.NUMBERVALUE(_xlpm.s),2),""
          )
       )
    )</f>
        <v>104700.46</v>
      </c>
      <c r="J447" t="str">
        <f>TRIM(Employee_dataset[[#This Row],[Email]])</f>
        <v>alice.williams@example.com</v>
      </c>
      <c r="K447" t="str">
        <f>_xlfn.LET(
     _xlpm.p,TRIM(SUBSTITUTE(Employee_dataset[[#This Row],[Phone]],"-","")),
     IF(
        LEN(_xlpm.p)=10,_xlfn.CONCAT("("&amp;LEFT(_xlpm.p,3)&amp;") "&amp;MID(_xlpm.p,4,3)&amp;"-"&amp;RIGHT(_xlpm.p,4),"")
       )
     )</f>
        <v>(785) 598-2175</v>
      </c>
      <c r="L447" t="str">
        <f>TRIM(Employee_dataset[[#This Row],[Performance_Score]])</f>
        <v>Good</v>
      </c>
      <c r="M447" t="str">
        <f>TRIM(Employee_dataset[[#This Row],[Remote_Work]])</f>
        <v>TRUE</v>
      </c>
    </row>
    <row r="448" spans="1:13" x14ac:dyDescent="0.3">
      <c r="A448" t="str">
        <f>TRIM(Employee_dataset[[#This Row],[Employee_ID]])</f>
        <v>EMP1446</v>
      </c>
      <c r="B448" t="str">
        <f>PROPER(TRIM(Employee_dataset[[#This Row],[First_Name]]))</f>
        <v>Frank</v>
      </c>
      <c r="C448" t="str">
        <f>PROPER(TRIM(Employee_dataset[[#This Row],[Last_Name]]))</f>
        <v>Williams</v>
      </c>
      <c r="D448" s="6" t="str">
        <f>_xlfn.LET(
     _xlpm.a, TRIM(Employee_dataset[[#This Row],[Age]]),
     IF(
        _xlpm.a="","",
        IF(
           AND(ISNUMBER(--_xlpm.a),LEN(_xlpm.a)=2),_xlpm.a,""
          )
       )
    )</f>
        <v>40</v>
      </c>
      <c r="E448" t="str">
        <f>TRIM(_xlfn.TEXTBEFORE(Employee_dataset[[#This Row],[Department_Region]],"-"))</f>
        <v>HR</v>
      </c>
      <c r="F448" t="str">
        <f>TRIM(_xlfn.TEXTAFTER(Employee_dataset[[#This Row],[Department_Region]],"-"))</f>
        <v>New York</v>
      </c>
      <c r="G448" t="str">
        <f>TRIM(Employee_dataset[[#This Row],[Status]])</f>
        <v>Active</v>
      </c>
      <c r="H448" s="1">
        <f>_xlfn.LET(
     _xlpm.d, Employee_dataset[[#This Row],[Join_Date]],
     IF(
        ISNUMBER(_xlpm.d),_xlpm.d,""
       )
    )</f>
        <v>44484</v>
      </c>
      <c r="I448" s="6">
        <f>_xlfn.LET(
     _xlpm.s, TRIM(Employee_dataset[[#This Row],[Salary]]),
     IF(
        UPPER(_xlpm.s)="N/A","",
        IF(
           ISNUMBER(--_xlpm.s),ROUND(_xlfn.NUMBERVALUE(_xlpm.s),2),""
          )
       )
    )</f>
        <v>91798.14</v>
      </c>
      <c r="J448" t="str">
        <f>TRIM(Employee_dataset[[#This Row],[Email]])</f>
        <v>frank.williams@example.com</v>
      </c>
      <c r="K448" t="str">
        <f>_xlfn.LET(
     _xlpm.p,TRIM(SUBSTITUTE(Employee_dataset[[#This Row],[Phone]],"-","")),
     IF(
        LEN(_xlpm.p)=10,_xlfn.CONCAT("("&amp;LEFT(_xlpm.p,3)&amp;") "&amp;MID(_xlpm.p,4,3)&amp;"-"&amp;RIGHT(_xlpm.p,4),"")
       )
     )</f>
        <v>(619) 128-4116</v>
      </c>
      <c r="L448" t="str">
        <f>TRIM(Employee_dataset[[#This Row],[Performance_Score]])</f>
        <v>Good</v>
      </c>
      <c r="M448" t="str">
        <f>TRIM(Employee_dataset[[#This Row],[Remote_Work]])</f>
        <v>FALSE</v>
      </c>
    </row>
    <row r="449" spans="1:13" x14ac:dyDescent="0.3">
      <c r="A449" t="str">
        <f>TRIM(Employee_dataset[[#This Row],[Employee_ID]])</f>
        <v>EMP1447</v>
      </c>
      <c r="B449" t="str">
        <f>PROPER(TRIM(Employee_dataset[[#This Row],[First_Name]]))</f>
        <v>Eva</v>
      </c>
      <c r="C449" t="str">
        <f>PROPER(TRIM(Employee_dataset[[#This Row],[Last_Name]]))</f>
        <v>Miller</v>
      </c>
      <c r="D449" s="6" t="str">
        <f>_xlfn.LET(
     _xlpm.a, TRIM(Employee_dataset[[#This Row],[Age]]),
     IF(
        _xlpm.a="","",
        IF(
           AND(ISNUMBER(--_xlpm.a),LEN(_xlpm.a)=2),_xlpm.a,""
          )
       )
    )</f>
        <v>25</v>
      </c>
      <c r="E449" t="str">
        <f>TRIM(_xlfn.TEXTBEFORE(Employee_dataset[[#This Row],[Department_Region]],"-"))</f>
        <v>Finance</v>
      </c>
      <c r="F449" t="str">
        <f>TRIM(_xlfn.TEXTAFTER(Employee_dataset[[#This Row],[Department_Region]],"-"))</f>
        <v>Illinois</v>
      </c>
      <c r="G449" t="str">
        <f>TRIM(Employee_dataset[[#This Row],[Status]])</f>
        <v>Inactive</v>
      </c>
      <c r="H449" s="1">
        <f>_xlfn.LET(
     _xlpm.d, Employee_dataset[[#This Row],[Join_Date]],
     IF(
        ISNUMBER(_xlpm.d),_xlpm.d,""
       )
    )</f>
        <v>45401</v>
      </c>
      <c r="I449" s="6">
        <f>_xlfn.LET(
     _xlpm.s, TRIM(Employee_dataset[[#This Row],[Salary]]),
     IF(
        UPPER(_xlpm.s)="N/A","",
        IF(
           ISNUMBER(--_xlpm.s),ROUND(_xlfn.NUMBERVALUE(_xlpm.s),2),""
          )
       )
    )</f>
        <v>90879.22</v>
      </c>
      <c r="J449" t="str">
        <f>TRIM(Employee_dataset[[#This Row],[Email]])</f>
        <v>eva.miller@example.com</v>
      </c>
      <c r="K449" t="str">
        <f>_xlfn.LET(
     _xlpm.p,TRIM(SUBSTITUTE(Employee_dataset[[#This Row],[Phone]],"-","")),
     IF(
        LEN(_xlpm.p)=10,_xlfn.CONCAT("("&amp;LEFT(_xlpm.p,3)&amp;") "&amp;MID(_xlpm.p,4,3)&amp;"-"&amp;RIGHT(_xlpm.p,4),"")
       )
     )</f>
        <v>(309) 850-3445</v>
      </c>
      <c r="L449" t="str">
        <f>TRIM(Employee_dataset[[#This Row],[Performance_Score]])</f>
        <v>Good</v>
      </c>
      <c r="M449" t="str">
        <f>TRIM(Employee_dataset[[#This Row],[Remote_Work]])</f>
        <v>FALSE</v>
      </c>
    </row>
    <row r="450" spans="1:13" x14ac:dyDescent="0.3">
      <c r="A450" t="str">
        <f>TRIM(Employee_dataset[[#This Row],[Employee_ID]])</f>
        <v>EMP1448</v>
      </c>
      <c r="B450" t="str">
        <f>PROPER(TRIM(Employee_dataset[[#This Row],[First_Name]]))</f>
        <v>Charlie</v>
      </c>
      <c r="C450" t="str">
        <f>PROPER(TRIM(Employee_dataset[[#This Row],[Last_Name]]))</f>
        <v>Davis</v>
      </c>
      <c r="D450" s="6" t="str">
        <f>_xlfn.LET(
     _xlpm.a, TRIM(Employee_dataset[[#This Row],[Age]]),
     IF(
        _xlpm.a="","",
        IF(
           AND(ISNUMBER(--_xlpm.a),LEN(_xlpm.a)=2),_xlpm.a,""
          )
       )
    )</f>
        <v>25</v>
      </c>
      <c r="E450" t="str">
        <f>TRIM(_xlfn.TEXTBEFORE(Employee_dataset[[#This Row],[Department_Region]],"-"))</f>
        <v>Admin</v>
      </c>
      <c r="F450" t="str">
        <f>TRIM(_xlfn.TEXTAFTER(Employee_dataset[[#This Row],[Department_Region]],"-"))</f>
        <v>Nevada</v>
      </c>
      <c r="G450" t="str">
        <f>TRIM(Employee_dataset[[#This Row],[Status]])</f>
        <v>Active</v>
      </c>
      <c r="H450" s="1">
        <f>_xlfn.LET(
     _xlpm.d, Employee_dataset[[#This Row],[Join_Date]],
     IF(
        ISNUMBER(_xlpm.d),_xlpm.d,""
       )
    )</f>
        <v>44376</v>
      </c>
      <c r="I450" s="6">
        <f>_xlfn.LET(
     _xlpm.s, TRIM(Employee_dataset[[#This Row],[Salary]]),
     IF(
        UPPER(_xlpm.s)="N/A","",
        IF(
           ISNUMBER(--_xlpm.s),ROUND(_xlfn.NUMBERVALUE(_xlpm.s),2),""
          )
       )
    )</f>
        <v>87358.27</v>
      </c>
      <c r="J450" t="str">
        <f>TRIM(Employee_dataset[[#This Row],[Email]])</f>
        <v>charlie.davis@example.com</v>
      </c>
      <c r="K450" t="str">
        <f>_xlfn.LET(
     _xlpm.p,TRIM(SUBSTITUTE(Employee_dataset[[#This Row],[Phone]],"-","")),
     IF(
        LEN(_xlpm.p)=10,_xlfn.CONCAT("("&amp;LEFT(_xlpm.p,3)&amp;") "&amp;MID(_xlpm.p,4,3)&amp;"-"&amp;RIGHT(_xlpm.p,4),"")
       )
     )</f>
        <v>(512) 418-9388</v>
      </c>
      <c r="L450" t="str">
        <f>TRIM(Employee_dataset[[#This Row],[Performance_Score]])</f>
        <v>Poor</v>
      </c>
      <c r="M450" t="str">
        <f>TRIM(Employee_dataset[[#This Row],[Remote_Work]])</f>
        <v>FALSE</v>
      </c>
    </row>
    <row r="451" spans="1:13" x14ac:dyDescent="0.3">
      <c r="A451" t="str">
        <f>TRIM(Employee_dataset[[#This Row],[Employee_ID]])</f>
        <v>EMP1449</v>
      </c>
      <c r="B451" t="str">
        <f>PROPER(TRIM(Employee_dataset[[#This Row],[First_Name]]))</f>
        <v>Alice</v>
      </c>
      <c r="C451" t="str">
        <f>PROPER(TRIM(Employee_dataset[[#This Row],[Last_Name]]))</f>
        <v>Miller</v>
      </c>
      <c r="D451" s="6" t="str">
        <f>_xlfn.LET(
     _xlpm.a, TRIM(Employee_dataset[[#This Row],[Age]]),
     IF(
        _xlpm.a="","",
        IF(
           AND(ISNUMBER(--_xlpm.a),LEN(_xlpm.a)=2),_xlpm.a,""
          )
       )
    )</f>
        <v>30</v>
      </c>
      <c r="E451" t="str">
        <f>TRIM(_xlfn.TEXTBEFORE(Employee_dataset[[#This Row],[Department_Region]],"-"))</f>
        <v>Sales</v>
      </c>
      <c r="F451" t="str">
        <f>TRIM(_xlfn.TEXTAFTER(Employee_dataset[[#This Row],[Department_Region]],"-"))</f>
        <v>Florida</v>
      </c>
      <c r="G451" t="str">
        <f>TRIM(Employee_dataset[[#This Row],[Status]])</f>
        <v>Inactive</v>
      </c>
      <c r="H451" s="1">
        <f>_xlfn.LET(
     _xlpm.d, Employee_dataset[[#This Row],[Join_Date]],
     IF(
        ISNUMBER(_xlpm.d),_xlpm.d,""
       )
    )</f>
        <v>45549</v>
      </c>
      <c r="I451" s="6">
        <f>_xlfn.LET(
     _xlpm.s, TRIM(Employee_dataset[[#This Row],[Salary]]),
     IF(
        UPPER(_xlpm.s)="N/A","",
        IF(
           ISNUMBER(--_xlpm.s),ROUND(_xlfn.NUMBERVALUE(_xlpm.s),2),""
          )
       )
    )</f>
        <v>119407.93</v>
      </c>
      <c r="J451" t="str">
        <f>TRIM(Employee_dataset[[#This Row],[Email]])</f>
        <v>alice.miller@example.com</v>
      </c>
      <c r="K451" t="str">
        <f>_xlfn.LET(
     _xlpm.p,TRIM(SUBSTITUTE(Employee_dataset[[#This Row],[Phone]],"-","")),
     IF(
        LEN(_xlpm.p)=10,_xlfn.CONCAT("("&amp;LEFT(_xlpm.p,3)&amp;") "&amp;MID(_xlpm.p,4,3)&amp;"-"&amp;RIGHT(_xlpm.p,4),"")
       )
     )</f>
        <v>(846) 908-1973</v>
      </c>
      <c r="L451" t="str">
        <f>TRIM(Employee_dataset[[#This Row],[Performance_Score]])</f>
        <v>Excellent</v>
      </c>
      <c r="M451" t="str">
        <f>TRIM(Employee_dataset[[#This Row],[Remote_Work]])</f>
        <v>TRUE</v>
      </c>
    </row>
    <row r="452" spans="1:13" x14ac:dyDescent="0.3">
      <c r="A452" t="str">
        <f>TRIM(Employee_dataset[[#This Row],[Employee_ID]])</f>
        <v>EMP1450</v>
      </c>
      <c r="B452" t="str">
        <f>PROPER(TRIM(Employee_dataset[[#This Row],[First_Name]]))</f>
        <v>David</v>
      </c>
      <c r="C452" t="str">
        <f>PROPER(TRIM(Employee_dataset[[#This Row],[Last_Name]]))</f>
        <v>Miller</v>
      </c>
      <c r="D452" s="6" t="str">
        <f>_xlfn.LET(
     _xlpm.a, TRIM(Employee_dataset[[#This Row],[Age]]),
     IF(
        _xlpm.a="","",
        IF(
           AND(ISNUMBER(--_xlpm.a),LEN(_xlpm.a)=2),_xlpm.a,""
          )
       )
    )</f>
        <v/>
      </c>
      <c r="E452" t="str">
        <f>TRIM(_xlfn.TEXTBEFORE(Employee_dataset[[#This Row],[Department_Region]],"-"))</f>
        <v>HR</v>
      </c>
      <c r="F452" t="str">
        <f>TRIM(_xlfn.TEXTAFTER(Employee_dataset[[#This Row],[Department_Region]],"-"))</f>
        <v>Nevada</v>
      </c>
      <c r="G452" t="str">
        <f>TRIM(Employee_dataset[[#This Row],[Status]])</f>
        <v>Pending</v>
      </c>
      <c r="H452" s="1">
        <f>_xlfn.LET(
     _xlpm.d, Employee_dataset[[#This Row],[Join_Date]],
     IF(
        ISNUMBER(_xlpm.d),_xlpm.d,""
       )
    )</f>
        <v>44565</v>
      </c>
      <c r="I452" s="6">
        <f>_xlfn.LET(
     _xlpm.s, TRIM(Employee_dataset[[#This Row],[Salary]]),
     IF(
        UPPER(_xlpm.s)="N/A","",
        IF(
           ISNUMBER(--_xlpm.s),ROUND(_xlfn.NUMBERVALUE(_xlpm.s),2),""
          )
       )
    )</f>
        <v>113978.6</v>
      </c>
      <c r="J452" t="str">
        <f>TRIM(Employee_dataset[[#This Row],[Email]])</f>
        <v>david.miller@example.com</v>
      </c>
      <c r="K452" t="b">
        <f>_xlfn.LET(
     _xlpm.p,TRIM(SUBSTITUTE(Employee_dataset[[#This Row],[Phone]],"-","")),
     IF(
        LEN(_xlpm.p)=10,_xlfn.CONCAT("("&amp;LEFT(_xlpm.p,3)&amp;") "&amp;MID(_xlpm.p,4,3)&amp;"-"&amp;RIGHT(_xlpm.p,4),"")
       )
     )</f>
        <v>0</v>
      </c>
      <c r="L452" t="str">
        <f>TRIM(Employee_dataset[[#This Row],[Performance_Score]])</f>
        <v>Excellent</v>
      </c>
      <c r="M452" t="str">
        <f>TRIM(Employee_dataset[[#This Row],[Remote_Work]])</f>
        <v>TRUE</v>
      </c>
    </row>
    <row r="453" spans="1:13" x14ac:dyDescent="0.3">
      <c r="A453" t="str">
        <f>TRIM(Employee_dataset[[#This Row],[Employee_ID]])</f>
        <v>EMP1451</v>
      </c>
      <c r="B453" t="str">
        <f>PROPER(TRIM(Employee_dataset[[#This Row],[First_Name]]))</f>
        <v>Frank</v>
      </c>
      <c r="C453" t="str">
        <f>PROPER(TRIM(Employee_dataset[[#This Row],[Last_Name]]))</f>
        <v>Miller</v>
      </c>
      <c r="D453" s="6" t="str">
        <f>_xlfn.LET(
     _xlpm.a, TRIM(Employee_dataset[[#This Row],[Age]]),
     IF(
        _xlpm.a="","",
        IF(
           AND(ISNUMBER(--_xlpm.a),LEN(_xlpm.a)=2),_xlpm.a,""
          )
       )
    )</f>
        <v/>
      </c>
      <c r="E453" t="str">
        <f>TRIM(_xlfn.TEXTBEFORE(Employee_dataset[[#This Row],[Department_Region]],"-"))</f>
        <v>Sales</v>
      </c>
      <c r="F453" t="str">
        <f>TRIM(_xlfn.TEXTAFTER(Employee_dataset[[#This Row],[Department_Region]],"-"))</f>
        <v>New York</v>
      </c>
      <c r="G453" t="str">
        <f>TRIM(Employee_dataset[[#This Row],[Status]])</f>
        <v>Pending</v>
      </c>
      <c r="H453" s="1">
        <f>_xlfn.LET(
     _xlpm.d, Employee_dataset[[#This Row],[Join_Date]],
     IF(
        ISNUMBER(_xlpm.d),_xlpm.d,""
       )
    )</f>
        <v>44216</v>
      </c>
      <c r="I453" s="6">
        <f>_xlfn.LET(
     _xlpm.s, TRIM(Employee_dataset[[#This Row],[Salary]]),
     IF(
        UPPER(_xlpm.s)="N/A","",
        IF(
           ISNUMBER(--_xlpm.s),ROUND(_xlfn.NUMBERVALUE(_xlpm.s),2),""
          )
       )
    )</f>
        <v>108568.78</v>
      </c>
      <c r="J453" t="str">
        <f>TRIM(Employee_dataset[[#This Row],[Email]])</f>
        <v>frank.miller@example.com</v>
      </c>
      <c r="K453" t="str">
        <f>_xlfn.LET(
     _xlpm.p,TRIM(SUBSTITUTE(Employee_dataset[[#This Row],[Phone]],"-","")),
     IF(
        LEN(_xlpm.p)=10,_xlfn.CONCAT("("&amp;LEFT(_xlpm.p,3)&amp;") "&amp;MID(_xlpm.p,4,3)&amp;"-"&amp;RIGHT(_xlpm.p,4),"")
       )
     )</f>
        <v>(850) 371-9904</v>
      </c>
      <c r="L453" t="str">
        <f>TRIM(Employee_dataset[[#This Row],[Performance_Score]])</f>
        <v>Good</v>
      </c>
      <c r="M453" t="str">
        <f>TRIM(Employee_dataset[[#This Row],[Remote_Work]])</f>
        <v>TRUE</v>
      </c>
    </row>
    <row r="454" spans="1:13" x14ac:dyDescent="0.3">
      <c r="A454" t="str">
        <f>TRIM(Employee_dataset[[#This Row],[Employee_ID]])</f>
        <v>EMP1452</v>
      </c>
      <c r="B454" t="str">
        <f>PROPER(TRIM(Employee_dataset[[#This Row],[First_Name]]))</f>
        <v>Heidi</v>
      </c>
      <c r="C454" t="str">
        <f>PROPER(TRIM(Employee_dataset[[#This Row],[Last_Name]]))</f>
        <v>Miller</v>
      </c>
      <c r="D454" s="6" t="str">
        <f>_xlfn.LET(
     _xlpm.a, TRIM(Employee_dataset[[#This Row],[Age]]),
     IF(
        _xlpm.a="","",
        IF(
           AND(ISNUMBER(--_xlpm.a),LEN(_xlpm.a)=2),_xlpm.a,""
          )
       )
    )</f>
        <v/>
      </c>
      <c r="E454" t="str">
        <f>TRIM(_xlfn.TEXTBEFORE(Employee_dataset[[#This Row],[Department_Region]],"-"))</f>
        <v>HR</v>
      </c>
      <c r="F454" t="str">
        <f>TRIM(_xlfn.TEXTAFTER(Employee_dataset[[#This Row],[Department_Region]],"-"))</f>
        <v>New York</v>
      </c>
      <c r="G454" t="str">
        <f>TRIM(Employee_dataset[[#This Row],[Status]])</f>
        <v>Inactive</v>
      </c>
      <c r="H454" s="1">
        <f>_xlfn.LET(
     _xlpm.d, Employee_dataset[[#This Row],[Join_Date]],
     IF(
        ISNUMBER(_xlpm.d),_xlpm.d,""
       )
    )</f>
        <v>43908</v>
      </c>
      <c r="I454" s="6">
        <f>_xlfn.LET(
     _xlpm.s, TRIM(Employee_dataset[[#This Row],[Salary]]),
     IF(
        UPPER(_xlpm.s)="N/A","",
        IF(
           ISNUMBER(--_xlpm.s),ROUND(_xlfn.NUMBERVALUE(_xlpm.s),2),""
          )
       )
    )</f>
        <v>56318.02</v>
      </c>
      <c r="J454" t="str">
        <f>TRIM(Employee_dataset[[#This Row],[Email]])</f>
        <v>heidi.miller@example.com</v>
      </c>
      <c r="K454" t="str">
        <f>_xlfn.LET(
     _xlpm.p,TRIM(SUBSTITUTE(Employee_dataset[[#This Row],[Phone]],"-","")),
     IF(
        LEN(_xlpm.p)=10,_xlfn.CONCAT("("&amp;LEFT(_xlpm.p,3)&amp;") "&amp;MID(_xlpm.p,4,3)&amp;"-"&amp;RIGHT(_xlpm.p,4),"")
       )
     )</f>
        <v>(169) 918-7239</v>
      </c>
      <c r="L454" t="str">
        <f>TRIM(Employee_dataset[[#This Row],[Performance_Score]])</f>
        <v>Excellent</v>
      </c>
      <c r="M454" t="str">
        <f>TRIM(Employee_dataset[[#This Row],[Remote_Work]])</f>
        <v>FALSE</v>
      </c>
    </row>
    <row r="455" spans="1:13" x14ac:dyDescent="0.3">
      <c r="A455" t="str">
        <f>TRIM(Employee_dataset[[#This Row],[Employee_ID]])</f>
        <v>EMP1453</v>
      </c>
      <c r="B455" t="str">
        <f>PROPER(TRIM(Employee_dataset[[#This Row],[First_Name]]))</f>
        <v>David</v>
      </c>
      <c r="C455" t="str">
        <f>PROPER(TRIM(Employee_dataset[[#This Row],[Last_Name]]))</f>
        <v>Miller</v>
      </c>
      <c r="D455" s="6" t="str">
        <f>_xlfn.LET(
     _xlpm.a, TRIM(Employee_dataset[[#This Row],[Age]]),
     IF(
        _xlpm.a="","",
        IF(
           AND(ISNUMBER(--_xlpm.a),LEN(_xlpm.a)=2),_xlpm.a,""
          )
       )
    )</f>
        <v>25</v>
      </c>
      <c r="E455" t="str">
        <f>TRIM(_xlfn.TEXTBEFORE(Employee_dataset[[#This Row],[Department_Region]],"-"))</f>
        <v>Sales</v>
      </c>
      <c r="F455" t="str">
        <f>TRIM(_xlfn.TEXTAFTER(Employee_dataset[[#This Row],[Department_Region]],"-"))</f>
        <v>Florida</v>
      </c>
      <c r="G455" t="str">
        <f>TRIM(Employee_dataset[[#This Row],[Status]])</f>
        <v>Active</v>
      </c>
      <c r="H455" s="1">
        <f>_xlfn.LET(
     _xlpm.d, Employee_dataset[[#This Row],[Join_Date]],
     IF(
        ISNUMBER(_xlpm.d),_xlpm.d,""
       )
    )</f>
        <v>44510</v>
      </c>
      <c r="I455" s="6">
        <f>_xlfn.LET(
     _xlpm.s, TRIM(Employee_dataset[[#This Row],[Salary]]),
     IF(
        UPPER(_xlpm.s)="N/A","",
        IF(
           ISNUMBER(--_xlpm.s),ROUND(_xlfn.NUMBERVALUE(_xlpm.s),2),""
          )
       )
    )</f>
        <v>114252.73</v>
      </c>
      <c r="J455" t="str">
        <f>TRIM(Employee_dataset[[#This Row],[Email]])</f>
        <v>david.miller@example.com</v>
      </c>
      <c r="K455" t="str">
        <f>_xlfn.LET(
     _xlpm.p,TRIM(SUBSTITUTE(Employee_dataset[[#This Row],[Phone]],"-","")),
     IF(
        LEN(_xlpm.p)=10,_xlfn.CONCAT("("&amp;LEFT(_xlpm.p,3)&amp;") "&amp;MID(_xlpm.p,4,3)&amp;"-"&amp;RIGHT(_xlpm.p,4),"")
       )
     )</f>
        <v>(107) 835-6742</v>
      </c>
      <c r="L455" t="str">
        <f>TRIM(Employee_dataset[[#This Row],[Performance_Score]])</f>
        <v>Good</v>
      </c>
      <c r="M455" t="str">
        <f>TRIM(Employee_dataset[[#This Row],[Remote_Work]])</f>
        <v>FALSE</v>
      </c>
    </row>
    <row r="456" spans="1:13" x14ac:dyDescent="0.3">
      <c r="A456" t="str">
        <f>TRIM(Employee_dataset[[#This Row],[Employee_ID]])</f>
        <v>EMP1454</v>
      </c>
      <c r="B456" t="str">
        <f>PROPER(TRIM(Employee_dataset[[#This Row],[First_Name]]))</f>
        <v>Charlie</v>
      </c>
      <c r="C456" t="str">
        <f>PROPER(TRIM(Employee_dataset[[#This Row],[Last_Name]]))</f>
        <v>Jones</v>
      </c>
      <c r="D456" s="6" t="str">
        <f>_xlfn.LET(
     _xlpm.a, TRIM(Employee_dataset[[#This Row],[Age]]),
     IF(
        _xlpm.a="","",
        IF(
           AND(ISNUMBER(--_xlpm.a),LEN(_xlpm.a)=2),_xlpm.a,""
          )
       )
    )</f>
        <v>35</v>
      </c>
      <c r="E456" t="str">
        <f>TRIM(_xlfn.TEXTBEFORE(Employee_dataset[[#This Row],[Department_Region]],"-"))</f>
        <v>DevOps</v>
      </c>
      <c r="F456" t="str">
        <f>TRIM(_xlfn.TEXTAFTER(Employee_dataset[[#This Row],[Department_Region]],"-"))</f>
        <v>New York</v>
      </c>
      <c r="G456" t="str">
        <f>TRIM(Employee_dataset[[#This Row],[Status]])</f>
        <v>Inactive</v>
      </c>
      <c r="H456" s="1">
        <f>_xlfn.LET(
     _xlpm.d, Employee_dataset[[#This Row],[Join_Date]],
     IF(
        ISNUMBER(_xlpm.d),_xlpm.d,""
       )
    )</f>
        <v>43952</v>
      </c>
      <c r="I456" s="6">
        <f>_xlfn.LET(
     _xlpm.s, TRIM(Employee_dataset[[#This Row],[Salary]]),
     IF(
        UPPER(_xlpm.s)="N/A","",
        IF(
           ISNUMBER(--_xlpm.s),ROUND(_xlfn.NUMBERVALUE(_xlpm.s),2),""
          )
       )
    )</f>
        <v>51533.9</v>
      </c>
      <c r="J456" t="str">
        <f>TRIM(Employee_dataset[[#This Row],[Email]])</f>
        <v>charlie.jones@example.com</v>
      </c>
      <c r="K456" t="b">
        <f>_xlfn.LET(
     _xlpm.p,TRIM(SUBSTITUTE(Employee_dataset[[#This Row],[Phone]],"-","")),
     IF(
        LEN(_xlpm.p)=10,_xlfn.CONCAT("("&amp;LEFT(_xlpm.p,3)&amp;") "&amp;MID(_xlpm.p,4,3)&amp;"-"&amp;RIGHT(_xlpm.p,4),"")
       )
     )</f>
        <v>0</v>
      </c>
      <c r="L456" t="str">
        <f>TRIM(Employee_dataset[[#This Row],[Performance_Score]])</f>
        <v>Poor</v>
      </c>
      <c r="M456" t="str">
        <f>TRIM(Employee_dataset[[#This Row],[Remote_Work]])</f>
        <v>TRUE</v>
      </c>
    </row>
    <row r="457" spans="1:13" x14ac:dyDescent="0.3">
      <c r="A457" t="str">
        <f>TRIM(Employee_dataset[[#This Row],[Employee_ID]])</f>
        <v>EMP1455</v>
      </c>
      <c r="B457" t="str">
        <f>PROPER(TRIM(Employee_dataset[[#This Row],[First_Name]]))</f>
        <v>Charlie</v>
      </c>
      <c r="C457" t="str">
        <f>PROPER(TRIM(Employee_dataset[[#This Row],[Last_Name]]))</f>
        <v>Williams</v>
      </c>
      <c r="D457" s="6" t="str">
        <f>_xlfn.LET(
     _xlpm.a, TRIM(Employee_dataset[[#This Row],[Age]]),
     IF(
        _xlpm.a="","",
        IF(
           AND(ISNUMBER(--_xlpm.a),LEN(_xlpm.a)=2),_xlpm.a,""
          )
       )
    )</f>
        <v>25</v>
      </c>
      <c r="E457" t="str">
        <f>TRIM(_xlfn.TEXTBEFORE(Employee_dataset[[#This Row],[Department_Region]],"-"))</f>
        <v>Sales</v>
      </c>
      <c r="F457" t="str">
        <f>TRIM(_xlfn.TEXTAFTER(Employee_dataset[[#This Row],[Department_Region]],"-"))</f>
        <v>California</v>
      </c>
      <c r="G457" t="str">
        <f>TRIM(Employee_dataset[[#This Row],[Status]])</f>
        <v>Active</v>
      </c>
      <c r="H457" s="1">
        <f>_xlfn.LET(
     _xlpm.d, Employee_dataset[[#This Row],[Join_Date]],
     IF(
        ISNUMBER(_xlpm.d),_xlpm.d,""
       )
    )</f>
        <v>44596</v>
      </c>
      <c r="I457" s="6">
        <f>_xlfn.LET(
     _xlpm.s, TRIM(Employee_dataset[[#This Row],[Salary]]),
     IF(
        UPPER(_xlpm.s)="N/A","",
        IF(
           ISNUMBER(--_xlpm.s),ROUND(_xlfn.NUMBERVALUE(_xlpm.s),2),""
          )
       )
    )</f>
        <v>99317.66</v>
      </c>
      <c r="J457" t="str">
        <f>TRIM(Employee_dataset[[#This Row],[Email]])</f>
        <v>charlie.williams@example.com</v>
      </c>
      <c r="K457" t="b">
        <f>_xlfn.LET(
     _xlpm.p,TRIM(SUBSTITUTE(Employee_dataset[[#This Row],[Phone]],"-","")),
     IF(
        LEN(_xlpm.p)=10,_xlfn.CONCAT("("&amp;LEFT(_xlpm.p,3)&amp;") "&amp;MID(_xlpm.p,4,3)&amp;"-"&amp;RIGHT(_xlpm.p,4),"")
       )
     )</f>
        <v>0</v>
      </c>
      <c r="L457" t="str">
        <f>TRIM(Employee_dataset[[#This Row],[Performance_Score]])</f>
        <v>Poor</v>
      </c>
      <c r="M457" t="str">
        <f>TRIM(Employee_dataset[[#This Row],[Remote_Work]])</f>
        <v>FALSE</v>
      </c>
    </row>
    <row r="458" spans="1:13" x14ac:dyDescent="0.3">
      <c r="A458" t="str">
        <f>TRIM(Employee_dataset[[#This Row],[Employee_ID]])</f>
        <v>EMP1456</v>
      </c>
      <c r="B458" t="str">
        <f>PROPER(TRIM(Employee_dataset[[#This Row],[First_Name]]))</f>
        <v>Bob</v>
      </c>
      <c r="C458" t="str">
        <f>PROPER(TRIM(Employee_dataset[[#This Row],[Last_Name]]))</f>
        <v>Miller</v>
      </c>
      <c r="D458" s="6" t="str">
        <f>_xlfn.LET(
     _xlpm.a, TRIM(Employee_dataset[[#This Row],[Age]]),
     IF(
        _xlpm.a="","",
        IF(
           AND(ISNUMBER(--_xlpm.a),LEN(_xlpm.a)=2),_xlpm.a,""
          )
       )
    )</f>
        <v>35</v>
      </c>
      <c r="E458" t="str">
        <f>TRIM(_xlfn.TEXTBEFORE(Employee_dataset[[#This Row],[Department_Region]],"-"))</f>
        <v>HR</v>
      </c>
      <c r="F458" t="str">
        <f>TRIM(_xlfn.TEXTAFTER(Employee_dataset[[#This Row],[Department_Region]],"-"))</f>
        <v>California</v>
      </c>
      <c r="G458" t="str">
        <f>TRIM(Employee_dataset[[#This Row],[Status]])</f>
        <v>Active</v>
      </c>
      <c r="H458" s="1">
        <f>_xlfn.LET(
     _xlpm.d, Employee_dataset[[#This Row],[Join_Date]],
     IF(
        ISNUMBER(_xlpm.d),_xlpm.d,""
       )
    )</f>
        <v>44153</v>
      </c>
      <c r="I458" s="6">
        <f>_xlfn.LET(
     _xlpm.s, TRIM(Employee_dataset[[#This Row],[Salary]]),
     IF(
        UPPER(_xlpm.s)="N/A","",
        IF(
           ISNUMBER(--_xlpm.s),ROUND(_xlfn.NUMBERVALUE(_xlpm.s),2),""
          )
       )
    )</f>
        <v>101264.64</v>
      </c>
      <c r="J458" t="str">
        <f>TRIM(Employee_dataset[[#This Row],[Email]])</f>
        <v>bob.miller@example.com</v>
      </c>
      <c r="K458" t="str">
        <f>_xlfn.LET(
     _xlpm.p,TRIM(SUBSTITUTE(Employee_dataset[[#This Row],[Phone]],"-","")),
     IF(
        LEN(_xlpm.p)=10,_xlfn.CONCAT("("&amp;LEFT(_xlpm.p,3)&amp;") "&amp;MID(_xlpm.p,4,3)&amp;"-"&amp;RIGHT(_xlpm.p,4),"")
       )
     )</f>
        <v>(195) 535-6032</v>
      </c>
      <c r="L458" t="str">
        <f>TRIM(Employee_dataset[[#This Row],[Performance_Score]])</f>
        <v>Average</v>
      </c>
      <c r="M458" t="str">
        <f>TRIM(Employee_dataset[[#This Row],[Remote_Work]])</f>
        <v>FALSE</v>
      </c>
    </row>
    <row r="459" spans="1:13" x14ac:dyDescent="0.3">
      <c r="A459" t="str">
        <f>TRIM(Employee_dataset[[#This Row],[Employee_ID]])</f>
        <v>EMP1457</v>
      </c>
      <c r="B459" t="str">
        <f>PROPER(TRIM(Employee_dataset[[#This Row],[First_Name]]))</f>
        <v>Heidi</v>
      </c>
      <c r="C459" t="str">
        <f>PROPER(TRIM(Employee_dataset[[#This Row],[Last_Name]]))</f>
        <v>Garcia</v>
      </c>
      <c r="D459" s="6" t="str">
        <f>_xlfn.LET(
     _xlpm.a, TRIM(Employee_dataset[[#This Row],[Age]]),
     IF(
        _xlpm.a="","",
        IF(
           AND(ISNUMBER(--_xlpm.a),LEN(_xlpm.a)=2),_xlpm.a,""
          )
       )
    )</f>
        <v>35</v>
      </c>
      <c r="E459" t="str">
        <f>TRIM(_xlfn.TEXTBEFORE(Employee_dataset[[#This Row],[Department_Region]],"-"))</f>
        <v>Admin</v>
      </c>
      <c r="F459" t="str">
        <f>TRIM(_xlfn.TEXTAFTER(Employee_dataset[[#This Row],[Department_Region]],"-"))</f>
        <v>Nevada</v>
      </c>
      <c r="G459" t="str">
        <f>TRIM(Employee_dataset[[#This Row],[Status]])</f>
        <v>Pending</v>
      </c>
      <c r="H459" s="1">
        <f>_xlfn.LET(
     _xlpm.d, Employee_dataset[[#This Row],[Join_Date]],
     IF(
        ISNUMBER(_xlpm.d),_xlpm.d,""
       )
    )</f>
        <v>45251</v>
      </c>
      <c r="I459" s="6">
        <f>_xlfn.LET(
     _xlpm.s, TRIM(Employee_dataset[[#This Row],[Salary]]),
     IF(
        UPPER(_xlpm.s)="N/A","",
        IF(
           ISNUMBER(--_xlpm.s),ROUND(_xlfn.NUMBERVALUE(_xlpm.s),2),""
          )
       )
    )</f>
        <v>112272.02</v>
      </c>
      <c r="J459" t="str">
        <f>TRIM(Employee_dataset[[#This Row],[Email]])</f>
        <v>heidi.garcia@example.com</v>
      </c>
      <c r="K459" t="str">
        <f>_xlfn.LET(
     _xlpm.p,TRIM(SUBSTITUTE(Employee_dataset[[#This Row],[Phone]],"-","")),
     IF(
        LEN(_xlpm.p)=10,_xlfn.CONCAT("("&amp;LEFT(_xlpm.p,3)&amp;") "&amp;MID(_xlpm.p,4,3)&amp;"-"&amp;RIGHT(_xlpm.p,4),"")
       )
     )</f>
        <v>(190) 368-9002</v>
      </c>
      <c r="L459" t="str">
        <f>TRIM(Employee_dataset[[#This Row],[Performance_Score]])</f>
        <v>Poor</v>
      </c>
      <c r="M459" t="str">
        <f>TRIM(Employee_dataset[[#This Row],[Remote_Work]])</f>
        <v>FALSE</v>
      </c>
    </row>
    <row r="460" spans="1:13" x14ac:dyDescent="0.3">
      <c r="A460" t="str">
        <f>TRIM(Employee_dataset[[#This Row],[Employee_ID]])</f>
        <v>EMP1458</v>
      </c>
      <c r="B460" t="str">
        <f>PROPER(TRIM(Employee_dataset[[#This Row],[First_Name]]))</f>
        <v>Frank</v>
      </c>
      <c r="C460" t="str">
        <f>PROPER(TRIM(Employee_dataset[[#This Row],[Last_Name]]))</f>
        <v>Williams</v>
      </c>
      <c r="D460" s="6" t="str">
        <f>_xlfn.LET(
     _xlpm.a, TRIM(Employee_dataset[[#This Row],[Age]]),
     IF(
        _xlpm.a="","",
        IF(
           AND(ISNUMBER(--_xlpm.a),LEN(_xlpm.a)=2),_xlpm.a,""
          )
       )
    )</f>
        <v>30</v>
      </c>
      <c r="E460" t="str">
        <f>TRIM(_xlfn.TEXTBEFORE(Employee_dataset[[#This Row],[Department_Region]],"-"))</f>
        <v>DevOps</v>
      </c>
      <c r="F460" t="str">
        <f>TRIM(_xlfn.TEXTAFTER(Employee_dataset[[#This Row],[Department_Region]],"-"))</f>
        <v>Illinois</v>
      </c>
      <c r="G460" t="str">
        <f>TRIM(Employee_dataset[[#This Row],[Status]])</f>
        <v>Active</v>
      </c>
      <c r="H460" s="1">
        <f>_xlfn.LET(
     _xlpm.d, Employee_dataset[[#This Row],[Join_Date]],
     IF(
        ISNUMBER(_xlpm.d),_xlpm.d,""
       )
    )</f>
        <v>44605</v>
      </c>
      <c r="I460" s="6">
        <f>_xlfn.LET(
     _xlpm.s, TRIM(Employee_dataset[[#This Row],[Salary]]),
     IF(
        UPPER(_xlpm.s)="N/A","",
        IF(
           ISNUMBER(--_xlpm.s),ROUND(_xlfn.NUMBERVALUE(_xlpm.s),2),""
          )
       )
    )</f>
        <v>71477.63</v>
      </c>
      <c r="J460" t="str">
        <f>TRIM(Employee_dataset[[#This Row],[Email]])</f>
        <v>frank.williams@example.com</v>
      </c>
      <c r="K460" t="b">
        <f>_xlfn.LET(
     _xlpm.p,TRIM(SUBSTITUTE(Employee_dataset[[#This Row],[Phone]],"-","")),
     IF(
        LEN(_xlpm.p)=10,_xlfn.CONCAT("("&amp;LEFT(_xlpm.p,3)&amp;") "&amp;MID(_xlpm.p,4,3)&amp;"-"&amp;RIGHT(_xlpm.p,4),"")
       )
     )</f>
        <v>0</v>
      </c>
      <c r="L460" t="str">
        <f>TRIM(Employee_dataset[[#This Row],[Performance_Score]])</f>
        <v>Good</v>
      </c>
      <c r="M460" t="str">
        <f>TRIM(Employee_dataset[[#This Row],[Remote_Work]])</f>
        <v>TRUE</v>
      </c>
    </row>
    <row r="461" spans="1:13" x14ac:dyDescent="0.3">
      <c r="A461" t="str">
        <f>TRIM(Employee_dataset[[#This Row],[Employee_ID]])</f>
        <v>EMP1459</v>
      </c>
      <c r="B461" t="str">
        <f>PROPER(TRIM(Employee_dataset[[#This Row],[First_Name]]))</f>
        <v>Charlie</v>
      </c>
      <c r="C461" t="str">
        <f>PROPER(TRIM(Employee_dataset[[#This Row],[Last_Name]]))</f>
        <v>Williams</v>
      </c>
      <c r="D461" s="6" t="str">
        <f>_xlfn.LET(
     _xlpm.a, TRIM(Employee_dataset[[#This Row],[Age]]),
     IF(
        _xlpm.a="","",
        IF(
           AND(ISNUMBER(--_xlpm.a),LEN(_xlpm.a)=2),_xlpm.a,""
          )
       )
    )</f>
        <v>30</v>
      </c>
      <c r="E461" t="str">
        <f>TRIM(_xlfn.TEXTBEFORE(Employee_dataset[[#This Row],[Department_Region]],"-"))</f>
        <v>DevOps</v>
      </c>
      <c r="F461" t="str">
        <f>TRIM(_xlfn.TEXTAFTER(Employee_dataset[[#This Row],[Department_Region]],"-"))</f>
        <v>Texas</v>
      </c>
      <c r="G461" t="str">
        <f>TRIM(Employee_dataset[[#This Row],[Status]])</f>
        <v>Pending</v>
      </c>
      <c r="H461" s="1">
        <f>_xlfn.LET(
     _xlpm.d, Employee_dataset[[#This Row],[Join_Date]],
     IF(
        ISNUMBER(_xlpm.d),_xlpm.d,""
       )
    )</f>
        <v>45004</v>
      </c>
      <c r="I461" s="6">
        <f>_xlfn.LET(
     _xlpm.s, TRIM(Employee_dataset[[#This Row],[Salary]]),
     IF(
        UPPER(_xlpm.s)="N/A","",
        IF(
           ISNUMBER(--_xlpm.s),ROUND(_xlfn.NUMBERVALUE(_xlpm.s),2),""
          )
       )
    )</f>
        <v>77412.100000000006</v>
      </c>
      <c r="J461" t="str">
        <f>TRIM(Employee_dataset[[#This Row],[Email]])</f>
        <v>charlie.williams@example.com</v>
      </c>
      <c r="K461" t="str">
        <f>_xlfn.LET(
     _xlpm.p,TRIM(SUBSTITUTE(Employee_dataset[[#This Row],[Phone]],"-","")),
     IF(
        LEN(_xlpm.p)=10,_xlfn.CONCAT("("&amp;LEFT(_xlpm.p,3)&amp;") "&amp;MID(_xlpm.p,4,3)&amp;"-"&amp;RIGHT(_xlpm.p,4),"")
       )
     )</f>
        <v>(934) 296-7110</v>
      </c>
      <c r="L461" t="str">
        <f>TRIM(Employee_dataset[[#This Row],[Performance_Score]])</f>
        <v>Poor</v>
      </c>
      <c r="M461" t="str">
        <f>TRIM(Employee_dataset[[#This Row],[Remote_Work]])</f>
        <v>FALSE</v>
      </c>
    </row>
    <row r="462" spans="1:13" x14ac:dyDescent="0.3">
      <c r="A462" t="str">
        <f>TRIM(Employee_dataset[[#This Row],[Employee_ID]])</f>
        <v>EMP1460</v>
      </c>
      <c r="B462" t="str">
        <f>PROPER(TRIM(Employee_dataset[[#This Row],[First_Name]]))</f>
        <v>Alice</v>
      </c>
      <c r="C462" t="str">
        <f>PROPER(TRIM(Employee_dataset[[#This Row],[Last_Name]]))</f>
        <v>Johnson</v>
      </c>
      <c r="D462" s="6" t="str">
        <f>_xlfn.LET(
     _xlpm.a, TRIM(Employee_dataset[[#This Row],[Age]]),
     IF(
        _xlpm.a="","",
        IF(
           AND(ISNUMBER(--_xlpm.a),LEN(_xlpm.a)=2),_xlpm.a,""
          )
       )
    )</f>
        <v>30</v>
      </c>
      <c r="E462" t="str">
        <f>TRIM(_xlfn.TEXTBEFORE(Employee_dataset[[#This Row],[Department_Region]],"-"))</f>
        <v>Sales</v>
      </c>
      <c r="F462" t="str">
        <f>TRIM(_xlfn.TEXTAFTER(Employee_dataset[[#This Row],[Department_Region]],"-"))</f>
        <v>California</v>
      </c>
      <c r="G462" t="str">
        <f>TRIM(Employee_dataset[[#This Row],[Status]])</f>
        <v>Pending</v>
      </c>
      <c r="H462" s="1">
        <f>_xlfn.LET(
     _xlpm.d, Employee_dataset[[#This Row],[Join_Date]],
     IF(
        ISNUMBER(_xlpm.d),_xlpm.d,""
       )
    )</f>
        <v>44283</v>
      </c>
      <c r="I462" s="6">
        <f>_xlfn.LET(
     _xlpm.s, TRIM(Employee_dataset[[#This Row],[Salary]]),
     IF(
        UPPER(_xlpm.s)="N/A","",
        IF(
           ISNUMBER(--_xlpm.s),ROUND(_xlfn.NUMBERVALUE(_xlpm.s),2),""
          )
       )
    )</f>
        <v>94775.27</v>
      </c>
      <c r="J462" t="str">
        <f>TRIM(Employee_dataset[[#This Row],[Email]])</f>
        <v>alice.johnson@example.com</v>
      </c>
      <c r="K462" t="str">
        <f>_xlfn.LET(
     _xlpm.p,TRIM(SUBSTITUTE(Employee_dataset[[#This Row],[Phone]],"-","")),
     IF(
        LEN(_xlpm.p)=10,_xlfn.CONCAT("("&amp;LEFT(_xlpm.p,3)&amp;") "&amp;MID(_xlpm.p,4,3)&amp;"-"&amp;RIGHT(_xlpm.p,4),"")
       )
     )</f>
        <v>(483) 753-7457</v>
      </c>
      <c r="L462" t="str">
        <f>TRIM(Employee_dataset[[#This Row],[Performance_Score]])</f>
        <v>Average</v>
      </c>
      <c r="M462" t="str">
        <f>TRIM(Employee_dataset[[#This Row],[Remote_Work]])</f>
        <v>FALSE</v>
      </c>
    </row>
    <row r="463" spans="1:13" x14ac:dyDescent="0.3">
      <c r="A463" t="str">
        <f>TRIM(Employee_dataset[[#This Row],[Employee_ID]])</f>
        <v>EMP1461</v>
      </c>
      <c r="B463" t="str">
        <f>PROPER(TRIM(Employee_dataset[[#This Row],[First_Name]]))</f>
        <v>Heidi</v>
      </c>
      <c r="C463" t="str">
        <f>PROPER(TRIM(Employee_dataset[[#This Row],[Last_Name]]))</f>
        <v>Jones</v>
      </c>
      <c r="D463" s="6" t="str">
        <f>_xlfn.LET(
     _xlpm.a, TRIM(Employee_dataset[[#This Row],[Age]]),
     IF(
        _xlpm.a="","",
        IF(
           AND(ISNUMBER(--_xlpm.a),LEN(_xlpm.a)=2),_xlpm.a,""
          )
       )
    )</f>
        <v>30</v>
      </c>
      <c r="E463" t="str">
        <f>TRIM(_xlfn.TEXTBEFORE(Employee_dataset[[#This Row],[Department_Region]],"-"))</f>
        <v>HR</v>
      </c>
      <c r="F463" t="str">
        <f>TRIM(_xlfn.TEXTAFTER(Employee_dataset[[#This Row],[Department_Region]],"-"))</f>
        <v>Nevada</v>
      </c>
      <c r="G463" t="str">
        <f>TRIM(Employee_dataset[[#This Row],[Status]])</f>
        <v>Active</v>
      </c>
      <c r="H463" s="1">
        <f>_xlfn.LET(
     _xlpm.d, Employee_dataset[[#This Row],[Join_Date]],
     IF(
        ISNUMBER(_xlpm.d),_xlpm.d,""
       )
    )</f>
        <v>44318</v>
      </c>
      <c r="I463" s="6">
        <f>_xlfn.LET(
     _xlpm.s, TRIM(Employee_dataset[[#This Row],[Salary]]),
     IF(
        UPPER(_xlpm.s)="N/A","",
        IF(
           ISNUMBER(--_xlpm.s),ROUND(_xlfn.NUMBERVALUE(_xlpm.s),2),""
          )
       )
    )</f>
        <v>74276.710000000006</v>
      </c>
      <c r="J463" t="str">
        <f>TRIM(Employee_dataset[[#This Row],[Email]])</f>
        <v>heidi.jones@example.com</v>
      </c>
      <c r="K463" t="str">
        <f>_xlfn.LET(
     _xlpm.p,TRIM(SUBSTITUTE(Employee_dataset[[#This Row],[Phone]],"-","")),
     IF(
        LEN(_xlpm.p)=10,_xlfn.CONCAT("("&amp;LEFT(_xlpm.p,3)&amp;") "&amp;MID(_xlpm.p,4,3)&amp;"-"&amp;RIGHT(_xlpm.p,4),"")
       )
     )</f>
        <v>(438) 458-8104</v>
      </c>
      <c r="L463" t="str">
        <f>TRIM(Employee_dataset[[#This Row],[Performance_Score]])</f>
        <v>Excellent</v>
      </c>
      <c r="M463" t="str">
        <f>TRIM(Employee_dataset[[#This Row],[Remote_Work]])</f>
        <v>TRUE</v>
      </c>
    </row>
    <row r="464" spans="1:13" x14ac:dyDescent="0.3">
      <c r="A464" t="str">
        <f>TRIM(Employee_dataset[[#This Row],[Employee_ID]])</f>
        <v>EMP1462</v>
      </c>
      <c r="B464" t="str">
        <f>PROPER(TRIM(Employee_dataset[[#This Row],[First_Name]]))</f>
        <v>Bob</v>
      </c>
      <c r="C464" t="str">
        <f>PROPER(TRIM(Employee_dataset[[#This Row],[Last_Name]]))</f>
        <v>Miller</v>
      </c>
      <c r="D464" s="6" t="str">
        <f>_xlfn.LET(
     _xlpm.a, TRIM(Employee_dataset[[#This Row],[Age]]),
     IF(
        _xlpm.a="","",
        IF(
           AND(ISNUMBER(--_xlpm.a),LEN(_xlpm.a)=2),_xlpm.a,""
          )
       )
    )</f>
        <v>35</v>
      </c>
      <c r="E464" t="str">
        <f>TRIM(_xlfn.TEXTBEFORE(Employee_dataset[[#This Row],[Department_Region]],"-"))</f>
        <v>Finance</v>
      </c>
      <c r="F464" t="str">
        <f>TRIM(_xlfn.TEXTAFTER(Employee_dataset[[#This Row],[Department_Region]],"-"))</f>
        <v>Texas</v>
      </c>
      <c r="G464" t="str">
        <f>TRIM(Employee_dataset[[#This Row],[Status]])</f>
        <v>Inactive</v>
      </c>
      <c r="H464" s="1">
        <f>_xlfn.LET(
     _xlpm.d, Employee_dataset[[#This Row],[Join_Date]],
     IF(
        ISNUMBER(_xlpm.d),_xlpm.d,""
       )
    )</f>
        <v>44260</v>
      </c>
      <c r="I464" s="6">
        <f>_xlfn.LET(
     _xlpm.s, TRIM(Employee_dataset[[#This Row],[Salary]]),
     IF(
        UPPER(_xlpm.s)="N/A","",
        IF(
           ISNUMBER(--_xlpm.s),ROUND(_xlfn.NUMBERVALUE(_xlpm.s),2),""
          )
       )
    )</f>
        <v>67467.86</v>
      </c>
      <c r="J464" t="str">
        <f>TRIM(Employee_dataset[[#This Row],[Email]])</f>
        <v>bob.miller@example.com</v>
      </c>
      <c r="K464" t="str">
        <f>_xlfn.LET(
     _xlpm.p,TRIM(SUBSTITUTE(Employee_dataset[[#This Row],[Phone]],"-","")),
     IF(
        LEN(_xlpm.p)=10,_xlfn.CONCAT("("&amp;LEFT(_xlpm.p,3)&amp;") "&amp;MID(_xlpm.p,4,3)&amp;"-"&amp;RIGHT(_xlpm.p,4),"")
       )
     )</f>
        <v>(697) 413-2833</v>
      </c>
      <c r="L464" t="str">
        <f>TRIM(Employee_dataset[[#This Row],[Performance_Score]])</f>
        <v>Good</v>
      </c>
      <c r="M464" t="str">
        <f>TRIM(Employee_dataset[[#This Row],[Remote_Work]])</f>
        <v>TRUE</v>
      </c>
    </row>
    <row r="465" spans="1:13" x14ac:dyDescent="0.3">
      <c r="A465" t="str">
        <f>TRIM(Employee_dataset[[#This Row],[Employee_ID]])</f>
        <v>EMP1463</v>
      </c>
      <c r="B465" t="str">
        <f>PROPER(TRIM(Employee_dataset[[#This Row],[First_Name]]))</f>
        <v>Eva</v>
      </c>
      <c r="C465" t="str">
        <f>PROPER(TRIM(Employee_dataset[[#This Row],[Last_Name]]))</f>
        <v>Smith</v>
      </c>
      <c r="D465" s="6" t="str">
        <f>_xlfn.LET(
     _xlpm.a, TRIM(Employee_dataset[[#This Row],[Age]]),
     IF(
        _xlpm.a="","",
        IF(
           AND(ISNUMBER(--_xlpm.a),LEN(_xlpm.a)=2),_xlpm.a,""
          )
       )
    )</f>
        <v>25</v>
      </c>
      <c r="E465" t="str">
        <f>TRIM(_xlfn.TEXTBEFORE(Employee_dataset[[#This Row],[Department_Region]],"-"))</f>
        <v>DevOps</v>
      </c>
      <c r="F465" t="str">
        <f>TRIM(_xlfn.TEXTAFTER(Employee_dataset[[#This Row],[Department_Region]],"-"))</f>
        <v>Texas</v>
      </c>
      <c r="G465" t="str">
        <f>TRIM(Employee_dataset[[#This Row],[Status]])</f>
        <v>Active</v>
      </c>
      <c r="H465" s="1">
        <f>_xlfn.LET(
     _xlpm.d, Employee_dataset[[#This Row],[Join_Date]],
     IF(
        ISNUMBER(_xlpm.d),_xlpm.d,""
       )
    )</f>
        <v>44621</v>
      </c>
      <c r="I465" s="6">
        <f>_xlfn.LET(
     _xlpm.s, TRIM(Employee_dataset[[#This Row],[Salary]]),
     IF(
        UPPER(_xlpm.s)="N/A","",
        IF(
           ISNUMBER(--_xlpm.s),ROUND(_xlfn.NUMBERVALUE(_xlpm.s),2),""
          )
       )
    )</f>
        <v>80675.41</v>
      </c>
      <c r="J465" t="str">
        <f>TRIM(Employee_dataset[[#This Row],[Email]])</f>
        <v>eva.smith@example.com</v>
      </c>
      <c r="K465" t="str">
        <f>_xlfn.LET(
     _xlpm.p,TRIM(SUBSTITUTE(Employee_dataset[[#This Row],[Phone]],"-","")),
     IF(
        LEN(_xlpm.p)=10,_xlfn.CONCAT("("&amp;LEFT(_xlpm.p,3)&amp;") "&amp;MID(_xlpm.p,4,3)&amp;"-"&amp;RIGHT(_xlpm.p,4),"")
       )
     )</f>
        <v>(831) 520-3770</v>
      </c>
      <c r="L465" t="str">
        <f>TRIM(Employee_dataset[[#This Row],[Performance_Score]])</f>
        <v>Excellent</v>
      </c>
      <c r="M465" t="str">
        <f>TRIM(Employee_dataset[[#This Row],[Remote_Work]])</f>
        <v>FALSE</v>
      </c>
    </row>
    <row r="466" spans="1:13" x14ac:dyDescent="0.3">
      <c r="A466" t="str">
        <f>TRIM(Employee_dataset[[#This Row],[Employee_ID]])</f>
        <v>EMP1464</v>
      </c>
      <c r="B466" t="str">
        <f>PROPER(TRIM(Employee_dataset[[#This Row],[First_Name]]))</f>
        <v>Charlie</v>
      </c>
      <c r="C466" t="str">
        <f>PROPER(TRIM(Employee_dataset[[#This Row],[Last_Name]]))</f>
        <v>Brown</v>
      </c>
      <c r="D466" s="6" t="str">
        <f>_xlfn.LET(
     _xlpm.a, TRIM(Employee_dataset[[#This Row],[Age]]),
     IF(
        _xlpm.a="","",
        IF(
           AND(ISNUMBER(--_xlpm.a),LEN(_xlpm.a)=2),_xlpm.a,""
          )
       )
    )</f>
        <v>40</v>
      </c>
      <c r="E466" t="str">
        <f>TRIM(_xlfn.TEXTBEFORE(Employee_dataset[[#This Row],[Department_Region]],"-"))</f>
        <v>Finance</v>
      </c>
      <c r="F466" t="str">
        <f>TRIM(_xlfn.TEXTAFTER(Employee_dataset[[#This Row],[Department_Region]],"-"))</f>
        <v>Florida</v>
      </c>
      <c r="G466" t="str">
        <f>TRIM(Employee_dataset[[#This Row],[Status]])</f>
        <v>Inactive</v>
      </c>
      <c r="H466" s="1">
        <f>_xlfn.LET(
     _xlpm.d, Employee_dataset[[#This Row],[Join_Date]],
     IF(
        ISNUMBER(_xlpm.d),_xlpm.d,""
       )
    )</f>
        <v>44949</v>
      </c>
      <c r="I466" s="6">
        <f>_xlfn.LET(
     _xlpm.s, TRIM(Employee_dataset[[#This Row],[Salary]]),
     IF(
        UPPER(_xlpm.s)="N/A","",
        IF(
           ISNUMBER(--_xlpm.s),ROUND(_xlfn.NUMBERVALUE(_xlpm.s),2),""
          )
       )
    )</f>
        <v>76274.33</v>
      </c>
      <c r="J466" t="str">
        <f>TRIM(Employee_dataset[[#This Row],[Email]])</f>
        <v>charlie.brown@example.com</v>
      </c>
      <c r="K466" t="b">
        <f>_xlfn.LET(
     _xlpm.p,TRIM(SUBSTITUTE(Employee_dataset[[#This Row],[Phone]],"-","")),
     IF(
        LEN(_xlpm.p)=10,_xlfn.CONCAT("("&amp;LEFT(_xlpm.p,3)&amp;") "&amp;MID(_xlpm.p,4,3)&amp;"-"&amp;RIGHT(_xlpm.p,4),"")
       )
     )</f>
        <v>0</v>
      </c>
      <c r="L466" t="str">
        <f>TRIM(Employee_dataset[[#This Row],[Performance_Score]])</f>
        <v>Average</v>
      </c>
      <c r="M466" t="str">
        <f>TRIM(Employee_dataset[[#This Row],[Remote_Work]])</f>
        <v>FALSE</v>
      </c>
    </row>
    <row r="467" spans="1:13" x14ac:dyDescent="0.3">
      <c r="A467" t="str">
        <f>TRIM(Employee_dataset[[#This Row],[Employee_ID]])</f>
        <v>EMP1465</v>
      </c>
      <c r="B467" t="str">
        <f>PROPER(TRIM(Employee_dataset[[#This Row],[First_Name]]))</f>
        <v>David</v>
      </c>
      <c r="C467" t="str">
        <f>PROPER(TRIM(Employee_dataset[[#This Row],[Last_Name]]))</f>
        <v>Davis</v>
      </c>
      <c r="D467" s="6" t="str">
        <f>_xlfn.LET(
     _xlpm.a, TRIM(Employee_dataset[[#This Row],[Age]]),
     IF(
        _xlpm.a="","",
        IF(
           AND(ISNUMBER(--_xlpm.a),LEN(_xlpm.a)=2),_xlpm.a,""
          )
       )
    )</f>
        <v>30</v>
      </c>
      <c r="E467" t="str">
        <f>TRIM(_xlfn.TEXTBEFORE(Employee_dataset[[#This Row],[Department_Region]],"-"))</f>
        <v>Finance</v>
      </c>
      <c r="F467" t="str">
        <f>TRIM(_xlfn.TEXTAFTER(Employee_dataset[[#This Row],[Department_Region]],"-"))</f>
        <v>Texas</v>
      </c>
      <c r="G467" t="str">
        <f>TRIM(Employee_dataset[[#This Row],[Status]])</f>
        <v>Active</v>
      </c>
      <c r="H467" s="1">
        <f>_xlfn.LET(
     _xlpm.d, Employee_dataset[[#This Row],[Join_Date]],
     IF(
        ISNUMBER(_xlpm.d),_xlpm.d,""
       )
    )</f>
        <v>44434</v>
      </c>
      <c r="I467" s="6">
        <f>_xlfn.LET(
     _xlpm.s, TRIM(Employee_dataset[[#This Row],[Salary]]),
     IF(
        UPPER(_xlpm.s)="N/A","",
        IF(
           ISNUMBER(--_xlpm.s),ROUND(_xlfn.NUMBERVALUE(_xlpm.s),2),""
          )
       )
    )</f>
        <v>51405.46</v>
      </c>
      <c r="J467" t="str">
        <f>TRIM(Employee_dataset[[#This Row],[Email]])</f>
        <v>david.davis@example.com</v>
      </c>
      <c r="K467" t="str">
        <f>_xlfn.LET(
     _xlpm.p,TRIM(SUBSTITUTE(Employee_dataset[[#This Row],[Phone]],"-","")),
     IF(
        LEN(_xlpm.p)=10,_xlfn.CONCAT("("&amp;LEFT(_xlpm.p,3)&amp;") "&amp;MID(_xlpm.p,4,3)&amp;"-"&amp;RIGHT(_xlpm.p,4),"")
       )
     )</f>
        <v>(496) 706-6702</v>
      </c>
      <c r="L467" t="str">
        <f>TRIM(Employee_dataset[[#This Row],[Performance_Score]])</f>
        <v>Average</v>
      </c>
      <c r="M467" t="str">
        <f>TRIM(Employee_dataset[[#This Row],[Remote_Work]])</f>
        <v>TRUE</v>
      </c>
    </row>
    <row r="468" spans="1:13" x14ac:dyDescent="0.3">
      <c r="A468" t="str">
        <f>TRIM(Employee_dataset[[#This Row],[Employee_ID]])</f>
        <v>EMP1466</v>
      </c>
      <c r="B468" t="str">
        <f>PROPER(TRIM(Employee_dataset[[#This Row],[First_Name]]))</f>
        <v>Bob</v>
      </c>
      <c r="C468" t="str">
        <f>PROPER(TRIM(Employee_dataset[[#This Row],[Last_Name]]))</f>
        <v>Garcia</v>
      </c>
      <c r="D468" s="6" t="str">
        <f>_xlfn.LET(
     _xlpm.a, TRIM(Employee_dataset[[#This Row],[Age]]),
     IF(
        _xlpm.a="","",
        IF(
           AND(ISNUMBER(--_xlpm.a),LEN(_xlpm.a)=2),_xlpm.a,""
          )
       )
    )</f>
        <v>25</v>
      </c>
      <c r="E468" t="str">
        <f>TRIM(_xlfn.TEXTBEFORE(Employee_dataset[[#This Row],[Department_Region]],"-"))</f>
        <v>HR</v>
      </c>
      <c r="F468" t="str">
        <f>TRIM(_xlfn.TEXTAFTER(Employee_dataset[[#This Row],[Department_Region]],"-"))</f>
        <v>New York</v>
      </c>
      <c r="G468" t="str">
        <f>TRIM(Employee_dataset[[#This Row],[Status]])</f>
        <v>Inactive</v>
      </c>
      <c r="H468" s="1">
        <f>_xlfn.LET(
     _xlpm.d, Employee_dataset[[#This Row],[Join_Date]],
     IF(
        ISNUMBER(_xlpm.d),_xlpm.d,""
       )
    )</f>
        <v>44160</v>
      </c>
      <c r="I468" s="6">
        <f>_xlfn.LET(
     _xlpm.s, TRIM(Employee_dataset[[#This Row],[Salary]]),
     IF(
        UPPER(_xlpm.s)="N/A","",
        IF(
           ISNUMBER(--_xlpm.s),ROUND(_xlfn.NUMBERVALUE(_xlpm.s),2),""
          )
       )
    )</f>
        <v>101238.96</v>
      </c>
      <c r="J468" t="str">
        <f>TRIM(Employee_dataset[[#This Row],[Email]])</f>
        <v>bob.garcia@example.com</v>
      </c>
      <c r="K468" t="str">
        <f>_xlfn.LET(
     _xlpm.p,TRIM(SUBSTITUTE(Employee_dataset[[#This Row],[Phone]],"-","")),
     IF(
        LEN(_xlpm.p)=10,_xlfn.CONCAT("("&amp;LEFT(_xlpm.p,3)&amp;") "&amp;MID(_xlpm.p,4,3)&amp;"-"&amp;RIGHT(_xlpm.p,4),"")
       )
     )</f>
        <v>(362) 680-4084</v>
      </c>
      <c r="L468" t="str">
        <f>TRIM(Employee_dataset[[#This Row],[Performance_Score]])</f>
        <v>Average</v>
      </c>
      <c r="M468" t="str">
        <f>TRIM(Employee_dataset[[#This Row],[Remote_Work]])</f>
        <v>TRUE</v>
      </c>
    </row>
    <row r="469" spans="1:13" x14ac:dyDescent="0.3">
      <c r="A469" t="str">
        <f>TRIM(Employee_dataset[[#This Row],[Employee_ID]])</f>
        <v>EMP1467</v>
      </c>
      <c r="B469" t="str">
        <f>PROPER(TRIM(Employee_dataset[[#This Row],[First_Name]]))</f>
        <v>Bob</v>
      </c>
      <c r="C469" t="str">
        <f>PROPER(TRIM(Employee_dataset[[#This Row],[Last_Name]]))</f>
        <v>Smith</v>
      </c>
      <c r="D469" s="6" t="str">
        <f>_xlfn.LET(
     _xlpm.a, TRIM(Employee_dataset[[#This Row],[Age]]),
     IF(
        _xlpm.a="","",
        IF(
           AND(ISNUMBER(--_xlpm.a),LEN(_xlpm.a)=2),_xlpm.a,""
          )
       )
    )</f>
        <v>35</v>
      </c>
      <c r="E469" t="str">
        <f>TRIM(_xlfn.TEXTBEFORE(Employee_dataset[[#This Row],[Department_Region]],"-"))</f>
        <v>Sales</v>
      </c>
      <c r="F469" t="str">
        <f>TRIM(_xlfn.TEXTAFTER(Employee_dataset[[#This Row],[Department_Region]],"-"))</f>
        <v>Illinois</v>
      </c>
      <c r="G469" t="str">
        <f>TRIM(Employee_dataset[[#This Row],[Status]])</f>
        <v>Inactive</v>
      </c>
      <c r="H469" s="1">
        <f>_xlfn.LET(
     _xlpm.d, Employee_dataset[[#This Row],[Join_Date]],
     IF(
        ISNUMBER(_xlpm.d),_xlpm.d,""
       )
    )</f>
        <v>45273</v>
      </c>
      <c r="I469" s="6">
        <f>_xlfn.LET(
     _xlpm.s, TRIM(Employee_dataset[[#This Row],[Salary]]),
     IF(
        UPPER(_xlpm.s)="N/A","",
        IF(
           ISNUMBER(--_xlpm.s),ROUND(_xlfn.NUMBERVALUE(_xlpm.s),2),""
          )
       )
    )</f>
        <v>52169.52</v>
      </c>
      <c r="J469" t="str">
        <f>TRIM(Employee_dataset[[#This Row],[Email]])</f>
        <v>bob.smith@example.com</v>
      </c>
      <c r="K469" t="b">
        <f>_xlfn.LET(
     _xlpm.p,TRIM(SUBSTITUTE(Employee_dataset[[#This Row],[Phone]],"-","")),
     IF(
        LEN(_xlpm.p)=10,_xlfn.CONCAT("("&amp;LEFT(_xlpm.p,3)&amp;") "&amp;MID(_xlpm.p,4,3)&amp;"-"&amp;RIGHT(_xlpm.p,4),"")
       )
     )</f>
        <v>0</v>
      </c>
      <c r="L469" t="str">
        <f>TRIM(Employee_dataset[[#This Row],[Performance_Score]])</f>
        <v>Excellent</v>
      </c>
      <c r="M469" t="str">
        <f>TRIM(Employee_dataset[[#This Row],[Remote_Work]])</f>
        <v>FALSE</v>
      </c>
    </row>
    <row r="470" spans="1:13" x14ac:dyDescent="0.3">
      <c r="A470" t="str">
        <f>TRIM(Employee_dataset[[#This Row],[Employee_ID]])</f>
        <v>EMP1468</v>
      </c>
      <c r="B470" t="str">
        <f>PROPER(TRIM(Employee_dataset[[#This Row],[First_Name]]))</f>
        <v>Charlie</v>
      </c>
      <c r="C470" t="str">
        <f>PROPER(TRIM(Employee_dataset[[#This Row],[Last_Name]]))</f>
        <v>Jones</v>
      </c>
      <c r="D470" s="6" t="str">
        <f>_xlfn.LET(
     _xlpm.a, TRIM(Employee_dataset[[#This Row],[Age]]),
     IF(
        _xlpm.a="","",
        IF(
           AND(ISNUMBER(--_xlpm.a),LEN(_xlpm.a)=2),_xlpm.a,""
          )
       )
    )</f>
        <v/>
      </c>
      <c r="E470" t="str">
        <f>TRIM(_xlfn.TEXTBEFORE(Employee_dataset[[#This Row],[Department_Region]],"-"))</f>
        <v>Finance</v>
      </c>
      <c r="F470" t="str">
        <f>TRIM(_xlfn.TEXTAFTER(Employee_dataset[[#This Row],[Department_Region]],"-"))</f>
        <v>New York</v>
      </c>
      <c r="G470" t="str">
        <f>TRIM(Employee_dataset[[#This Row],[Status]])</f>
        <v>Active</v>
      </c>
      <c r="H470" s="1">
        <f>_xlfn.LET(
     _xlpm.d, Employee_dataset[[#This Row],[Join_Date]],
     IF(
        ISNUMBER(_xlpm.d),_xlpm.d,""
       )
    )</f>
        <v>44038</v>
      </c>
      <c r="I470" s="6">
        <f>_xlfn.LET(
     _xlpm.s, TRIM(Employee_dataset[[#This Row],[Salary]]),
     IF(
        UPPER(_xlpm.s)="N/A","",
        IF(
           ISNUMBER(--_xlpm.s),ROUND(_xlfn.NUMBERVALUE(_xlpm.s),2),""
          )
       )
    )</f>
        <v>73176.62</v>
      </c>
      <c r="J470" t="str">
        <f>TRIM(Employee_dataset[[#This Row],[Email]])</f>
        <v>charlie.jones@example.com</v>
      </c>
      <c r="K470" t="str">
        <f>_xlfn.LET(
     _xlpm.p,TRIM(SUBSTITUTE(Employee_dataset[[#This Row],[Phone]],"-","")),
     IF(
        LEN(_xlpm.p)=10,_xlfn.CONCAT("("&amp;LEFT(_xlpm.p,3)&amp;") "&amp;MID(_xlpm.p,4,3)&amp;"-"&amp;RIGHT(_xlpm.p,4),"")
       )
     )</f>
        <v>(601) 864-8768</v>
      </c>
      <c r="L470" t="str">
        <f>TRIM(Employee_dataset[[#This Row],[Performance_Score]])</f>
        <v>Excellent</v>
      </c>
      <c r="M470" t="str">
        <f>TRIM(Employee_dataset[[#This Row],[Remote_Work]])</f>
        <v>FALSE</v>
      </c>
    </row>
    <row r="471" spans="1:13" x14ac:dyDescent="0.3">
      <c r="A471" t="str">
        <f>TRIM(Employee_dataset[[#This Row],[Employee_ID]])</f>
        <v>EMP1469</v>
      </c>
      <c r="B471" t="str">
        <f>PROPER(TRIM(Employee_dataset[[#This Row],[First_Name]]))</f>
        <v>Grace</v>
      </c>
      <c r="C471" t="str">
        <f>PROPER(TRIM(Employee_dataset[[#This Row],[Last_Name]]))</f>
        <v>Brown</v>
      </c>
      <c r="D471" s="6" t="str">
        <f>_xlfn.LET(
     _xlpm.a, TRIM(Employee_dataset[[#This Row],[Age]]),
     IF(
        _xlpm.a="","",
        IF(
           AND(ISNUMBER(--_xlpm.a),LEN(_xlpm.a)=2),_xlpm.a,""
          )
       )
    )</f>
        <v/>
      </c>
      <c r="E471" t="str">
        <f>TRIM(_xlfn.TEXTBEFORE(Employee_dataset[[#This Row],[Department_Region]],"-"))</f>
        <v>DevOps</v>
      </c>
      <c r="F471" t="str">
        <f>TRIM(_xlfn.TEXTAFTER(Employee_dataset[[#This Row],[Department_Region]],"-"))</f>
        <v>Nevada</v>
      </c>
      <c r="G471" t="str">
        <f>TRIM(Employee_dataset[[#This Row],[Status]])</f>
        <v>Pending</v>
      </c>
      <c r="H471" s="1">
        <f>_xlfn.LET(
     _xlpm.d, Employee_dataset[[#This Row],[Join_Date]],
     IF(
        ISNUMBER(_xlpm.d),_xlpm.d,""
       )
    )</f>
        <v>44374</v>
      </c>
      <c r="I471" s="6">
        <f>_xlfn.LET(
     _xlpm.s, TRIM(Employee_dataset[[#This Row],[Salary]]),
     IF(
        UPPER(_xlpm.s)="N/A","",
        IF(
           ISNUMBER(--_xlpm.s),ROUND(_xlfn.NUMBERVALUE(_xlpm.s),2),""
          )
       )
    )</f>
        <v>96241.85</v>
      </c>
      <c r="J471" t="str">
        <f>TRIM(Employee_dataset[[#This Row],[Email]])</f>
        <v>grace.brown@example.com</v>
      </c>
      <c r="K471" t="str">
        <f>_xlfn.LET(
     _xlpm.p,TRIM(SUBSTITUTE(Employee_dataset[[#This Row],[Phone]],"-","")),
     IF(
        LEN(_xlpm.p)=10,_xlfn.CONCAT("("&amp;LEFT(_xlpm.p,3)&amp;") "&amp;MID(_xlpm.p,4,3)&amp;"-"&amp;RIGHT(_xlpm.p,4),"")
       )
     )</f>
        <v>(984) 267-3203</v>
      </c>
      <c r="L471" t="str">
        <f>TRIM(Employee_dataset[[#This Row],[Performance_Score]])</f>
        <v>Excellent</v>
      </c>
      <c r="M471" t="str">
        <f>TRIM(Employee_dataset[[#This Row],[Remote_Work]])</f>
        <v>FALSE</v>
      </c>
    </row>
    <row r="472" spans="1:13" x14ac:dyDescent="0.3">
      <c r="A472" t="str">
        <f>TRIM(Employee_dataset[[#This Row],[Employee_ID]])</f>
        <v>EMP1470</v>
      </c>
      <c r="B472" t="str">
        <f>PROPER(TRIM(Employee_dataset[[#This Row],[First_Name]]))</f>
        <v>Bob</v>
      </c>
      <c r="C472" t="str">
        <f>PROPER(TRIM(Employee_dataset[[#This Row],[Last_Name]]))</f>
        <v>Jones</v>
      </c>
      <c r="D472" s="6" t="str">
        <f>_xlfn.LET(
     _xlpm.a, TRIM(Employee_dataset[[#This Row],[Age]]),
     IF(
        _xlpm.a="","",
        IF(
           AND(ISNUMBER(--_xlpm.a),LEN(_xlpm.a)=2),_xlpm.a,""
          )
       )
    )</f>
        <v>25</v>
      </c>
      <c r="E472" t="str">
        <f>TRIM(_xlfn.TEXTBEFORE(Employee_dataset[[#This Row],[Department_Region]],"-"))</f>
        <v>Finance</v>
      </c>
      <c r="F472" t="str">
        <f>TRIM(_xlfn.TEXTAFTER(Employee_dataset[[#This Row],[Department_Region]],"-"))</f>
        <v>Illinois</v>
      </c>
      <c r="G472" t="str">
        <f>TRIM(Employee_dataset[[#This Row],[Status]])</f>
        <v>Pending</v>
      </c>
      <c r="H472" s="1">
        <f>_xlfn.LET(
     _xlpm.d, Employee_dataset[[#This Row],[Join_Date]],
     IF(
        ISNUMBER(_xlpm.d),_xlpm.d,""
       )
    )</f>
        <v>45551</v>
      </c>
      <c r="I472" s="6">
        <f>_xlfn.LET(
     _xlpm.s, TRIM(Employee_dataset[[#This Row],[Salary]]),
     IF(
        UPPER(_xlpm.s)="N/A","",
        IF(
           ISNUMBER(--_xlpm.s),ROUND(_xlfn.NUMBERVALUE(_xlpm.s),2),""
          )
       )
    )</f>
        <v>84366.38</v>
      </c>
      <c r="J472" t="str">
        <f>TRIM(Employee_dataset[[#This Row],[Email]])</f>
        <v>bob.jones@example.com</v>
      </c>
      <c r="K472" t="str">
        <f>_xlfn.LET(
     _xlpm.p,TRIM(SUBSTITUTE(Employee_dataset[[#This Row],[Phone]],"-","")),
     IF(
        LEN(_xlpm.p)=10,_xlfn.CONCAT("("&amp;LEFT(_xlpm.p,3)&amp;") "&amp;MID(_xlpm.p,4,3)&amp;"-"&amp;RIGHT(_xlpm.p,4),"")
       )
     )</f>
        <v>(413) 845-9608</v>
      </c>
      <c r="L472" t="str">
        <f>TRIM(Employee_dataset[[#This Row],[Performance_Score]])</f>
        <v>Excellent</v>
      </c>
      <c r="M472" t="str">
        <f>TRIM(Employee_dataset[[#This Row],[Remote_Work]])</f>
        <v>FALSE</v>
      </c>
    </row>
    <row r="473" spans="1:13" x14ac:dyDescent="0.3">
      <c r="A473" t="str">
        <f>TRIM(Employee_dataset[[#This Row],[Employee_ID]])</f>
        <v>EMP1471</v>
      </c>
      <c r="B473" t="str">
        <f>PROPER(TRIM(Employee_dataset[[#This Row],[First_Name]]))</f>
        <v>Alice</v>
      </c>
      <c r="C473" t="str">
        <f>PROPER(TRIM(Employee_dataset[[#This Row],[Last_Name]]))</f>
        <v>Garcia</v>
      </c>
      <c r="D473" s="6" t="str">
        <f>_xlfn.LET(
     _xlpm.a, TRIM(Employee_dataset[[#This Row],[Age]]),
     IF(
        _xlpm.a="","",
        IF(
           AND(ISNUMBER(--_xlpm.a),LEN(_xlpm.a)=2),_xlpm.a,""
          )
       )
    )</f>
        <v>40</v>
      </c>
      <c r="E473" t="str">
        <f>TRIM(_xlfn.TEXTBEFORE(Employee_dataset[[#This Row],[Department_Region]],"-"))</f>
        <v>Cloud Tech</v>
      </c>
      <c r="F473" t="str">
        <f>TRIM(_xlfn.TEXTAFTER(Employee_dataset[[#This Row],[Department_Region]],"-"))</f>
        <v>California</v>
      </c>
      <c r="G473" t="str">
        <f>TRIM(Employee_dataset[[#This Row],[Status]])</f>
        <v>Pending</v>
      </c>
      <c r="H473" s="1">
        <f>_xlfn.LET(
     _xlpm.d, Employee_dataset[[#This Row],[Join_Date]],
     IF(
        ISNUMBER(_xlpm.d),_xlpm.d,""
       )
    )</f>
        <v>45111</v>
      </c>
      <c r="I473" s="6">
        <f>_xlfn.LET(
     _xlpm.s, TRIM(Employee_dataset[[#This Row],[Salary]]),
     IF(
        UPPER(_xlpm.s)="N/A","",
        IF(
           ISNUMBER(--_xlpm.s),ROUND(_xlfn.NUMBERVALUE(_xlpm.s),2),""
          )
       )
    )</f>
        <v>92015.09</v>
      </c>
      <c r="J473" t="str">
        <f>TRIM(Employee_dataset[[#This Row],[Email]])</f>
        <v>alice.garcia@example.com</v>
      </c>
      <c r="K473" t="str">
        <f>_xlfn.LET(
     _xlpm.p,TRIM(SUBSTITUTE(Employee_dataset[[#This Row],[Phone]],"-","")),
     IF(
        LEN(_xlpm.p)=10,_xlfn.CONCAT("("&amp;LEFT(_xlpm.p,3)&amp;") "&amp;MID(_xlpm.p,4,3)&amp;"-"&amp;RIGHT(_xlpm.p,4),"")
       )
     )</f>
        <v>(454) 490-1494</v>
      </c>
      <c r="L473" t="str">
        <f>TRIM(Employee_dataset[[#This Row],[Performance_Score]])</f>
        <v>Average</v>
      </c>
      <c r="M473" t="str">
        <f>TRIM(Employee_dataset[[#This Row],[Remote_Work]])</f>
        <v>TRUE</v>
      </c>
    </row>
    <row r="474" spans="1:13" x14ac:dyDescent="0.3">
      <c r="A474" t="str">
        <f>TRIM(Employee_dataset[[#This Row],[Employee_ID]])</f>
        <v>EMP1472</v>
      </c>
      <c r="B474" t="str">
        <f>PROPER(TRIM(Employee_dataset[[#This Row],[First_Name]]))</f>
        <v>Alice</v>
      </c>
      <c r="C474" t="str">
        <f>PROPER(TRIM(Employee_dataset[[#This Row],[Last_Name]]))</f>
        <v>Williams</v>
      </c>
      <c r="D474" s="6" t="str">
        <f>_xlfn.LET(
     _xlpm.a, TRIM(Employee_dataset[[#This Row],[Age]]),
     IF(
        _xlpm.a="","",
        IF(
           AND(ISNUMBER(--_xlpm.a),LEN(_xlpm.a)=2),_xlpm.a,""
          )
       )
    )</f>
        <v>30</v>
      </c>
      <c r="E474" t="str">
        <f>TRIM(_xlfn.TEXTBEFORE(Employee_dataset[[#This Row],[Department_Region]],"-"))</f>
        <v>Admin</v>
      </c>
      <c r="F474" t="str">
        <f>TRIM(_xlfn.TEXTAFTER(Employee_dataset[[#This Row],[Department_Region]],"-"))</f>
        <v>Nevada</v>
      </c>
      <c r="G474" t="str">
        <f>TRIM(Employee_dataset[[#This Row],[Status]])</f>
        <v>Inactive</v>
      </c>
      <c r="H474" s="1">
        <f>_xlfn.LET(
     _xlpm.d, Employee_dataset[[#This Row],[Join_Date]],
     IF(
        ISNUMBER(_xlpm.d),_xlpm.d,""
       )
    )</f>
        <v>43998</v>
      </c>
      <c r="I474" s="6">
        <f>_xlfn.LET(
     _xlpm.s, TRIM(Employee_dataset[[#This Row],[Salary]]),
     IF(
        UPPER(_xlpm.s)="N/A","",
        IF(
           ISNUMBER(--_xlpm.s),ROUND(_xlfn.NUMBERVALUE(_xlpm.s),2),""
          )
       )
    )</f>
        <v>83149.95</v>
      </c>
      <c r="J474" t="str">
        <f>TRIM(Employee_dataset[[#This Row],[Email]])</f>
        <v>alice.williams@example.com</v>
      </c>
      <c r="K474" t="str">
        <f>_xlfn.LET(
     _xlpm.p,TRIM(SUBSTITUTE(Employee_dataset[[#This Row],[Phone]],"-","")),
     IF(
        LEN(_xlpm.p)=10,_xlfn.CONCAT("("&amp;LEFT(_xlpm.p,3)&amp;") "&amp;MID(_xlpm.p,4,3)&amp;"-"&amp;RIGHT(_xlpm.p,4),"")
       )
     )</f>
        <v>(427) 707-0704</v>
      </c>
      <c r="L474" t="str">
        <f>TRIM(Employee_dataset[[#This Row],[Performance_Score]])</f>
        <v>Average</v>
      </c>
      <c r="M474" t="str">
        <f>TRIM(Employee_dataset[[#This Row],[Remote_Work]])</f>
        <v>FALSE</v>
      </c>
    </row>
    <row r="475" spans="1:13" x14ac:dyDescent="0.3">
      <c r="A475" t="str">
        <f>TRIM(Employee_dataset[[#This Row],[Employee_ID]])</f>
        <v>EMP1473</v>
      </c>
      <c r="B475" t="str">
        <f>PROPER(TRIM(Employee_dataset[[#This Row],[First_Name]]))</f>
        <v>Grace</v>
      </c>
      <c r="C475" t="str">
        <f>PROPER(TRIM(Employee_dataset[[#This Row],[Last_Name]]))</f>
        <v>Brown</v>
      </c>
      <c r="D475" s="6" t="str">
        <f>_xlfn.LET(
     _xlpm.a, TRIM(Employee_dataset[[#This Row],[Age]]),
     IF(
        _xlpm.a="","",
        IF(
           AND(ISNUMBER(--_xlpm.a),LEN(_xlpm.a)=2),_xlpm.a,""
          )
       )
    )</f>
        <v>40</v>
      </c>
      <c r="E475" t="str">
        <f>TRIM(_xlfn.TEXTBEFORE(Employee_dataset[[#This Row],[Department_Region]],"-"))</f>
        <v>Finance</v>
      </c>
      <c r="F475" t="str">
        <f>TRIM(_xlfn.TEXTAFTER(Employee_dataset[[#This Row],[Department_Region]],"-"))</f>
        <v>Nevada</v>
      </c>
      <c r="G475" t="str">
        <f>TRIM(Employee_dataset[[#This Row],[Status]])</f>
        <v>Inactive</v>
      </c>
      <c r="H475" s="1">
        <f>_xlfn.LET(
     _xlpm.d, Employee_dataset[[#This Row],[Join_Date]],
     IF(
        ISNUMBER(_xlpm.d),_xlpm.d,""
       )
    )</f>
        <v>44017</v>
      </c>
      <c r="I475" s="6">
        <f>_xlfn.LET(
     _xlpm.s, TRIM(Employee_dataset[[#This Row],[Salary]]),
     IF(
        UPPER(_xlpm.s)="N/A","",
        IF(
           ISNUMBER(--_xlpm.s),ROUND(_xlfn.NUMBERVALUE(_xlpm.s),2),""
          )
       )
    )</f>
        <v>94930.65</v>
      </c>
      <c r="J475" t="str">
        <f>TRIM(Employee_dataset[[#This Row],[Email]])</f>
        <v>grace.brown@example.com</v>
      </c>
      <c r="K475" t="str">
        <f>_xlfn.LET(
     _xlpm.p,TRIM(SUBSTITUTE(Employee_dataset[[#This Row],[Phone]],"-","")),
     IF(
        LEN(_xlpm.p)=10,_xlfn.CONCAT("("&amp;LEFT(_xlpm.p,3)&amp;") "&amp;MID(_xlpm.p,4,3)&amp;"-"&amp;RIGHT(_xlpm.p,4),"")
       )
     )</f>
        <v>(783) 609-1497</v>
      </c>
      <c r="L475" t="str">
        <f>TRIM(Employee_dataset[[#This Row],[Performance_Score]])</f>
        <v>Good</v>
      </c>
      <c r="M475" t="str">
        <f>TRIM(Employee_dataset[[#This Row],[Remote_Work]])</f>
        <v>FALSE</v>
      </c>
    </row>
    <row r="476" spans="1:13" x14ac:dyDescent="0.3">
      <c r="A476" t="str">
        <f>TRIM(Employee_dataset[[#This Row],[Employee_ID]])</f>
        <v>EMP1474</v>
      </c>
      <c r="B476" t="str">
        <f>PROPER(TRIM(Employee_dataset[[#This Row],[First_Name]]))</f>
        <v>Frank</v>
      </c>
      <c r="C476" t="str">
        <f>PROPER(TRIM(Employee_dataset[[#This Row],[Last_Name]]))</f>
        <v>Williams</v>
      </c>
      <c r="D476" s="6" t="str">
        <f>_xlfn.LET(
     _xlpm.a, TRIM(Employee_dataset[[#This Row],[Age]]),
     IF(
        _xlpm.a="","",
        IF(
           AND(ISNUMBER(--_xlpm.a),LEN(_xlpm.a)=2),_xlpm.a,""
          )
       )
    )</f>
        <v>40</v>
      </c>
      <c r="E476" t="str">
        <f>TRIM(_xlfn.TEXTBEFORE(Employee_dataset[[#This Row],[Department_Region]],"-"))</f>
        <v>HR</v>
      </c>
      <c r="F476" t="str">
        <f>TRIM(_xlfn.TEXTAFTER(Employee_dataset[[#This Row],[Department_Region]],"-"))</f>
        <v>New York</v>
      </c>
      <c r="G476" t="str">
        <f>TRIM(Employee_dataset[[#This Row],[Status]])</f>
        <v>Inactive</v>
      </c>
      <c r="H476" s="1">
        <f>_xlfn.LET(
     _xlpm.d, Employee_dataset[[#This Row],[Join_Date]],
     IF(
        ISNUMBER(_xlpm.d),_xlpm.d,""
       )
    )</f>
        <v>43922</v>
      </c>
      <c r="I476" s="6">
        <f>_xlfn.LET(
     _xlpm.s, TRIM(Employee_dataset[[#This Row],[Salary]]),
     IF(
        UPPER(_xlpm.s)="N/A","",
        IF(
           ISNUMBER(--_xlpm.s),ROUND(_xlfn.NUMBERVALUE(_xlpm.s),2),""
          )
       )
    )</f>
        <v>68430.720000000001</v>
      </c>
      <c r="J476" t="str">
        <f>TRIM(Employee_dataset[[#This Row],[Email]])</f>
        <v>frank.williams@example.com</v>
      </c>
      <c r="K476" t="str">
        <f>_xlfn.LET(
     _xlpm.p,TRIM(SUBSTITUTE(Employee_dataset[[#This Row],[Phone]],"-","")),
     IF(
        LEN(_xlpm.p)=10,_xlfn.CONCAT("("&amp;LEFT(_xlpm.p,3)&amp;") "&amp;MID(_xlpm.p,4,3)&amp;"-"&amp;RIGHT(_xlpm.p,4),"")
       )
     )</f>
        <v>(517) 244-4722</v>
      </c>
      <c r="L476" t="str">
        <f>TRIM(Employee_dataset[[#This Row],[Performance_Score]])</f>
        <v>Good</v>
      </c>
      <c r="M476" t="str">
        <f>TRIM(Employee_dataset[[#This Row],[Remote_Work]])</f>
        <v>TRUE</v>
      </c>
    </row>
    <row r="477" spans="1:13" x14ac:dyDescent="0.3">
      <c r="A477" t="str">
        <f>TRIM(Employee_dataset[[#This Row],[Employee_ID]])</f>
        <v>EMP1475</v>
      </c>
      <c r="B477" t="str">
        <f>PROPER(TRIM(Employee_dataset[[#This Row],[First_Name]]))</f>
        <v>David</v>
      </c>
      <c r="C477" t="str">
        <f>PROPER(TRIM(Employee_dataset[[#This Row],[Last_Name]]))</f>
        <v>Garcia</v>
      </c>
      <c r="D477" s="6" t="str">
        <f>_xlfn.LET(
     _xlpm.a, TRIM(Employee_dataset[[#This Row],[Age]]),
     IF(
        _xlpm.a="","",
        IF(
           AND(ISNUMBER(--_xlpm.a),LEN(_xlpm.a)=2),_xlpm.a,""
          )
       )
    )</f>
        <v>35</v>
      </c>
      <c r="E477" t="str">
        <f>TRIM(_xlfn.TEXTBEFORE(Employee_dataset[[#This Row],[Department_Region]],"-"))</f>
        <v>Sales</v>
      </c>
      <c r="F477" t="str">
        <f>TRIM(_xlfn.TEXTAFTER(Employee_dataset[[#This Row],[Department_Region]],"-"))</f>
        <v>Texas</v>
      </c>
      <c r="G477" t="str">
        <f>TRIM(Employee_dataset[[#This Row],[Status]])</f>
        <v>Active</v>
      </c>
      <c r="H477" s="1">
        <f>_xlfn.LET(
     _xlpm.d, Employee_dataset[[#This Row],[Join_Date]],
     IF(
        ISNUMBER(_xlpm.d),_xlpm.d,""
       )
    )</f>
        <v>45371</v>
      </c>
      <c r="I477" s="6">
        <f>_xlfn.LET(
     _xlpm.s, TRIM(Employee_dataset[[#This Row],[Salary]]),
     IF(
        UPPER(_xlpm.s)="N/A","",
        IF(
           ISNUMBER(--_xlpm.s),ROUND(_xlfn.NUMBERVALUE(_xlpm.s),2),""
          )
       )
    )</f>
        <v>98752.97</v>
      </c>
      <c r="J477" t="str">
        <f>TRIM(Employee_dataset[[#This Row],[Email]])</f>
        <v>david.garcia@example.com</v>
      </c>
      <c r="K477" t="str">
        <f>_xlfn.LET(
     _xlpm.p,TRIM(SUBSTITUTE(Employee_dataset[[#This Row],[Phone]],"-","")),
     IF(
        LEN(_xlpm.p)=10,_xlfn.CONCAT("("&amp;LEFT(_xlpm.p,3)&amp;") "&amp;MID(_xlpm.p,4,3)&amp;"-"&amp;RIGHT(_xlpm.p,4),"")
       )
     )</f>
        <v>(229) 031-0286</v>
      </c>
      <c r="L477" t="str">
        <f>TRIM(Employee_dataset[[#This Row],[Performance_Score]])</f>
        <v>Excellent</v>
      </c>
      <c r="M477" t="str">
        <f>TRIM(Employee_dataset[[#This Row],[Remote_Work]])</f>
        <v>FALSE</v>
      </c>
    </row>
    <row r="478" spans="1:13" x14ac:dyDescent="0.3">
      <c r="A478" t="str">
        <f>TRIM(Employee_dataset[[#This Row],[Employee_ID]])</f>
        <v>EMP1476</v>
      </c>
      <c r="B478" t="str">
        <f>PROPER(TRIM(Employee_dataset[[#This Row],[First_Name]]))</f>
        <v>Frank</v>
      </c>
      <c r="C478" t="str">
        <f>PROPER(TRIM(Employee_dataset[[#This Row],[Last_Name]]))</f>
        <v>Smith</v>
      </c>
      <c r="D478" s="6" t="str">
        <f>_xlfn.LET(
     _xlpm.a, TRIM(Employee_dataset[[#This Row],[Age]]),
     IF(
        _xlpm.a="","",
        IF(
           AND(ISNUMBER(--_xlpm.a),LEN(_xlpm.a)=2),_xlpm.a,""
          )
       )
    )</f>
        <v/>
      </c>
      <c r="E478" t="str">
        <f>TRIM(_xlfn.TEXTBEFORE(Employee_dataset[[#This Row],[Department_Region]],"-"))</f>
        <v>Finance</v>
      </c>
      <c r="F478" t="str">
        <f>TRIM(_xlfn.TEXTAFTER(Employee_dataset[[#This Row],[Department_Region]],"-"))</f>
        <v>Illinois</v>
      </c>
      <c r="G478" t="str">
        <f>TRIM(Employee_dataset[[#This Row],[Status]])</f>
        <v>Active</v>
      </c>
      <c r="H478" s="1">
        <f>_xlfn.LET(
     _xlpm.d, Employee_dataset[[#This Row],[Join_Date]],
     IF(
        ISNUMBER(_xlpm.d),_xlpm.d,""
       )
    )</f>
        <v>44964</v>
      </c>
      <c r="I478" s="6">
        <f>_xlfn.LET(
     _xlpm.s, TRIM(Employee_dataset[[#This Row],[Salary]]),
     IF(
        UPPER(_xlpm.s)="N/A","",
        IF(
           ISNUMBER(--_xlpm.s),ROUND(_xlfn.NUMBERVALUE(_xlpm.s),2),""
          )
       )
    )</f>
        <v>54268.86</v>
      </c>
      <c r="J478" t="str">
        <f>TRIM(Employee_dataset[[#This Row],[Email]])</f>
        <v>frank.smith@example.com</v>
      </c>
      <c r="K478" t="str">
        <f>_xlfn.LET(
     _xlpm.p,TRIM(SUBSTITUTE(Employee_dataset[[#This Row],[Phone]],"-","")),
     IF(
        LEN(_xlpm.p)=10,_xlfn.CONCAT("("&amp;LEFT(_xlpm.p,3)&amp;") "&amp;MID(_xlpm.p,4,3)&amp;"-"&amp;RIGHT(_xlpm.p,4),"")
       )
     )</f>
        <v>(950) 830-4404</v>
      </c>
      <c r="L478" t="str">
        <f>TRIM(Employee_dataset[[#This Row],[Performance_Score]])</f>
        <v>Poor</v>
      </c>
      <c r="M478" t="str">
        <f>TRIM(Employee_dataset[[#This Row],[Remote_Work]])</f>
        <v>TRUE</v>
      </c>
    </row>
    <row r="479" spans="1:13" x14ac:dyDescent="0.3">
      <c r="A479" t="str">
        <f>TRIM(Employee_dataset[[#This Row],[Employee_ID]])</f>
        <v>EMP1477</v>
      </c>
      <c r="B479" t="str">
        <f>PROPER(TRIM(Employee_dataset[[#This Row],[First_Name]]))</f>
        <v>Grace</v>
      </c>
      <c r="C479" t="str">
        <f>PROPER(TRIM(Employee_dataset[[#This Row],[Last_Name]]))</f>
        <v>Garcia</v>
      </c>
      <c r="D479" s="6" t="str">
        <f>_xlfn.LET(
     _xlpm.a, TRIM(Employee_dataset[[#This Row],[Age]]),
     IF(
        _xlpm.a="","",
        IF(
           AND(ISNUMBER(--_xlpm.a),LEN(_xlpm.a)=2),_xlpm.a,""
          )
       )
    )</f>
        <v/>
      </c>
      <c r="E479" t="str">
        <f>TRIM(_xlfn.TEXTBEFORE(Employee_dataset[[#This Row],[Department_Region]],"-"))</f>
        <v>DevOps</v>
      </c>
      <c r="F479" t="str">
        <f>TRIM(_xlfn.TEXTAFTER(Employee_dataset[[#This Row],[Department_Region]],"-"))</f>
        <v>Florida</v>
      </c>
      <c r="G479" t="str">
        <f>TRIM(Employee_dataset[[#This Row],[Status]])</f>
        <v>Pending</v>
      </c>
      <c r="H479" s="1">
        <f>_xlfn.LET(
     _xlpm.d, Employee_dataset[[#This Row],[Join_Date]],
     IF(
        ISNUMBER(_xlpm.d),_xlpm.d,""
       )
    )</f>
        <v>45636</v>
      </c>
      <c r="I479" s="6">
        <f>_xlfn.LET(
     _xlpm.s, TRIM(Employee_dataset[[#This Row],[Salary]]),
     IF(
        UPPER(_xlpm.s)="N/A","",
        IF(
           ISNUMBER(--_xlpm.s),ROUND(_xlfn.NUMBERVALUE(_xlpm.s),2),""
          )
       )
    )</f>
        <v>66494.94</v>
      </c>
      <c r="J479" t="str">
        <f>TRIM(Employee_dataset[[#This Row],[Email]])</f>
        <v>grace.garcia@example.com</v>
      </c>
      <c r="K479" t="str">
        <f>_xlfn.LET(
     _xlpm.p,TRIM(SUBSTITUTE(Employee_dataset[[#This Row],[Phone]],"-","")),
     IF(
        LEN(_xlpm.p)=10,_xlfn.CONCAT("("&amp;LEFT(_xlpm.p,3)&amp;") "&amp;MID(_xlpm.p,4,3)&amp;"-"&amp;RIGHT(_xlpm.p,4),"")
       )
     )</f>
        <v>(809) 351-1870</v>
      </c>
      <c r="L479" t="str">
        <f>TRIM(Employee_dataset[[#This Row],[Performance_Score]])</f>
        <v>Poor</v>
      </c>
      <c r="M479" t="str">
        <f>TRIM(Employee_dataset[[#This Row],[Remote_Work]])</f>
        <v>FALSE</v>
      </c>
    </row>
    <row r="480" spans="1:13" x14ac:dyDescent="0.3">
      <c r="A480" t="str">
        <f>TRIM(Employee_dataset[[#This Row],[Employee_ID]])</f>
        <v>EMP1478</v>
      </c>
      <c r="B480" t="str">
        <f>PROPER(TRIM(Employee_dataset[[#This Row],[First_Name]]))</f>
        <v>Grace</v>
      </c>
      <c r="C480" t="str">
        <f>PROPER(TRIM(Employee_dataset[[#This Row],[Last_Name]]))</f>
        <v>Smith</v>
      </c>
      <c r="D480" s="6" t="str">
        <f>_xlfn.LET(
     _xlpm.a, TRIM(Employee_dataset[[#This Row],[Age]]),
     IF(
        _xlpm.a="","",
        IF(
           AND(ISNUMBER(--_xlpm.a),LEN(_xlpm.a)=2),_xlpm.a,""
          )
       )
    )</f>
        <v>25</v>
      </c>
      <c r="E480" t="str">
        <f>TRIM(_xlfn.TEXTBEFORE(Employee_dataset[[#This Row],[Department_Region]],"-"))</f>
        <v>Sales</v>
      </c>
      <c r="F480" t="str">
        <f>TRIM(_xlfn.TEXTAFTER(Employee_dataset[[#This Row],[Department_Region]],"-"))</f>
        <v>Illinois</v>
      </c>
      <c r="G480" t="str">
        <f>TRIM(Employee_dataset[[#This Row],[Status]])</f>
        <v>Pending</v>
      </c>
      <c r="H480" s="1">
        <f>_xlfn.LET(
     _xlpm.d, Employee_dataset[[#This Row],[Join_Date]],
     IF(
        ISNUMBER(_xlpm.d),_xlpm.d,""
       )
    )</f>
        <v>45470</v>
      </c>
      <c r="I480" s="6">
        <f>_xlfn.LET(
     _xlpm.s, TRIM(Employee_dataset[[#This Row],[Salary]]),
     IF(
        UPPER(_xlpm.s)="N/A","",
        IF(
           ISNUMBER(--_xlpm.s),ROUND(_xlfn.NUMBERVALUE(_xlpm.s),2),""
          )
       )
    )</f>
        <v>90003.98</v>
      </c>
      <c r="J480" t="str">
        <f>TRIM(Employee_dataset[[#This Row],[Email]])</f>
        <v>grace.smith@example.com</v>
      </c>
      <c r="K480" t="str">
        <f>_xlfn.LET(
     _xlpm.p,TRIM(SUBSTITUTE(Employee_dataset[[#This Row],[Phone]],"-","")),
     IF(
        LEN(_xlpm.p)=10,_xlfn.CONCAT("("&amp;LEFT(_xlpm.p,3)&amp;") "&amp;MID(_xlpm.p,4,3)&amp;"-"&amp;RIGHT(_xlpm.p,4),"")
       )
     )</f>
        <v>(813) 359-5615</v>
      </c>
      <c r="L480" t="str">
        <f>TRIM(Employee_dataset[[#This Row],[Performance_Score]])</f>
        <v>Average</v>
      </c>
      <c r="M480" t="str">
        <f>TRIM(Employee_dataset[[#This Row],[Remote_Work]])</f>
        <v>FALSE</v>
      </c>
    </row>
    <row r="481" spans="1:13" x14ac:dyDescent="0.3">
      <c r="A481" t="str">
        <f>TRIM(Employee_dataset[[#This Row],[Employee_ID]])</f>
        <v>EMP1479</v>
      </c>
      <c r="B481" t="str">
        <f>PROPER(TRIM(Employee_dataset[[#This Row],[First_Name]]))</f>
        <v>Charlie</v>
      </c>
      <c r="C481" t="str">
        <f>PROPER(TRIM(Employee_dataset[[#This Row],[Last_Name]]))</f>
        <v>Brown</v>
      </c>
      <c r="D481" s="6" t="str">
        <f>_xlfn.LET(
     _xlpm.a, TRIM(Employee_dataset[[#This Row],[Age]]),
     IF(
        _xlpm.a="","",
        IF(
           AND(ISNUMBER(--_xlpm.a),LEN(_xlpm.a)=2),_xlpm.a,""
          )
       )
    )</f>
        <v>25</v>
      </c>
      <c r="E481" t="str">
        <f>TRIM(_xlfn.TEXTBEFORE(Employee_dataset[[#This Row],[Department_Region]],"-"))</f>
        <v>Finance</v>
      </c>
      <c r="F481" t="str">
        <f>TRIM(_xlfn.TEXTAFTER(Employee_dataset[[#This Row],[Department_Region]],"-"))</f>
        <v>New York</v>
      </c>
      <c r="G481" t="str">
        <f>TRIM(Employee_dataset[[#This Row],[Status]])</f>
        <v>Active</v>
      </c>
      <c r="H481" s="1">
        <f>_xlfn.LET(
     _xlpm.d, Employee_dataset[[#This Row],[Join_Date]],
     IF(
        ISNUMBER(_xlpm.d),_xlpm.d,""
       )
    )</f>
        <v>44264</v>
      </c>
      <c r="I481" s="6">
        <f>_xlfn.LET(
     _xlpm.s, TRIM(Employee_dataset[[#This Row],[Salary]]),
     IF(
        UPPER(_xlpm.s)="N/A","",
        IF(
           ISNUMBER(--_xlpm.s),ROUND(_xlfn.NUMBERVALUE(_xlpm.s),2),""
          )
       )
    )</f>
        <v>106592.25</v>
      </c>
      <c r="J481" t="str">
        <f>TRIM(Employee_dataset[[#This Row],[Email]])</f>
        <v>charlie.brown@example.com</v>
      </c>
      <c r="K481" t="str">
        <f>_xlfn.LET(
     _xlpm.p,TRIM(SUBSTITUTE(Employee_dataset[[#This Row],[Phone]],"-","")),
     IF(
        LEN(_xlpm.p)=10,_xlfn.CONCAT("("&amp;LEFT(_xlpm.p,3)&amp;") "&amp;MID(_xlpm.p,4,3)&amp;"-"&amp;RIGHT(_xlpm.p,4),"")
       )
     )</f>
        <v>(420) 595-5656</v>
      </c>
      <c r="L481" t="str">
        <f>TRIM(Employee_dataset[[#This Row],[Performance_Score]])</f>
        <v>Average</v>
      </c>
      <c r="M481" t="str">
        <f>TRIM(Employee_dataset[[#This Row],[Remote_Work]])</f>
        <v>TRUE</v>
      </c>
    </row>
    <row r="482" spans="1:13" x14ac:dyDescent="0.3">
      <c r="A482" t="str">
        <f>TRIM(Employee_dataset[[#This Row],[Employee_ID]])</f>
        <v>EMP1480</v>
      </c>
      <c r="B482" t="str">
        <f>PROPER(TRIM(Employee_dataset[[#This Row],[First_Name]]))</f>
        <v>Grace</v>
      </c>
      <c r="C482" t="str">
        <f>PROPER(TRIM(Employee_dataset[[#This Row],[Last_Name]]))</f>
        <v>Brown</v>
      </c>
      <c r="D482" s="6" t="str">
        <f>_xlfn.LET(
     _xlpm.a, TRIM(Employee_dataset[[#This Row],[Age]]),
     IF(
        _xlpm.a="","",
        IF(
           AND(ISNUMBER(--_xlpm.a),LEN(_xlpm.a)=2),_xlpm.a,""
          )
       )
    )</f>
        <v>25</v>
      </c>
      <c r="E482" t="str">
        <f>TRIM(_xlfn.TEXTBEFORE(Employee_dataset[[#This Row],[Department_Region]],"-"))</f>
        <v>DevOps</v>
      </c>
      <c r="F482" t="str">
        <f>TRIM(_xlfn.TEXTAFTER(Employee_dataset[[#This Row],[Department_Region]],"-"))</f>
        <v>Florida</v>
      </c>
      <c r="G482" t="str">
        <f>TRIM(Employee_dataset[[#This Row],[Status]])</f>
        <v>Active</v>
      </c>
      <c r="H482" s="1">
        <f>_xlfn.LET(
     _xlpm.d, Employee_dataset[[#This Row],[Join_Date]],
     IF(
        ISNUMBER(_xlpm.d),_xlpm.d,""
       )
    )</f>
        <v>45515</v>
      </c>
      <c r="I482" s="6">
        <f>_xlfn.LET(
     _xlpm.s, TRIM(Employee_dataset[[#This Row],[Salary]]),
     IF(
        UPPER(_xlpm.s)="N/A","",
        IF(
           ISNUMBER(--_xlpm.s),ROUND(_xlfn.NUMBERVALUE(_xlpm.s),2),""
          )
       )
    )</f>
        <v>93905.83</v>
      </c>
      <c r="J482" t="str">
        <f>TRIM(Employee_dataset[[#This Row],[Email]])</f>
        <v>grace.brown@example.com</v>
      </c>
      <c r="K482" t="str">
        <f>_xlfn.LET(
     _xlpm.p,TRIM(SUBSTITUTE(Employee_dataset[[#This Row],[Phone]],"-","")),
     IF(
        LEN(_xlpm.p)=10,_xlfn.CONCAT("("&amp;LEFT(_xlpm.p,3)&amp;") "&amp;MID(_xlpm.p,4,3)&amp;"-"&amp;RIGHT(_xlpm.p,4),"")
       )
     )</f>
        <v>(490) 250-4289</v>
      </c>
      <c r="L482" t="str">
        <f>TRIM(Employee_dataset[[#This Row],[Performance_Score]])</f>
        <v>Average</v>
      </c>
      <c r="M482" t="str">
        <f>TRIM(Employee_dataset[[#This Row],[Remote_Work]])</f>
        <v>TRUE</v>
      </c>
    </row>
    <row r="483" spans="1:13" x14ac:dyDescent="0.3">
      <c r="A483" t="str">
        <f>TRIM(Employee_dataset[[#This Row],[Employee_ID]])</f>
        <v>EMP1481</v>
      </c>
      <c r="B483" t="str">
        <f>PROPER(TRIM(Employee_dataset[[#This Row],[First_Name]]))</f>
        <v>Eva</v>
      </c>
      <c r="C483" t="str">
        <f>PROPER(TRIM(Employee_dataset[[#This Row],[Last_Name]]))</f>
        <v>Miller</v>
      </c>
      <c r="D483" s="6" t="str">
        <f>_xlfn.LET(
     _xlpm.a, TRIM(Employee_dataset[[#This Row],[Age]]),
     IF(
        _xlpm.a="","",
        IF(
           AND(ISNUMBER(--_xlpm.a),LEN(_xlpm.a)=2),_xlpm.a,""
          )
       )
    )</f>
        <v>35</v>
      </c>
      <c r="E483" t="str">
        <f>TRIM(_xlfn.TEXTBEFORE(Employee_dataset[[#This Row],[Department_Region]],"-"))</f>
        <v>DevOps</v>
      </c>
      <c r="F483" t="str">
        <f>TRIM(_xlfn.TEXTAFTER(Employee_dataset[[#This Row],[Department_Region]],"-"))</f>
        <v>Texas</v>
      </c>
      <c r="G483" t="str">
        <f>TRIM(Employee_dataset[[#This Row],[Status]])</f>
        <v>Active</v>
      </c>
      <c r="H483" s="1">
        <f>_xlfn.LET(
     _xlpm.d, Employee_dataset[[#This Row],[Join_Date]],
     IF(
        ISNUMBER(_xlpm.d),_xlpm.d,""
       )
    )</f>
        <v>44625</v>
      </c>
      <c r="I483" s="6">
        <f>_xlfn.LET(
     _xlpm.s, TRIM(Employee_dataset[[#This Row],[Salary]]),
     IF(
        UPPER(_xlpm.s)="N/A","",
        IF(
           ISNUMBER(--_xlpm.s),ROUND(_xlfn.NUMBERVALUE(_xlpm.s),2),""
          )
       )
    )</f>
        <v>88945.49</v>
      </c>
      <c r="J483" t="str">
        <f>TRIM(Employee_dataset[[#This Row],[Email]])</f>
        <v>eva.miller@example.com</v>
      </c>
      <c r="K483" t="str">
        <f>_xlfn.LET(
     _xlpm.p,TRIM(SUBSTITUTE(Employee_dataset[[#This Row],[Phone]],"-","")),
     IF(
        LEN(_xlpm.p)=10,_xlfn.CONCAT("("&amp;LEFT(_xlpm.p,3)&amp;") "&amp;MID(_xlpm.p,4,3)&amp;"-"&amp;RIGHT(_xlpm.p,4),"")
       )
     )</f>
        <v>(193) 588-9535</v>
      </c>
      <c r="L483" t="str">
        <f>TRIM(Employee_dataset[[#This Row],[Performance_Score]])</f>
        <v>Good</v>
      </c>
      <c r="M483" t="str">
        <f>TRIM(Employee_dataset[[#This Row],[Remote_Work]])</f>
        <v>FALSE</v>
      </c>
    </row>
    <row r="484" spans="1:13" x14ac:dyDescent="0.3">
      <c r="A484" t="str">
        <f>TRIM(Employee_dataset[[#This Row],[Employee_ID]])</f>
        <v>EMP1482</v>
      </c>
      <c r="B484" t="str">
        <f>PROPER(TRIM(Employee_dataset[[#This Row],[First_Name]]))</f>
        <v>Eva</v>
      </c>
      <c r="C484" t="str">
        <f>PROPER(TRIM(Employee_dataset[[#This Row],[Last_Name]]))</f>
        <v>Jones</v>
      </c>
      <c r="D484" s="6" t="str">
        <f>_xlfn.LET(
     _xlpm.a, TRIM(Employee_dataset[[#This Row],[Age]]),
     IF(
        _xlpm.a="","",
        IF(
           AND(ISNUMBER(--_xlpm.a),LEN(_xlpm.a)=2),_xlpm.a,""
          )
       )
    )</f>
        <v/>
      </c>
      <c r="E484" t="str">
        <f>TRIM(_xlfn.TEXTBEFORE(Employee_dataset[[#This Row],[Department_Region]],"-"))</f>
        <v>Finance</v>
      </c>
      <c r="F484" t="str">
        <f>TRIM(_xlfn.TEXTAFTER(Employee_dataset[[#This Row],[Department_Region]],"-"))</f>
        <v>Texas</v>
      </c>
      <c r="G484" t="str">
        <f>TRIM(Employee_dataset[[#This Row],[Status]])</f>
        <v>Pending</v>
      </c>
      <c r="H484" s="1">
        <f>_xlfn.LET(
     _xlpm.d, Employee_dataset[[#This Row],[Join_Date]],
     IF(
        ISNUMBER(_xlpm.d),_xlpm.d,""
       )
    )</f>
        <v>45107</v>
      </c>
      <c r="I484" s="6">
        <f>_xlfn.LET(
     _xlpm.s, TRIM(Employee_dataset[[#This Row],[Salary]]),
     IF(
        UPPER(_xlpm.s)="N/A","",
        IF(
           ISNUMBER(--_xlpm.s),ROUND(_xlfn.NUMBERVALUE(_xlpm.s),2),""
          )
       )
    )</f>
        <v>91130.33</v>
      </c>
      <c r="J484" t="str">
        <f>TRIM(Employee_dataset[[#This Row],[Email]])</f>
        <v>eva.jones@example.com</v>
      </c>
      <c r="K484" t="str">
        <f>_xlfn.LET(
     _xlpm.p,TRIM(SUBSTITUTE(Employee_dataset[[#This Row],[Phone]],"-","")),
     IF(
        LEN(_xlpm.p)=10,_xlfn.CONCAT("("&amp;LEFT(_xlpm.p,3)&amp;") "&amp;MID(_xlpm.p,4,3)&amp;"-"&amp;RIGHT(_xlpm.p,4),"")
       )
     )</f>
        <v>(902) 611-3988</v>
      </c>
      <c r="L484" t="str">
        <f>TRIM(Employee_dataset[[#This Row],[Performance_Score]])</f>
        <v>Good</v>
      </c>
      <c r="M484" t="str">
        <f>TRIM(Employee_dataset[[#This Row],[Remote_Work]])</f>
        <v>FALSE</v>
      </c>
    </row>
    <row r="485" spans="1:13" x14ac:dyDescent="0.3">
      <c r="A485" t="str">
        <f>TRIM(Employee_dataset[[#This Row],[Employee_ID]])</f>
        <v>EMP1483</v>
      </c>
      <c r="B485" t="str">
        <f>PROPER(TRIM(Employee_dataset[[#This Row],[First_Name]]))</f>
        <v>Bob</v>
      </c>
      <c r="C485" t="str">
        <f>PROPER(TRIM(Employee_dataset[[#This Row],[Last_Name]]))</f>
        <v>Miller</v>
      </c>
      <c r="D485" s="6" t="str">
        <f>_xlfn.LET(
     _xlpm.a, TRIM(Employee_dataset[[#This Row],[Age]]),
     IF(
        _xlpm.a="","",
        IF(
           AND(ISNUMBER(--_xlpm.a),LEN(_xlpm.a)=2),_xlpm.a,""
          )
       )
    )</f>
        <v>40</v>
      </c>
      <c r="E485" t="str">
        <f>TRIM(_xlfn.TEXTBEFORE(Employee_dataset[[#This Row],[Department_Region]],"-"))</f>
        <v>Admin</v>
      </c>
      <c r="F485" t="str">
        <f>TRIM(_xlfn.TEXTAFTER(Employee_dataset[[#This Row],[Department_Region]],"-"))</f>
        <v>New York</v>
      </c>
      <c r="G485" t="str">
        <f>TRIM(Employee_dataset[[#This Row],[Status]])</f>
        <v>Pending</v>
      </c>
      <c r="H485" s="1">
        <f>_xlfn.LET(
     _xlpm.d, Employee_dataset[[#This Row],[Join_Date]],
     IF(
        ISNUMBER(_xlpm.d),_xlpm.d,""
       )
    )</f>
        <v>45035</v>
      </c>
      <c r="I485" s="6">
        <f>_xlfn.LET(
     _xlpm.s, TRIM(Employee_dataset[[#This Row],[Salary]]),
     IF(
        UPPER(_xlpm.s)="N/A","",
        IF(
           ISNUMBER(--_xlpm.s),ROUND(_xlfn.NUMBERVALUE(_xlpm.s),2),""
          )
       )
    )</f>
        <v>90787.4</v>
      </c>
      <c r="J485" t="str">
        <f>TRIM(Employee_dataset[[#This Row],[Email]])</f>
        <v>bob.miller@example.com</v>
      </c>
      <c r="K485" t="str">
        <f>_xlfn.LET(
     _xlpm.p,TRIM(SUBSTITUTE(Employee_dataset[[#This Row],[Phone]],"-","")),
     IF(
        LEN(_xlpm.p)=10,_xlfn.CONCAT("("&amp;LEFT(_xlpm.p,3)&amp;") "&amp;MID(_xlpm.p,4,3)&amp;"-"&amp;RIGHT(_xlpm.p,4),"")
       )
     )</f>
        <v>(868) 180-9787</v>
      </c>
      <c r="L485" t="str">
        <f>TRIM(Employee_dataset[[#This Row],[Performance_Score]])</f>
        <v>Average</v>
      </c>
      <c r="M485" t="str">
        <f>TRIM(Employee_dataset[[#This Row],[Remote_Work]])</f>
        <v>FALSE</v>
      </c>
    </row>
    <row r="486" spans="1:13" x14ac:dyDescent="0.3">
      <c r="A486" t="str">
        <f>TRIM(Employee_dataset[[#This Row],[Employee_ID]])</f>
        <v>EMP1484</v>
      </c>
      <c r="B486" t="str">
        <f>PROPER(TRIM(Employee_dataset[[#This Row],[First_Name]]))</f>
        <v>Bob</v>
      </c>
      <c r="C486" t="str">
        <f>PROPER(TRIM(Employee_dataset[[#This Row],[Last_Name]]))</f>
        <v>Jones</v>
      </c>
      <c r="D486" s="6" t="str">
        <f>_xlfn.LET(
     _xlpm.a, TRIM(Employee_dataset[[#This Row],[Age]]),
     IF(
        _xlpm.a="","",
        IF(
           AND(ISNUMBER(--_xlpm.a),LEN(_xlpm.a)=2),_xlpm.a,""
          )
       )
    )</f>
        <v>25</v>
      </c>
      <c r="E486" t="str">
        <f>TRIM(_xlfn.TEXTBEFORE(Employee_dataset[[#This Row],[Department_Region]],"-"))</f>
        <v>Sales</v>
      </c>
      <c r="F486" t="str">
        <f>TRIM(_xlfn.TEXTAFTER(Employee_dataset[[#This Row],[Department_Region]],"-"))</f>
        <v>Texas</v>
      </c>
      <c r="G486" t="str">
        <f>TRIM(Employee_dataset[[#This Row],[Status]])</f>
        <v>Inactive</v>
      </c>
      <c r="H486" s="1">
        <f>_xlfn.LET(
     _xlpm.d, Employee_dataset[[#This Row],[Join_Date]],
     IF(
        ISNUMBER(_xlpm.d),_xlpm.d,""
       )
    )</f>
        <v>45607</v>
      </c>
      <c r="I486" s="6">
        <f>_xlfn.LET(
     _xlpm.s, TRIM(Employee_dataset[[#This Row],[Salary]]),
     IF(
        UPPER(_xlpm.s)="N/A","",
        IF(
           ISNUMBER(--_xlpm.s),ROUND(_xlfn.NUMBERVALUE(_xlpm.s),2),""
          )
       )
    )</f>
        <v>87494.34</v>
      </c>
      <c r="J486" t="str">
        <f>TRIM(Employee_dataset[[#This Row],[Email]])</f>
        <v>bob.jones@example.com</v>
      </c>
      <c r="K486" t="str">
        <f>_xlfn.LET(
     _xlpm.p,TRIM(SUBSTITUTE(Employee_dataset[[#This Row],[Phone]],"-","")),
     IF(
        LEN(_xlpm.p)=10,_xlfn.CONCAT("("&amp;LEFT(_xlpm.p,3)&amp;") "&amp;MID(_xlpm.p,4,3)&amp;"-"&amp;RIGHT(_xlpm.p,4),"")
       )
     )</f>
        <v>(754) 394-3534</v>
      </c>
      <c r="L486" t="str">
        <f>TRIM(Employee_dataset[[#This Row],[Performance_Score]])</f>
        <v>Average</v>
      </c>
      <c r="M486" t="str">
        <f>TRIM(Employee_dataset[[#This Row],[Remote_Work]])</f>
        <v>TRUE</v>
      </c>
    </row>
    <row r="487" spans="1:13" x14ac:dyDescent="0.3">
      <c r="A487" t="str">
        <f>TRIM(Employee_dataset[[#This Row],[Employee_ID]])</f>
        <v>EMP1485</v>
      </c>
      <c r="B487" t="str">
        <f>PROPER(TRIM(Employee_dataset[[#This Row],[First_Name]]))</f>
        <v>Grace</v>
      </c>
      <c r="C487" t="str">
        <f>PROPER(TRIM(Employee_dataset[[#This Row],[Last_Name]]))</f>
        <v>Miller</v>
      </c>
      <c r="D487" s="6" t="str">
        <f>_xlfn.LET(
     _xlpm.a, TRIM(Employee_dataset[[#This Row],[Age]]),
     IF(
        _xlpm.a="","",
        IF(
           AND(ISNUMBER(--_xlpm.a),LEN(_xlpm.a)=2),_xlpm.a,""
          )
       )
    )</f>
        <v>35</v>
      </c>
      <c r="E487" t="str">
        <f>TRIM(_xlfn.TEXTBEFORE(Employee_dataset[[#This Row],[Department_Region]],"-"))</f>
        <v>Finance</v>
      </c>
      <c r="F487" t="str">
        <f>TRIM(_xlfn.TEXTAFTER(Employee_dataset[[#This Row],[Department_Region]],"-"))</f>
        <v>Nevada</v>
      </c>
      <c r="G487" t="str">
        <f>TRIM(Employee_dataset[[#This Row],[Status]])</f>
        <v>Inactive</v>
      </c>
      <c r="H487" s="1">
        <f>_xlfn.LET(
     _xlpm.d, Employee_dataset[[#This Row],[Join_Date]],
     IF(
        ISNUMBER(_xlpm.d),_xlpm.d,""
       )
    )</f>
        <v>45002</v>
      </c>
      <c r="I487" s="6">
        <f>_xlfn.LET(
     _xlpm.s, TRIM(Employee_dataset[[#This Row],[Salary]]),
     IF(
        UPPER(_xlpm.s)="N/A","",
        IF(
           ISNUMBER(--_xlpm.s),ROUND(_xlfn.NUMBERVALUE(_xlpm.s),2),""
          )
       )
    )</f>
        <v>92627.35</v>
      </c>
      <c r="J487" t="str">
        <f>TRIM(Employee_dataset[[#This Row],[Email]])</f>
        <v>grace.miller@example.com</v>
      </c>
      <c r="K487" t="str">
        <f>_xlfn.LET(
     _xlpm.p,TRIM(SUBSTITUTE(Employee_dataset[[#This Row],[Phone]],"-","")),
     IF(
        LEN(_xlpm.p)=10,_xlfn.CONCAT("("&amp;LEFT(_xlpm.p,3)&amp;") "&amp;MID(_xlpm.p,4,3)&amp;"-"&amp;RIGHT(_xlpm.p,4),"")
       )
     )</f>
        <v>(375) 137-6514</v>
      </c>
      <c r="L487" t="str">
        <f>TRIM(Employee_dataset[[#This Row],[Performance_Score]])</f>
        <v>Average</v>
      </c>
      <c r="M487" t="str">
        <f>TRIM(Employee_dataset[[#This Row],[Remote_Work]])</f>
        <v>FALSE</v>
      </c>
    </row>
    <row r="488" spans="1:13" x14ac:dyDescent="0.3">
      <c r="A488" t="str">
        <f>TRIM(Employee_dataset[[#This Row],[Employee_ID]])</f>
        <v>EMP1486</v>
      </c>
      <c r="B488" t="str">
        <f>PROPER(TRIM(Employee_dataset[[#This Row],[First_Name]]))</f>
        <v>Eva</v>
      </c>
      <c r="C488" t="str">
        <f>PROPER(TRIM(Employee_dataset[[#This Row],[Last_Name]]))</f>
        <v>Williams</v>
      </c>
      <c r="D488" s="6" t="str">
        <f>_xlfn.LET(
     _xlpm.a, TRIM(Employee_dataset[[#This Row],[Age]]),
     IF(
        _xlpm.a="","",
        IF(
           AND(ISNUMBER(--_xlpm.a),LEN(_xlpm.a)=2),_xlpm.a,""
          )
       )
    )</f>
        <v>40</v>
      </c>
      <c r="E488" t="str">
        <f>TRIM(_xlfn.TEXTBEFORE(Employee_dataset[[#This Row],[Department_Region]],"-"))</f>
        <v>Admin</v>
      </c>
      <c r="F488" t="str">
        <f>TRIM(_xlfn.TEXTAFTER(Employee_dataset[[#This Row],[Department_Region]],"-"))</f>
        <v>Illinois</v>
      </c>
      <c r="G488" t="str">
        <f>TRIM(Employee_dataset[[#This Row],[Status]])</f>
        <v>Pending</v>
      </c>
      <c r="H488" s="1">
        <f>_xlfn.LET(
     _xlpm.d, Employee_dataset[[#This Row],[Join_Date]],
     IF(
        ISNUMBER(_xlpm.d),_xlpm.d,""
       )
    )</f>
        <v>45225</v>
      </c>
      <c r="I488" s="6">
        <f>_xlfn.LET(
     _xlpm.s, TRIM(Employee_dataset[[#This Row],[Salary]]),
     IF(
        UPPER(_xlpm.s)="N/A","",
        IF(
           ISNUMBER(--_xlpm.s),ROUND(_xlfn.NUMBERVALUE(_xlpm.s),2),""
          )
       )
    )</f>
        <v>98556.29</v>
      </c>
      <c r="J488" t="str">
        <f>TRIM(Employee_dataset[[#This Row],[Email]])</f>
        <v>eva.williams@example.com</v>
      </c>
      <c r="K488" t="str">
        <f>_xlfn.LET(
     _xlpm.p,TRIM(SUBSTITUTE(Employee_dataset[[#This Row],[Phone]],"-","")),
     IF(
        LEN(_xlpm.p)=10,_xlfn.CONCAT("("&amp;LEFT(_xlpm.p,3)&amp;") "&amp;MID(_xlpm.p,4,3)&amp;"-"&amp;RIGHT(_xlpm.p,4),"")
       )
     )</f>
        <v>(881) 579-3762</v>
      </c>
      <c r="L488" t="str">
        <f>TRIM(Employee_dataset[[#This Row],[Performance_Score]])</f>
        <v>Poor</v>
      </c>
      <c r="M488" t="str">
        <f>TRIM(Employee_dataset[[#This Row],[Remote_Work]])</f>
        <v>TRUE</v>
      </c>
    </row>
    <row r="489" spans="1:13" x14ac:dyDescent="0.3">
      <c r="A489" t="str">
        <f>TRIM(Employee_dataset[[#This Row],[Employee_ID]])</f>
        <v>EMP1487</v>
      </c>
      <c r="B489" t="str">
        <f>PROPER(TRIM(Employee_dataset[[#This Row],[First_Name]]))</f>
        <v>Frank</v>
      </c>
      <c r="C489" t="str">
        <f>PROPER(TRIM(Employee_dataset[[#This Row],[Last_Name]]))</f>
        <v>Brown</v>
      </c>
      <c r="D489" s="6" t="str">
        <f>_xlfn.LET(
     _xlpm.a, TRIM(Employee_dataset[[#This Row],[Age]]),
     IF(
        _xlpm.a="","",
        IF(
           AND(ISNUMBER(--_xlpm.a),LEN(_xlpm.a)=2),_xlpm.a,""
          )
       )
    )</f>
        <v>30</v>
      </c>
      <c r="E489" t="str">
        <f>TRIM(_xlfn.TEXTBEFORE(Employee_dataset[[#This Row],[Department_Region]],"-"))</f>
        <v>Cloud Tech</v>
      </c>
      <c r="F489" t="str">
        <f>TRIM(_xlfn.TEXTAFTER(Employee_dataset[[#This Row],[Department_Region]],"-"))</f>
        <v>Nevada</v>
      </c>
      <c r="G489" t="str">
        <f>TRIM(Employee_dataset[[#This Row],[Status]])</f>
        <v>Inactive</v>
      </c>
      <c r="H489" s="1">
        <f>_xlfn.LET(
     _xlpm.d, Employee_dataset[[#This Row],[Join_Date]],
     IF(
        ISNUMBER(_xlpm.d),_xlpm.d,""
       )
    )</f>
        <v>44381</v>
      </c>
      <c r="I489" s="6">
        <f>_xlfn.LET(
     _xlpm.s, TRIM(Employee_dataset[[#This Row],[Salary]]),
     IF(
        UPPER(_xlpm.s)="N/A","",
        IF(
           ISNUMBER(--_xlpm.s),ROUND(_xlfn.NUMBERVALUE(_xlpm.s),2),""
          )
       )
    )</f>
        <v>112792.2</v>
      </c>
      <c r="J489" t="str">
        <f>TRIM(Employee_dataset[[#This Row],[Email]])</f>
        <v>frank.brown@example.com</v>
      </c>
      <c r="K489" t="str">
        <f>_xlfn.LET(
     _xlpm.p,TRIM(SUBSTITUTE(Employee_dataset[[#This Row],[Phone]],"-","")),
     IF(
        LEN(_xlpm.p)=10,_xlfn.CONCAT("("&amp;LEFT(_xlpm.p,3)&amp;") "&amp;MID(_xlpm.p,4,3)&amp;"-"&amp;RIGHT(_xlpm.p,4),"")
       )
     )</f>
        <v>(928) 369-2943</v>
      </c>
      <c r="L489" t="str">
        <f>TRIM(Employee_dataset[[#This Row],[Performance_Score]])</f>
        <v>Good</v>
      </c>
      <c r="M489" t="str">
        <f>TRIM(Employee_dataset[[#This Row],[Remote_Work]])</f>
        <v>TRUE</v>
      </c>
    </row>
    <row r="490" spans="1:13" x14ac:dyDescent="0.3">
      <c r="A490" t="str">
        <f>TRIM(Employee_dataset[[#This Row],[Employee_ID]])</f>
        <v>EMP1488</v>
      </c>
      <c r="B490" t="str">
        <f>PROPER(TRIM(Employee_dataset[[#This Row],[First_Name]]))</f>
        <v>Eva</v>
      </c>
      <c r="C490" t="str">
        <f>PROPER(TRIM(Employee_dataset[[#This Row],[Last_Name]]))</f>
        <v>Smith</v>
      </c>
      <c r="D490" s="6" t="str">
        <f>_xlfn.LET(
     _xlpm.a, TRIM(Employee_dataset[[#This Row],[Age]]),
     IF(
        _xlpm.a="","",
        IF(
           AND(ISNUMBER(--_xlpm.a),LEN(_xlpm.a)=2),_xlpm.a,""
          )
       )
    )</f>
        <v>35</v>
      </c>
      <c r="E490" t="str">
        <f>TRIM(_xlfn.TEXTBEFORE(Employee_dataset[[#This Row],[Department_Region]],"-"))</f>
        <v>HR</v>
      </c>
      <c r="F490" t="str">
        <f>TRIM(_xlfn.TEXTAFTER(Employee_dataset[[#This Row],[Department_Region]],"-"))</f>
        <v>Florida</v>
      </c>
      <c r="G490" t="str">
        <f>TRIM(Employee_dataset[[#This Row],[Status]])</f>
        <v>Pending</v>
      </c>
      <c r="H490" s="1">
        <f>_xlfn.LET(
     _xlpm.d, Employee_dataset[[#This Row],[Join_Date]],
     IF(
        ISNUMBER(_xlpm.d),_xlpm.d,""
       )
    )</f>
        <v>45233</v>
      </c>
      <c r="I490" s="6">
        <f>_xlfn.LET(
     _xlpm.s, TRIM(Employee_dataset[[#This Row],[Salary]]),
     IF(
        UPPER(_xlpm.s)="N/A","",
        IF(
           ISNUMBER(--_xlpm.s),ROUND(_xlfn.NUMBERVALUE(_xlpm.s),2),""
          )
       )
    )</f>
        <v>56875.22</v>
      </c>
      <c r="J490" t="str">
        <f>TRIM(Employee_dataset[[#This Row],[Email]])</f>
        <v>eva.smith@example.com</v>
      </c>
      <c r="K490" t="str">
        <f>_xlfn.LET(
     _xlpm.p,TRIM(SUBSTITUTE(Employee_dataset[[#This Row],[Phone]],"-","")),
     IF(
        LEN(_xlpm.p)=10,_xlfn.CONCAT("("&amp;LEFT(_xlpm.p,3)&amp;") "&amp;MID(_xlpm.p,4,3)&amp;"-"&amp;RIGHT(_xlpm.p,4),"")
       )
     )</f>
        <v>(551) 166-8296</v>
      </c>
      <c r="L490" t="str">
        <f>TRIM(Employee_dataset[[#This Row],[Performance_Score]])</f>
        <v>Poor</v>
      </c>
      <c r="M490" t="str">
        <f>TRIM(Employee_dataset[[#This Row],[Remote_Work]])</f>
        <v>FALSE</v>
      </c>
    </row>
    <row r="491" spans="1:13" x14ac:dyDescent="0.3">
      <c r="A491" t="str">
        <f>TRIM(Employee_dataset[[#This Row],[Employee_ID]])</f>
        <v>EMP1489</v>
      </c>
      <c r="B491" t="str">
        <f>PROPER(TRIM(Employee_dataset[[#This Row],[First_Name]]))</f>
        <v>Charlie</v>
      </c>
      <c r="C491" t="str">
        <f>PROPER(TRIM(Employee_dataset[[#This Row],[Last_Name]]))</f>
        <v>Jones</v>
      </c>
      <c r="D491" s="6" t="str">
        <f>_xlfn.LET(
     _xlpm.a, TRIM(Employee_dataset[[#This Row],[Age]]),
     IF(
        _xlpm.a="","",
        IF(
           AND(ISNUMBER(--_xlpm.a),LEN(_xlpm.a)=2),_xlpm.a,""
          )
       )
    )</f>
        <v>35</v>
      </c>
      <c r="E491" t="str">
        <f>TRIM(_xlfn.TEXTBEFORE(Employee_dataset[[#This Row],[Department_Region]],"-"))</f>
        <v>DevOps</v>
      </c>
      <c r="F491" t="str">
        <f>TRIM(_xlfn.TEXTAFTER(Employee_dataset[[#This Row],[Department_Region]],"-"))</f>
        <v>Florida</v>
      </c>
      <c r="G491" t="str">
        <f>TRIM(Employee_dataset[[#This Row],[Status]])</f>
        <v>Inactive</v>
      </c>
      <c r="H491" s="1">
        <f>_xlfn.LET(
     _xlpm.d, Employee_dataset[[#This Row],[Join_Date]],
     IF(
        ISNUMBER(_xlpm.d),_xlpm.d,""
       )
    )</f>
        <v>44382</v>
      </c>
      <c r="I491" s="6">
        <f>_xlfn.LET(
     _xlpm.s, TRIM(Employee_dataset[[#This Row],[Salary]]),
     IF(
        UPPER(_xlpm.s)="N/A","",
        IF(
           ISNUMBER(--_xlpm.s),ROUND(_xlfn.NUMBERVALUE(_xlpm.s),2),""
          )
       )
    )</f>
        <v>101015.96</v>
      </c>
      <c r="J491" t="str">
        <f>TRIM(Employee_dataset[[#This Row],[Email]])</f>
        <v>charlie.jones@example.com</v>
      </c>
      <c r="K491" t="str">
        <f>_xlfn.LET(
     _xlpm.p,TRIM(SUBSTITUTE(Employee_dataset[[#This Row],[Phone]],"-","")),
     IF(
        LEN(_xlpm.p)=10,_xlfn.CONCAT("("&amp;LEFT(_xlpm.p,3)&amp;") "&amp;MID(_xlpm.p,4,3)&amp;"-"&amp;RIGHT(_xlpm.p,4),"")
       )
     )</f>
        <v>(327) 021-6486</v>
      </c>
      <c r="L491" t="str">
        <f>TRIM(Employee_dataset[[#This Row],[Performance_Score]])</f>
        <v>Poor</v>
      </c>
      <c r="M491" t="str">
        <f>TRIM(Employee_dataset[[#This Row],[Remote_Work]])</f>
        <v>TRUE</v>
      </c>
    </row>
    <row r="492" spans="1:13" x14ac:dyDescent="0.3">
      <c r="A492" t="str">
        <f>TRIM(Employee_dataset[[#This Row],[Employee_ID]])</f>
        <v>EMP1490</v>
      </c>
      <c r="B492" t="str">
        <f>PROPER(TRIM(Employee_dataset[[#This Row],[First_Name]]))</f>
        <v>Bob</v>
      </c>
      <c r="C492" t="str">
        <f>PROPER(TRIM(Employee_dataset[[#This Row],[Last_Name]]))</f>
        <v>Garcia</v>
      </c>
      <c r="D492" s="6" t="str">
        <f>_xlfn.LET(
     _xlpm.a, TRIM(Employee_dataset[[#This Row],[Age]]),
     IF(
        _xlpm.a="","",
        IF(
           AND(ISNUMBER(--_xlpm.a),LEN(_xlpm.a)=2),_xlpm.a,""
          )
       )
    )</f>
        <v>30</v>
      </c>
      <c r="E492" t="str">
        <f>TRIM(_xlfn.TEXTBEFORE(Employee_dataset[[#This Row],[Department_Region]],"-"))</f>
        <v>Finance</v>
      </c>
      <c r="F492" t="str">
        <f>TRIM(_xlfn.TEXTAFTER(Employee_dataset[[#This Row],[Department_Region]],"-"))</f>
        <v>New York</v>
      </c>
      <c r="G492" t="str">
        <f>TRIM(Employee_dataset[[#This Row],[Status]])</f>
        <v>Inactive</v>
      </c>
      <c r="H492" s="1">
        <f>_xlfn.LET(
     _xlpm.d, Employee_dataset[[#This Row],[Join_Date]],
     IF(
        ISNUMBER(_xlpm.d),_xlpm.d,""
       )
    )</f>
        <v>45348</v>
      </c>
      <c r="I492" s="6">
        <f>_xlfn.LET(
     _xlpm.s, TRIM(Employee_dataset[[#This Row],[Salary]]),
     IF(
        UPPER(_xlpm.s)="N/A","",
        IF(
           ISNUMBER(--_xlpm.s),ROUND(_xlfn.NUMBERVALUE(_xlpm.s),2),""
          )
       )
    )</f>
        <v>83912.22</v>
      </c>
      <c r="J492" t="str">
        <f>TRIM(Employee_dataset[[#This Row],[Email]])</f>
        <v>bob.garcia@example.com</v>
      </c>
      <c r="K492" t="str">
        <f>_xlfn.LET(
     _xlpm.p,TRIM(SUBSTITUTE(Employee_dataset[[#This Row],[Phone]],"-","")),
     IF(
        LEN(_xlpm.p)=10,_xlfn.CONCAT("("&amp;LEFT(_xlpm.p,3)&amp;") "&amp;MID(_xlpm.p,4,3)&amp;"-"&amp;RIGHT(_xlpm.p,4),"")
       )
     )</f>
        <v>(120) 602-1287</v>
      </c>
      <c r="L492" t="str">
        <f>TRIM(Employee_dataset[[#This Row],[Performance_Score]])</f>
        <v>Average</v>
      </c>
      <c r="M492" t="str">
        <f>TRIM(Employee_dataset[[#This Row],[Remote_Work]])</f>
        <v>FALSE</v>
      </c>
    </row>
    <row r="493" spans="1:13" x14ac:dyDescent="0.3">
      <c r="A493" t="str">
        <f>TRIM(Employee_dataset[[#This Row],[Employee_ID]])</f>
        <v>EMP1491</v>
      </c>
      <c r="B493" t="str">
        <f>PROPER(TRIM(Employee_dataset[[#This Row],[First_Name]]))</f>
        <v>Frank</v>
      </c>
      <c r="C493" t="str">
        <f>PROPER(TRIM(Employee_dataset[[#This Row],[Last_Name]]))</f>
        <v>Jones</v>
      </c>
      <c r="D493" s="6" t="str">
        <f>_xlfn.LET(
     _xlpm.a, TRIM(Employee_dataset[[#This Row],[Age]]),
     IF(
        _xlpm.a="","",
        IF(
           AND(ISNUMBER(--_xlpm.a),LEN(_xlpm.a)=2),_xlpm.a,""
          )
       )
    )</f>
        <v>25</v>
      </c>
      <c r="E493" t="str">
        <f>TRIM(_xlfn.TEXTBEFORE(Employee_dataset[[#This Row],[Department_Region]],"-"))</f>
        <v>Sales</v>
      </c>
      <c r="F493" t="str">
        <f>TRIM(_xlfn.TEXTAFTER(Employee_dataset[[#This Row],[Department_Region]],"-"))</f>
        <v>New York</v>
      </c>
      <c r="G493" t="str">
        <f>TRIM(Employee_dataset[[#This Row],[Status]])</f>
        <v>Active</v>
      </c>
      <c r="H493" s="1">
        <f>_xlfn.LET(
     _xlpm.d, Employee_dataset[[#This Row],[Join_Date]],
     IF(
        ISNUMBER(_xlpm.d),_xlpm.d,""
       )
    )</f>
        <v>44468</v>
      </c>
      <c r="I493" s="6">
        <f>_xlfn.LET(
     _xlpm.s, TRIM(Employee_dataset[[#This Row],[Salary]]),
     IF(
        UPPER(_xlpm.s)="N/A","",
        IF(
           ISNUMBER(--_xlpm.s),ROUND(_xlfn.NUMBERVALUE(_xlpm.s),2),""
          )
       )
    )</f>
        <v>99669.86</v>
      </c>
      <c r="J493" t="str">
        <f>TRIM(Employee_dataset[[#This Row],[Email]])</f>
        <v>frank.jones@example.com</v>
      </c>
      <c r="K493" t="str">
        <f>_xlfn.LET(
     _xlpm.p,TRIM(SUBSTITUTE(Employee_dataset[[#This Row],[Phone]],"-","")),
     IF(
        LEN(_xlpm.p)=10,_xlfn.CONCAT("("&amp;LEFT(_xlpm.p,3)&amp;") "&amp;MID(_xlpm.p,4,3)&amp;"-"&amp;RIGHT(_xlpm.p,4),"")
       )
     )</f>
        <v>(665) 268-3414</v>
      </c>
      <c r="L493" t="str">
        <f>TRIM(Employee_dataset[[#This Row],[Performance_Score]])</f>
        <v>Average</v>
      </c>
      <c r="M493" t="str">
        <f>TRIM(Employee_dataset[[#This Row],[Remote_Work]])</f>
        <v>FALSE</v>
      </c>
    </row>
    <row r="494" spans="1:13" x14ac:dyDescent="0.3">
      <c r="A494" t="str">
        <f>TRIM(Employee_dataset[[#This Row],[Employee_ID]])</f>
        <v>EMP1492</v>
      </c>
      <c r="B494" t="str">
        <f>PROPER(TRIM(Employee_dataset[[#This Row],[First_Name]]))</f>
        <v>Alice</v>
      </c>
      <c r="C494" t="str">
        <f>PROPER(TRIM(Employee_dataset[[#This Row],[Last_Name]]))</f>
        <v>Smith</v>
      </c>
      <c r="D494" s="6" t="str">
        <f>_xlfn.LET(
     _xlpm.a, TRIM(Employee_dataset[[#This Row],[Age]]),
     IF(
        _xlpm.a="","",
        IF(
           AND(ISNUMBER(--_xlpm.a),LEN(_xlpm.a)=2),_xlpm.a,""
          )
       )
    )</f>
        <v>30</v>
      </c>
      <c r="E494" t="str">
        <f>TRIM(_xlfn.TEXTBEFORE(Employee_dataset[[#This Row],[Department_Region]],"-"))</f>
        <v>Admin</v>
      </c>
      <c r="F494" t="str">
        <f>TRIM(_xlfn.TEXTAFTER(Employee_dataset[[#This Row],[Department_Region]],"-"))</f>
        <v>New York</v>
      </c>
      <c r="G494" t="str">
        <f>TRIM(Employee_dataset[[#This Row],[Status]])</f>
        <v>Active</v>
      </c>
      <c r="H494" s="1">
        <f>_xlfn.LET(
     _xlpm.d, Employee_dataset[[#This Row],[Join_Date]],
     IF(
        ISNUMBER(_xlpm.d),_xlpm.d,""
       )
    )</f>
        <v>44341</v>
      </c>
      <c r="I494" s="6">
        <f>_xlfn.LET(
     _xlpm.s, TRIM(Employee_dataset[[#This Row],[Salary]]),
     IF(
        UPPER(_xlpm.s)="N/A","",
        IF(
           ISNUMBER(--_xlpm.s),ROUND(_xlfn.NUMBERVALUE(_xlpm.s),2),""
          )
       )
    )</f>
        <v>52314.97</v>
      </c>
      <c r="J494" t="str">
        <f>TRIM(Employee_dataset[[#This Row],[Email]])</f>
        <v>alice.smith@example.com</v>
      </c>
      <c r="K494" t="str">
        <f>_xlfn.LET(
     _xlpm.p,TRIM(SUBSTITUTE(Employee_dataset[[#This Row],[Phone]],"-","")),
     IF(
        LEN(_xlpm.p)=10,_xlfn.CONCAT("("&amp;LEFT(_xlpm.p,3)&amp;") "&amp;MID(_xlpm.p,4,3)&amp;"-"&amp;RIGHT(_xlpm.p,4),"")
       )
     )</f>
        <v>(599) 910-1575</v>
      </c>
      <c r="L494" t="str">
        <f>TRIM(Employee_dataset[[#This Row],[Performance_Score]])</f>
        <v>Excellent</v>
      </c>
      <c r="M494" t="str">
        <f>TRIM(Employee_dataset[[#This Row],[Remote_Work]])</f>
        <v>FALSE</v>
      </c>
    </row>
    <row r="495" spans="1:13" x14ac:dyDescent="0.3">
      <c r="A495" t="str">
        <f>TRIM(Employee_dataset[[#This Row],[Employee_ID]])</f>
        <v>EMP1493</v>
      </c>
      <c r="B495" t="str">
        <f>PROPER(TRIM(Employee_dataset[[#This Row],[First_Name]]))</f>
        <v>Frank</v>
      </c>
      <c r="C495" t="str">
        <f>PROPER(TRIM(Employee_dataset[[#This Row],[Last_Name]]))</f>
        <v>Miller</v>
      </c>
      <c r="D495" s="6" t="str">
        <f>_xlfn.LET(
     _xlpm.a, TRIM(Employee_dataset[[#This Row],[Age]]),
     IF(
        _xlpm.a="","",
        IF(
           AND(ISNUMBER(--_xlpm.a),LEN(_xlpm.a)=2),_xlpm.a,""
          )
       )
    )</f>
        <v>30</v>
      </c>
      <c r="E495" t="str">
        <f>TRIM(_xlfn.TEXTBEFORE(Employee_dataset[[#This Row],[Department_Region]],"-"))</f>
        <v>HR</v>
      </c>
      <c r="F495" t="str">
        <f>TRIM(_xlfn.TEXTAFTER(Employee_dataset[[#This Row],[Department_Region]],"-"))</f>
        <v>California</v>
      </c>
      <c r="G495" t="str">
        <f>TRIM(Employee_dataset[[#This Row],[Status]])</f>
        <v>Inactive</v>
      </c>
      <c r="H495" s="1">
        <f>_xlfn.LET(
     _xlpm.d, Employee_dataset[[#This Row],[Join_Date]],
     IF(
        ISNUMBER(_xlpm.d),_xlpm.d,""
       )
    )</f>
        <v>44865</v>
      </c>
      <c r="I495" s="6">
        <f>_xlfn.LET(
     _xlpm.s, TRIM(Employee_dataset[[#This Row],[Salary]]),
     IF(
        UPPER(_xlpm.s)="N/A","",
        IF(
           ISNUMBER(--_xlpm.s),ROUND(_xlfn.NUMBERVALUE(_xlpm.s),2),""
          )
       )
    )</f>
        <v>77785.960000000006</v>
      </c>
      <c r="J495" t="str">
        <f>TRIM(Employee_dataset[[#This Row],[Email]])</f>
        <v>frank.miller@example.com</v>
      </c>
      <c r="K495" t="str">
        <f>_xlfn.LET(
     _xlpm.p,TRIM(SUBSTITUTE(Employee_dataset[[#This Row],[Phone]],"-","")),
     IF(
        LEN(_xlpm.p)=10,_xlfn.CONCAT("("&amp;LEFT(_xlpm.p,3)&amp;") "&amp;MID(_xlpm.p,4,3)&amp;"-"&amp;RIGHT(_xlpm.p,4),"")
       )
     )</f>
        <v>(764) 722-9811</v>
      </c>
      <c r="L495" t="str">
        <f>TRIM(Employee_dataset[[#This Row],[Performance_Score]])</f>
        <v>Excellent</v>
      </c>
      <c r="M495" t="str">
        <f>TRIM(Employee_dataset[[#This Row],[Remote_Work]])</f>
        <v>FALSE</v>
      </c>
    </row>
    <row r="496" spans="1:13" x14ac:dyDescent="0.3">
      <c r="A496" t="str">
        <f>TRIM(Employee_dataset[[#This Row],[Employee_ID]])</f>
        <v>EMP1494</v>
      </c>
      <c r="B496" t="str">
        <f>PROPER(TRIM(Employee_dataset[[#This Row],[First_Name]]))</f>
        <v>Alice</v>
      </c>
      <c r="C496" t="str">
        <f>PROPER(TRIM(Employee_dataset[[#This Row],[Last_Name]]))</f>
        <v>Jones</v>
      </c>
      <c r="D496" s="6" t="str">
        <f>_xlfn.LET(
     _xlpm.a, TRIM(Employee_dataset[[#This Row],[Age]]),
     IF(
        _xlpm.a="","",
        IF(
           AND(ISNUMBER(--_xlpm.a),LEN(_xlpm.a)=2),_xlpm.a,""
          )
       )
    )</f>
        <v>30</v>
      </c>
      <c r="E496" t="str">
        <f>TRIM(_xlfn.TEXTBEFORE(Employee_dataset[[#This Row],[Department_Region]],"-"))</f>
        <v>HR</v>
      </c>
      <c r="F496" t="str">
        <f>TRIM(_xlfn.TEXTAFTER(Employee_dataset[[#This Row],[Department_Region]],"-"))</f>
        <v>Florida</v>
      </c>
      <c r="G496" t="str">
        <f>TRIM(Employee_dataset[[#This Row],[Status]])</f>
        <v>Pending</v>
      </c>
      <c r="H496" s="1">
        <f>_xlfn.LET(
     _xlpm.d, Employee_dataset[[#This Row],[Join_Date]],
     IF(
        ISNUMBER(_xlpm.d),_xlpm.d,""
       )
    )</f>
        <v>44744</v>
      </c>
      <c r="I496" s="6">
        <f>_xlfn.LET(
     _xlpm.s, TRIM(Employee_dataset[[#This Row],[Salary]]),
     IF(
        UPPER(_xlpm.s)="N/A","",
        IF(
           ISNUMBER(--_xlpm.s),ROUND(_xlfn.NUMBERVALUE(_xlpm.s),2),""
          )
       )
    )</f>
        <v>62430.86</v>
      </c>
      <c r="J496" t="str">
        <f>TRIM(Employee_dataset[[#This Row],[Email]])</f>
        <v>alice.jones@example.com</v>
      </c>
      <c r="K496" t="b">
        <f>_xlfn.LET(
     _xlpm.p,TRIM(SUBSTITUTE(Employee_dataset[[#This Row],[Phone]],"-","")),
     IF(
        LEN(_xlpm.p)=10,_xlfn.CONCAT("("&amp;LEFT(_xlpm.p,3)&amp;") "&amp;MID(_xlpm.p,4,3)&amp;"-"&amp;RIGHT(_xlpm.p,4),"")
       )
     )</f>
        <v>0</v>
      </c>
      <c r="L496" t="str">
        <f>TRIM(Employee_dataset[[#This Row],[Performance_Score]])</f>
        <v>Poor</v>
      </c>
      <c r="M496" t="str">
        <f>TRIM(Employee_dataset[[#This Row],[Remote_Work]])</f>
        <v>FALSE</v>
      </c>
    </row>
    <row r="497" spans="1:13" x14ac:dyDescent="0.3">
      <c r="A497" t="str">
        <f>TRIM(Employee_dataset[[#This Row],[Employee_ID]])</f>
        <v>EMP1495</v>
      </c>
      <c r="B497" t="str">
        <f>PROPER(TRIM(Employee_dataset[[#This Row],[First_Name]]))</f>
        <v>Frank</v>
      </c>
      <c r="C497" t="str">
        <f>PROPER(TRIM(Employee_dataset[[#This Row],[Last_Name]]))</f>
        <v>Davis</v>
      </c>
      <c r="D497" s="6" t="str">
        <f>_xlfn.LET(
     _xlpm.a, TRIM(Employee_dataset[[#This Row],[Age]]),
     IF(
        _xlpm.a="","",
        IF(
           AND(ISNUMBER(--_xlpm.a),LEN(_xlpm.a)=2),_xlpm.a,""
          )
       )
    )</f>
        <v>35</v>
      </c>
      <c r="E497" t="str">
        <f>TRIM(_xlfn.TEXTBEFORE(Employee_dataset[[#This Row],[Department_Region]],"-"))</f>
        <v>Admin</v>
      </c>
      <c r="F497" t="str">
        <f>TRIM(_xlfn.TEXTAFTER(Employee_dataset[[#This Row],[Department_Region]],"-"))</f>
        <v>California</v>
      </c>
      <c r="G497" t="str">
        <f>TRIM(Employee_dataset[[#This Row],[Status]])</f>
        <v>Pending</v>
      </c>
      <c r="H497" s="1">
        <f>_xlfn.LET(
     _xlpm.d, Employee_dataset[[#This Row],[Join_Date]],
     IF(
        ISNUMBER(_xlpm.d),_xlpm.d,""
       )
    )</f>
        <v>45532</v>
      </c>
      <c r="I497" s="6">
        <f>_xlfn.LET(
     _xlpm.s, TRIM(Employee_dataset[[#This Row],[Salary]]),
     IF(
        UPPER(_xlpm.s)="N/A","",
        IF(
           ISNUMBER(--_xlpm.s),ROUND(_xlfn.NUMBERVALUE(_xlpm.s),2),""
          )
       )
    )</f>
        <v>98219.54</v>
      </c>
      <c r="J497" t="str">
        <f>TRIM(Employee_dataset[[#This Row],[Email]])</f>
        <v>frank.davis@example.com</v>
      </c>
      <c r="K497" t="str">
        <f>_xlfn.LET(
     _xlpm.p,TRIM(SUBSTITUTE(Employee_dataset[[#This Row],[Phone]],"-","")),
     IF(
        LEN(_xlpm.p)=10,_xlfn.CONCAT("("&amp;LEFT(_xlpm.p,3)&amp;") "&amp;MID(_xlpm.p,4,3)&amp;"-"&amp;RIGHT(_xlpm.p,4),"")
       )
     )</f>
        <v>(941) 347-5097</v>
      </c>
      <c r="L497" t="str">
        <f>TRIM(Employee_dataset[[#This Row],[Performance_Score]])</f>
        <v>Good</v>
      </c>
      <c r="M497" t="str">
        <f>TRIM(Employee_dataset[[#This Row],[Remote_Work]])</f>
        <v>TRUE</v>
      </c>
    </row>
    <row r="498" spans="1:13" x14ac:dyDescent="0.3">
      <c r="A498" t="str">
        <f>TRIM(Employee_dataset[[#This Row],[Employee_ID]])</f>
        <v>EMP1496</v>
      </c>
      <c r="B498" t="str">
        <f>PROPER(TRIM(Employee_dataset[[#This Row],[First_Name]]))</f>
        <v>Grace</v>
      </c>
      <c r="C498" t="str">
        <f>PROPER(TRIM(Employee_dataset[[#This Row],[Last_Name]]))</f>
        <v>Williams</v>
      </c>
      <c r="D498" s="6" t="str">
        <f>_xlfn.LET(
     _xlpm.a, TRIM(Employee_dataset[[#This Row],[Age]]),
     IF(
        _xlpm.a="","",
        IF(
           AND(ISNUMBER(--_xlpm.a),LEN(_xlpm.a)=2),_xlpm.a,""
          )
       )
    )</f>
        <v>25</v>
      </c>
      <c r="E498" t="str">
        <f>TRIM(_xlfn.TEXTBEFORE(Employee_dataset[[#This Row],[Department_Region]],"-"))</f>
        <v>Admin</v>
      </c>
      <c r="F498" t="str">
        <f>TRIM(_xlfn.TEXTAFTER(Employee_dataset[[#This Row],[Department_Region]],"-"))</f>
        <v>Illinois</v>
      </c>
      <c r="G498" t="str">
        <f>TRIM(Employee_dataset[[#This Row],[Status]])</f>
        <v>Active</v>
      </c>
      <c r="H498" s="1">
        <f>_xlfn.LET(
     _xlpm.d, Employee_dataset[[#This Row],[Join_Date]],
     IF(
        ISNUMBER(_xlpm.d),_xlpm.d,""
       )
    )</f>
        <v>45586</v>
      </c>
      <c r="I498" s="6">
        <f>_xlfn.LET(
     _xlpm.s, TRIM(Employee_dataset[[#This Row],[Salary]]),
     IF(
        UPPER(_xlpm.s)="N/A","",
        IF(
           ISNUMBER(--_xlpm.s),ROUND(_xlfn.NUMBERVALUE(_xlpm.s),2),""
          )
       )
    )</f>
        <v>65494.58</v>
      </c>
      <c r="J498" t="str">
        <f>TRIM(Employee_dataset[[#This Row],[Email]])</f>
        <v>grace.williams@example.com</v>
      </c>
      <c r="K498" t="str">
        <f>_xlfn.LET(
     _xlpm.p,TRIM(SUBSTITUTE(Employee_dataset[[#This Row],[Phone]],"-","")),
     IF(
        LEN(_xlpm.p)=10,_xlfn.CONCAT("("&amp;LEFT(_xlpm.p,3)&amp;") "&amp;MID(_xlpm.p,4,3)&amp;"-"&amp;RIGHT(_xlpm.p,4),"")
       )
     )</f>
        <v>(898) 645-6521</v>
      </c>
      <c r="L498" t="str">
        <f>TRIM(Employee_dataset[[#This Row],[Performance_Score]])</f>
        <v>Average</v>
      </c>
      <c r="M498" t="str">
        <f>TRIM(Employee_dataset[[#This Row],[Remote_Work]])</f>
        <v>TRUE</v>
      </c>
    </row>
    <row r="499" spans="1:13" x14ac:dyDescent="0.3">
      <c r="A499" t="str">
        <f>TRIM(Employee_dataset[[#This Row],[Employee_ID]])</f>
        <v>EMP1497</v>
      </c>
      <c r="B499" t="str">
        <f>PROPER(TRIM(Employee_dataset[[#This Row],[First_Name]]))</f>
        <v>David</v>
      </c>
      <c r="C499" t="str">
        <f>PROPER(TRIM(Employee_dataset[[#This Row],[Last_Name]]))</f>
        <v>Brown</v>
      </c>
      <c r="D499" s="6" t="str">
        <f>_xlfn.LET(
     _xlpm.a, TRIM(Employee_dataset[[#This Row],[Age]]),
     IF(
        _xlpm.a="","",
        IF(
           AND(ISNUMBER(--_xlpm.a),LEN(_xlpm.a)=2),_xlpm.a,""
          )
       )
    )</f>
        <v>35</v>
      </c>
      <c r="E499" t="str">
        <f>TRIM(_xlfn.TEXTBEFORE(Employee_dataset[[#This Row],[Department_Region]],"-"))</f>
        <v>DevOps</v>
      </c>
      <c r="F499" t="str">
        <f>TRIM(_xlfn.TEXTAFTER(Employee_dataset[[#This Row],[Department_Region]],"-"))</f>
        <v>Florida</v>
      </c>
      <c r="G499" t="str">
        <f>TRIM(Employee_dataset[[#This Row],[Status]])</f>
        <v>Pending</v>
      </c>
      <c r="H499" s="1">
        <f>_xlfn.LET(
     _xlpm.d, Employee_dataset[[#This Row],[Join_Date]],
     IF(
        ISNUMBER(_xlpm.d),_xlpm.d,""
       )
    )</f>
        <v>43872</v>
      </c>
      <c r="I499" s="6">
        <f>_xlfn.LET(
     _xlpm.s, TRIM(Employee_dataset[[#This Row],[Salary]]),
     IF(
        UPPER(_xlpm.s)="N/A","",
        IF(
           ISNUMBER(--_xlpm.s),ROUND(_xlfn.NUMBERVALUE(_xlpm.s),2),""
          )
       )
    )</f>
        <v>110524.1</v>
      </c>
      <c r="J499" t="str">
        <f>TRIM(Employee_dataset[[#This Row],[Email]])</f>
        <v>david.brown@example.com</v>
      </c>
      <c r="K499" t="b">
        <f>_xlfn.LET(
     _xlpm.p,TRIM(SUBSTITUTE(Employee_dataset[[#This Row],[Phone]],"-","")),
     IF(
        LEN(_xlpm.p)=10,_xlfn.CONCAT("("&amp;LEFT(_xlpm.p,3)&amp;") "&amp;MID(_xlpm.p,4,3)&amp;"-"&amp;RIGHT(_xlpm.p,4),"")
       )
     )</f>
        <v>0</v>
      </c>
      <c r="L499" t="str">
        <f>TRIM(Employee_dataset[[#This Row],[Performance_Score]])</f>
        <v>Average</v>
      </c>
      <c r="M499" t="str">
        <f>TRIM(Employee_dataset[[#This Row],[Remote_Work]])</f>
        <v>FALSE</v>
      </c>
    </row>
    <row r="500" spans="1:13" x14ac:dyDescent="0.3">
      <c r="A500" t="str">
        <f>TRIM(Employee_dataset[[#This Row],[Employee_ID]])</f>
        <v>EMP1498</v>
      </c>
      <c r="B500" t="str">
        <f>PROPER(TRIM(Employee_dataset[[#This Row],[First_Name]]))</f>
        <v>Alice</v>
      </c>
      <c r="C500" t="str">
        <f>PROPER(TRIM(Employee_dataset[[#This Row],[Last_Name]]))</f>
        <v>Smith</v>
      </c>
      <c r="D500" s="6" t="str">
        <f>_xlfn.LET(
     _xlpm.a, TRIM(Employee_dataset[[#This Row],[Age]]),
     IF(
        _xlpm.a="","",
        IF(
           AND(ISNUMBER(--_xlpm.a),LEN(_xlpm.a)=2),_xlpm.a,""
          )
       )
    )</f>
        <v>40</v>
      </c>
      <c r="E500" t="str">
        <f>TRIM(_xlfn.TEXTBEFORE(Employee_dataset[[#This Row],[Department_Region]],"-"))</f>
        <v>Admin</v>
      </c>
      <c r="F500" t="str">
        <f>TRIM(_xlfn.TEXTAFTER(Employee_dataset[[#This Row],[Department_Region]],"-"))</f>
        <v>Nevada</v>
      </c>
      <c r="G500" t="str">
        <f>TRIM(Employee_dataset[[#This Row],[Status]])</f>
        <v>Active</v>
      </c>
      <c r="H500" s="1">
        <f>_xlfn.LET(
     _xlpm.d, Employee_dataset[[#This Row],[Join_Date]],
     IF(
        ISNUMBER(_xlpm.d),_xlpm.d,""
       )
    )</f>
        <v>45062</v>
      </c>
      <c r="I500" s="6">
        <f>_xlfn.LET(
     _xlpm.s, TRIM(Employee_dataset[[#This Row],[Salary]]),
     IF(
        UPPER(_xlpm.s)="N/A","",
        IF(
           ISNUMBER(--_xlpm.s),ROUND(_xlfn.NUMBERVALUE(_xlpm.s),2),""
          )
       )
    )</f>
        <v>106060.54</v>
      </c>
      <c r="J500" t="str">
        <f>TRIM(Employee_dataset[[#This Row],[Email]])</f>
        <v>alice.smith@example.com</v>
      </c>
      <c r="K500" t="str">
        <f>_xlfn.LET(
     _xlpm.p,TRIM(SUBSTITUTE(Employee_dataset[[#This Row],[Phone]],"-","")),
     IF(
        LEN(_xlpm.p)=10,_xlfn.CONCAT("("&amp;LEFT(_xlpm.p,3)&amp;") "&amp;MID(_xlpm.p,4,3)&amp;"-"&amp;RIGHT(_xlpm.p,4),"")
       )
     )</f>
        <v>(421) 447-7323</v>
      </c>
      <c r="L500" t="str">
        <f>TRIM(Employee_dataset[[#This Row],[Performance_Score]])</f>
        <v>Poor</v>
      </c>
      <c r="M500" t="str">
        <f>TRIM(Employee_dataset[[#This Row],[Remote_Work]])</f>
        <v>FALSE</v>
      </c>
    </row>
    <row r="501" spans="1:13" x14ac:dyDescent="0.3">
      <c r="A501" t="str">
        <f>TRIM(Employee_dataset[[#This Row],[Employee_ID]])</f>
        <v>EMP1499</v>
      </c>
      <c r="B501" t="str">
        <f>PROPER(TRIM(Employee_dataset[[#This Row],[First_Name]]))</f>
        <v>Eva</v>
      </c>
      <c r="C501" t="str">
        <f>PROPER(TRIM(Employee_dataset[[#This Row],[Last_Name]]))</f>
        <v>Brown</v>
      </c>
      <c r="D501" s="6" t="str">
        <f>_xlfn.LET(
     _xlpm.a, TRIM(Employee_dataset[[#This Row],[Age]]),
     IF(
        _xlpm.a="","",
        IF(
           AND(ISNUMBER(--_xlpm.a),LEN(_xlpm.a)=2),_xlpm.a,""
          )
       )
    )</f>
        <v>35</v>
      </c>
      <c r="E501" t="str">
        <f>TRIM(_xlfn.TEXTBEFORE(Employee_dataset[[#This Row],[Department_Region]],"-"))</f>
        <v>Finance</v>
      </c>
      <c r="F501" t="str">
        <f>TRIM(_xlfn.TEXTAFTER(Employee_dataset[[#This Row],[Department_Region]],"-"))</f>
        <v>Florida</v>
      </c>
      <c r="G501" t="str">
        <f>TRIM(Employee_dataset[[#This Row],[Status]])</f>
        <v>Inactive</v>
      </c>
      <c r="H501" s="1">
        <f>_xlfn.LET(
     _xlpm.d, Employee_dataset[[#This Row],[Join_Date]],
     IF(
        ISNUMBER(_xlpm.d),_xlpm.d,""
       )
    )</f>
        <v>44771</v>
      </c>
      <c r="I501" s="6">
        <f>_xlfn.LET(
     _xlpm.s, TRIM(Employee_dataset[[#This Row],[Salary]]),
     IF(
        UPPER(_xlpm.s)="N/A","",
        IF(
           ISNUMBER(--_xlpm.s),ROUND(_xlfn.NUMBERVALUE(_xlpm.s),2),""
          )
       )
    )</f>
        <v>67639.91</v>
      </c>
      <c r="J501" t="str">
        <f>TRIM(Employee_dataset[[#This Row],[Email]])</f>
        <v>eva.brown@example.com</v>
      </c>
      <c r="K501" t="str">
        <f>_xlfn.LET(
     _xlpm.p,TRIM(SUBSTITUTE(Employee_dataset[[#This Row],[Phone]],"-","")),
     IF(
        LEN(_xlpm.p)=10,_xlfn.CONCAT("("&amp;LEFT(_xlpm.p,3)&amp;") "&amp;MID(_xlpm.p,4,3)&amp;"-"&amp;RIGHT(_xlpm.p,4),"")
       )
     )</f>
        <v>(491) 342-1387</v>
      </c>
      <c r="L501" t="str">
        <f>TRIM(Employee_dataset[[#This Row],[Performance_Score]])</f>
        <v>Excellent</v>
      </c>
      <c r="M501" t="str">
        <f>TRIM(Employee_dataset[[#This Row],[Remote_Work]])</f>
        <v>TRUE</v>
      </c>
    </row>
    <row r="502" spans="1:13" x14ac:dyDescent="0.3">
      <c r="A502" t="str">
        <f>TRIM(Employee_dataset[[#This Row],[Employee_ID]])</f>
        <v>EMP1500</v>
      </c>
      <c r="B502" t="str">
        <f>PROPER(TRIM(Employee_dataset[[#This Row],[First_Name]]))</f>
        <v>Grace</v>
      </c>
      <c r="C502" t="str">
        <f>PROPER(TRIM(Employee_dataset[[#This Row],[Last_Name]]))</f>
        <v>Davis</v>
      </c>
      <c r="D502" s="6" t="str">
        <f>_xlfn.LET(
     _xlpm.a, TRIM(Employee_dataset[[#This Row],[Age]]),
     IF(
        _xlpm.a="","",
        IF(
           AND(ISNUMBER(--_xlpm.a),LEN(_xlpm.a)=2),_xlpm.a,""
          )
       )
    )</f>
        <v/>
      </c>
      <c r="E502" t="str">
        <f>TRIM(_xlfn.TEXTBEFORE(Employee_dataset[[#This Row],[Department_Region]],"-"))</f>
        <v>Cloud Tech</v>
      </c>
      <c r="F502" t="str">
        <f>TRIM(_xlfn.TEXTAFTER(Employee_dataset[[#This Row],[Department_Region]],"-"))</f>
        <v>Texas</v>
      </c>
      <c r="G502" t="str">
        <f>TRIM(Employee_dataset[[#This Row],[Status]])</f>
        <v>Pending</v>
      </c>
      <c r="H502" s="1">
        <f>_xlfn.LET(
     _xlpm.d, Employee_dataset[[#This Row],[Join_Date]],
     IF(
        ISNUMBER(_xlpm.d),_xlpm.d,""
       )
    )</f>
        <v>45187</v>
      </c>
      <c r="I502" s="6">
        <f>_xlfn.LET(
     _xlpm.s, TRIM(Employee_dataset[[#This Row],[Salary]]),
     IF(
        UPPER(_xlpm.s)="N/A","",
        IF(
           ISNUMBER(--_xlpm.s),ROUND(_xlfn.NUMBERVALUE(_xlpm.s),2),""
          )
       )
    )</f>
        <v>117653.98</v>
      </c>
      <c r="J502" t="str">
        <f>TRIM(Employee_dataset[[#This Row],[Email]])</f>
        <v>grace.davis@example.com</v>
      </c>
      <c r="K502" t="str">
        <f>_xlfn.LET(
     _xlpm.p,TRIM(SUBSTITUTE(Employee_dataset[[#This Row],[Phone]],"-","")),
     IF(
        LEN(_xlpm.p)=10,_xlfn.CONCAT("("&amp;LEFT(_xlpm.p,3)&amp;") "&amp;MID(_xlpm.p,4,3)&amp;"-"&amp;RIGHT(_xlpm.p,4),"")
       )
     )</f>
        <v>(209) 088-3069</v>
      </c>
      <c r="L502" t="str">
        <f>TRIM(Employee_dataset[[#This Row],[Performance_Score]])</f>
        <v>Good</v>
      </c>
      <c r="M502" t="str">
        <f>TRIM(Employee_dataset[[#This Row],[Remote_Work]])</f>
        <v>TRUE</v>
      </c>
    </row>
    <row r="503" spans="1:13" x14ac:dyDescent="0.3">
      <c r="A503" t="str">
        <f>TRIM(Employee_dataset[[#This Row],[Employee_ID]])</f>
        <v>EMP1501</v>
      </c>
      <c r="B503" t="str">
        <f>PROPER(TRIM(Employee_dataset[[#This Row],[First_Name]]))</f>
        <v>Eva</v>
      </c>
      <c r="C503" t="str">
        <f>PROPER(TRIM(Employee_dataset[[#This Row],[Last_Name]]))</f>
        <v>Jones</v>
      </c>
      <c r="D503" s="6" t="str">
        <f>_xlfn.LET(
     _xlpm.a, TRIM(Employee_dataset[[#This Row],[Age]]),
     IF(
        _xlpm.a="","",
        IF(
           AND(ISNUMBER(--_xlpm.a),LEN(_xlpm.a)=2),_xlpm.a,""
          )
       )
    )</f>
        <v>35</v>
      </c>
      <c r="E503" t="str">
        <f>TRIM(_xlfn.TEXTBEFORE(Employee_dataset[[#This Row],[Department_Region]],"-"))</f>
        <v>DevOps</v>
      </c>
      <c r="F503" t="str">
        <f>TRIM(_xlfn.TEXTAFTER(Employee_dataset[[#This Row],[Department_Region]],"-"))</f>
        <v>Texas</v>
      </c>
      <c r="G503" t="str">
        <f>TRIM(Employee_dataset[[#This Row],[Status]])</f>
        <v>Inactive</v>
      </c>
      <c r="H503" s="1">
        <f>_xlfn.LET(
     _xlpm.d, Employee_dataset[[#This Row],[Join_Date]],
     IF(
        ISNUMBER(_xlpm.d),_xlpm.d,""
       )
    )</f>
        <v>43961</v>
      </c>
      <c r="I503" s="6">
        <f>_xlfn.LET(
     _xlpm.s, TRIM(Employee_dataset[[#This Row],[Salary]]),
     IF(
        UPPER(_xlpm.s)="N/A","",
        IF(
           ISNUMBER(--_xlpm.s),ROUND(_xlfn.NUMBERVALUE(_xlpm.s),2),""
          )
       )
    )</f>
        <v>73539.86</v>
      </c>
      <c r="J503" t="str">
        <f>TRIM(Employee_dataset[[#This Row],[Email]])</f>
        <v>eva.jones@example.com</v>
      </c>
      <c r="K503" t="str">
        <f>_xlfn.LET(
     _xlpm.p,TRIM(SUBSTITUTE(Employee_dataset[[#This Row],[Phone]],"-","")),
     IF(
        LEN(_xlpm.p)=10,_xlfn.CONCAT("("&amp;LEFT(_xlpm.p,3)&amp;") "&amp;MID(_xlpm.p,4,3)&amp;"-"&amp;RIGHT(_xlpm.p,4),"")
       )
     )</f>
        <v>(534) 967-8273</v>
      </c>
      <c r="L503" t="str">
        <f>TRIM(Employee_dataset[[#This Row],[Performance_Score]])</f>
        <v>Excellent</v>
      </c>
      <c r="M503" t="str">
        <f>TRIM(Employee_dataset[[#This Row],[Remote_Work]])</f>
        <v>TRUE</v>
      </c>
    </row>
    <row r="504" spans="1:13" x14ac:dyDescent="0.3">
      <c r="A504" t="str">
        <f>TRIM(Employee_dataset[[#This Row],[Employee_ID]])</f>
        <v>EMP1502</v>
      </c>
      <c r="B504" t="str">
        <f>PROPER(TRIM(Employee_dataset[[#This Row],[First_Name]]))</f>
        <v>Frank</v>
      </c>
      <c r="C504" t="str">
        <f>PROPER(TRIM(Employee_dataset[[#This Row],[Last_Name]]))</f>
        <v>Jones</v>
      </c>
      <c r="D504" s="6" t="str">
        <f>_xlfn.LET(
     _xlpm.a, TRIM(Employee_dataset[[#This Row],[Age]]),
     IF(
        _xlpm.a="","",
        IF(
           AND(ISNUMBER(--_xlpm.a),LEN(_xlpm.a)=2),_xlpm.a,""
          )
       )
    )</f>
        <v>35</v>
      </c>
      <c r="E504" t="str">
        <f>TRIM(_xlfn.TEXTBEFORE(Employee_dataset[[#This Row],[Department_Region]],"-"))</f>
        <v>HR</v>
      </c>
      <c r="F504" t="str">
        <f>TRIM(_xlfn.TEXTAFTER(Employee_dataset[[#This Row],[Department_Region]],"-"))</f>
        <v>Nevada</v>
      </c>
      <c r="G504" t="str">
        <f>TRIM(Employee_dataset[[#This Row],[Status]])</f>
        <v>Pending</v>
      </c>
      <c r="H504" s="1">
        <f>_xlfn.LET(
     _xlpm.d, Employee_dataset[[#This Row],[Join_Date]],
     IF(
        ISNUMBER(_xlpm.d),_xlpm.d,""
       )
    )</f>
        <v>45165</v>
      </c>
      <c r="I504" s="6">
        <f>_xlfn.LET(
     _xlpm.s, TRIM(Employee_dataset[[#This Row],[Salary]]),
     IF(
        UPPER(_xlpm.s)="N/A","",
        IF(
           ISNUMBER(--_xlpm.s),ROUND(_xlfn.NUMBERVALUE(_xlpm.s),2),""
          )
       )
    )</f>
        <v>70915.38</v>
      </c>
      <c r="J504" t="str">
        <f>TRIM(Employee_dataset[[#This Row],[Email]])</f>
        <v>frank.jones@example.com</v>
      </c>
      <c r="K504" t="str">
        <f>_xlfn.LET(
     _xlpm.p,TRIM(SUBSTITUTE(Employee_dataset[[#This Row],[Phone]],"-","")),
     IF(
        LEN(_xlpm.p)=10,_xlfn.CONCAT("("&amp;LEFT(_xlpm.p,3)&amp;") "&amp;MID(_xlpm.p,4,3)&amp;"-"&amp;RIGHT(_xlpm.p,4),"")
       )
     )</f>
        <v>(117) 674-1240</v>
      </c>
      <c r="L504" t="str">
        <f>TRIM(Employee_dataset[[#This Row],[Performance_Score]])</f>
        <v>Excellent</v>
      </c>
      <c r="M504" t="str">
        <f>TRIM(Employee_dataset[[#This Row],[Remote_Work]])</f>
        <v>TRUE</v>
      </c>
    </row>
    <row r="505" spans="1:13" x14ac:dyDescent="0.3">
      <c r="A505" t="str">
        <f>TRIM(Employee_dataset[[#This Row],[Employee_ID]])</f>
        <v>EMP1503</v>
      </c>
      <c r="B505" t="str">
        <f>PROPER(TRIM(Employee_dataset[[#This Row],[First_Name]]))</f>
        <v>David</v>
      </c>
      <c r="C505" t="str">
        <f>PROPER(TRIM(Employee_dataset[[#This Row],[Last_Name]]))</f>
        <v>Garcia</v>
      </c>
      <c r="D505" s="6" t="str">
        <f>_xlfn.LET(
     _xlpm.a, TRIM(Employee_dataset[[#This Row],[Age]]),
     IF(
        _xlpm.a="","",
        IF(
           AND(ISNUMBER(--_xlpm.a),LEN(_xlpm.a)=2),_xlpm.a,""
          )
       )
    )</f>
        <v>25</v>
      </c>
      <c r="E505" t="str">
        <f>TRIM(_xlfn.TEXTBEFORE(Employee_dataset[[#This Row],[Department_Region]],"-"))</f>
        <v>Sales</v>
      </c>
      <c r="F505" t="str">
        <f>TRIM(_xlfn.TEXTAFTER(Employee_dataset[[#This Row],[Department_Region]],"-"))</f>
        <v>Florida</v>
      </c>
      <c r="G505" t="str">
        <f>TRIM(Employee_dataset[[#This Row],[Status]])</f>
        <v>Pending</v>
      </c>
      <c r="H505" s="1">
        <f>_xlfn.LET(
     _xlpm.d, Employee_dataset[[#This Row],[Join_Date]],
     IF(
        ISNUMBER(_xlpm.d),_xlpm.d,""
       )
    )</f>
        <v>44485</v>
      </c>
      <c r="I505" s="6">
        <f>_xlfn.LET(
     _xlpm.s, TRIM(Employee_dataset[[#This Row],[Salary]]),
     IF(
        UPPER(_xlpm.s)="N/A","",
        IF(
           ISNUMBER(--_xlpm.s),ROUND(_xlfn.NUMBERVALUE(_xlpm.s),2),""
          )
       )
    )</f>
        <v>97652.9</v>
      </c>
      <c r="J505" t="str">
        <f>TRIM(Employee_dataset[[#This Row],[Email]])</f>
        <v>david.garcia@example.com</v>
      </c>
      <c r="K505" t="str">
        <f>_xlfn.LET(
     _xlpm.p,TRIM(SUBSTITUTE(Employee_dataset[[#This Row],[Phone]],"-","")),
     IF(
        LEN(_xlpm.p)=10,_xlfn.CONCAT("("&amp;LEFT(_xlpm.p,3)&amp;") "&amp;MID(_xlpm.p,4,3)&amp;"-"&amp;RIGHT(_xlpm.p,4),"")
       )
     )</f>
        <v>(513) 152-8546</v>
      </c>
      <c r="L505" t="str">
        <f>TRIM(Employee_dataset[[#This Row],[Performance_Score]])</f>
        <v>Excellent</v>
      </c>
      <c r="M505" t="str">
        <f>TRIM(Employee_dataset[[#This Row],[Remote_Work]])</f>
        <v>FALSE</v>
      </c>
    </row>
    <row r="506" spans="1:13" x14ac:dyDescent="0.3">
      <c r="A506" t="str">
        <f>TRIM(Employee_dataset[[#This Row],[Employee_ID]])</f>
        <v>EMP1504</v>
      </c>
      <c r="B506" t="str">
        <f>PROPER(TRIM(Employee_dataset[[#This Row],[First_Name]]))</f>
        <v>Heidi</v>
      </c>
      <c r="C506" t="str">
        <f>PROPER(TRIM(Employee_dataset[[#This Row],[Last_Name]]))</f>
        <v>Davis</v>
      </c>
      <c r="D506" s="6" t="str">
        <f>_xlfn.LET(
     _xlpm.a, TRIM(Employee_dataset[[#This Row],[Age]]),
     IF(
        _xlpm.a="","",
        IF(
           AND(ISNUMBER(--_xlpm.a),LEN(_xlpm.a)=2),_xlpm.a,""
          )
       )
    )</f>
        <v>35</v>
      </c>
      <c r="E506" t="str">
        <f>TRIM(_xlfn.TEXTBEFORE(Employee_dataset[[#This Row],[Department_Region]],"-"))</f>
        <v>HR</v>
      </c>
      <c r="F506" t="str">
        <f>TRIM(_xlfn.TEXTAFTER(Employee_dataset[[#This Row],[Department_Region]],"-"))</f>
        <v>Florida</v>
      </c>
      <c r="G506" t="str">
        <f>TRIM(Employee_dataset[[#This Row],[Status]])</f>
        <v>Inactive</v>
      </c>
      <c r="H506" s="1">
        <f>_xlfn.LET(
     _xlpm.d, Employee_dataset[[#This Row],[Join_Date]],
     IF(
        ISNUMBER(_xlpm.d),_xlpm.d,""
       )
    )</f>
        <v>44626</v>
      </c>
      <c r="I506" s="6">
        <f>_xlfn.LET(
     _xlpm.s, TRIM(Employee_dataset[[#This Row],[Salary]]),
     IF(
        UPPER(_xlpm.s)="N/A","",
        IF(
           ISNUMBER(--_xlpm.s),ROUND(_xlfn.NUMBERVALUE(_xlpm.s),2),""
          )
       )
    )</f>
        <v>101571.25</v>
      </c>
      <c r="J506" t="str">
        <f>TRIM(Employee_dataset[[#This Row],[Email]])</f>
        <v>heidi.davis@example.com</v>
      </c>
      <c r="K506" t="str">
        <f>_xlfn.LET(
     _xlpm.p,TRIM(SUBSTITUTE(Employee_dataset[[#This Row],[Phone]],"-","")),
     IF(
        LEN(_xlpm.p)=10,_xlfn.CONCAT("("&amp;LEFT(_xlpm.p,3)&amp;") "&amp;MID(_xlpm.p,4,3)&amp;"-"&amp;RIGHT(_xlpm.p,4),"")
       )
     )</f>
        <v>(815) 061-8537</v>
      </c>
      <c r="L506" t="str">
        <f>TRIM(Employee_dataset[[#This Row],[Performance_Score]])</f>
        <v>Excellent</v>
      </c>
      <c r="M506" t="str">
        <f>TRIM(Employee_dataset[[#This Row],[Remote_Work]])</f>
        <v>FALSE</v>
      </c>
    </row>
    <row r="507" spans="1:13" x14ac:dyDescent="0.3">
      <c r="A507" t="str">
        <f>TRIM(Employee_dataset[[#This Row],[Employee_ID]])</f>
        <v>EMP1505</v>
      </c>
      <c r="B507" t="str">
        <f>PROPER(TRIM(Employee_dataset[[#This Row],[First_Name]]))</f>
        <v>David</v>
      </c>
      <c r="C507" t="str">
        <f>PROPER(TRIM(Employee_dataset[[#This Row],[Last_Name]]))</f>
        <v>Smith</v>
      </c>
      <c r="D507" s="6" t="str">
        <f>_xlfn.LET(
     _xlpm.a, TRIM(Employee_dataset[[#This Row],[Age]]),
     IF(
        _xlpm.a="","",
        IF(
           AND(ISNUMBER(--_xlpm.a),LEN(_xlpm.a)=2),_xlpm.a,""
          )
       )
    )</f>
        <v>35</v>
      </c>
      <c r="E507" t="str">
        <f>TRIM(_xlfn.TEXTBEFORE(Employee_dataset[[#This Row],[Department_Region]],"-"))</f>
        <v>DevOps</v>
      </c>
      <c r="F507" t="str">
        <f>TRIM(_xlfn.TEXTAFTER(Employee_dataset[[#This Row],[Department_Region]],"-"))</f>
        <v>Nevada</v>
      </c>
      <c r="G507" t="str">
        <f>TRIM(Employee_dataset[[#This Row],[Status]])</f>
        <v>Active</v>
      </c>
      <c r="H507" s="1">
        <f>_xlfn.LET(
     _xlpm.d, Employee_dataset[[#This Row],[Join_Date]],
     IF(
        ISNUMBER(_xlpm.d),_xlpm.d,""
       )
    )</f>
        <v>45236</v>
      </c>
      <c r="I507" s="6">
        <f>_xlfn.LET(
     _xlpm.s, TRIM(Employee_dataset[[#This Row],[Salary]]),
     IF(
        UPPER(_xlpm.s)="N/A","",
        IF(
           ISNUMBER(--_xlpm.s),ROUND(_xlfn.NUMBERVALUE(_xlpm.s),2),""
          )
       )
    )</f>
        <v>87424.46</v>
      </c>
      <c r="J507" t="str">
        <f>TRIM(Employee_dataset[[#This Row],[Email]])</f>
        <v>david.smith@example.com</v>
      </c>
      <c r="K507" t="b">
        <f>_xlfn.LET(
     _xlpm.p,TRIM(SUBSTITUTE(Employee_dataset[[#This Row],[Phone]],"-","")),
     IF(
        LEN(_xlpm.p)=10,_xlfn.CONCAT("("&amp;LEFT(_xlpm.p,3)&amp;") "&amp;MID(_xlpm.p,4,3)&amp;"-"&amp;RIGHT(_xlpm.p,4),"")
       )
     )</f>
        <v>0</v>
      </c>
      <c r="L507" t="str">
        <f>TRIM(Employee_dataset[[#This Row],[Performance_Score]])</f>
        <v>Average</v>
      </c>
      <c r="M507" t="str">
        <f>TRIM(Employee_dataset[[#This Row],[Remote_Work]])</f>
        <v>TRUE</v>
      </c>
    </row>
    <row r="508" spans="1:13" x14ac:dyDescent="0.3">
      <c r="A508" t="str">
        <f>TRIM(Employee_dataset[[#This Row],[Employee_ID]])</f>
        <v>EMP1506</v>
      </c>
      <c r="B508" t="str">
        <f>PROPER(TRIM(Employee_dataset[[#This Row],[First_Name]]))</f>
        <v>Frank</v>
      </c>
      <c r="C508" t="str">
        <f>PROPER(TRIM(Employee_dataset[[#This Row],[Last_Name]]))</f>
        <v>Garcia</v>
      </c>
      <c r="D508" s="6" t="str">
        <f>_xlfn.LET(
     _xlpm.a, TRIM(Employee_dataset[[#This Row],[Age]]),
     IF(
        _xlpm.a="","",
        IF(
           AND(ISNUMBER(--_xlpm.a),LEN(_xlpm.a)=2),_xlpm.a,""
          )
       )
    )</f>
        <v/>
      </c>
      <c r="E508" t="str">
        <f>TRIM(_xlfn.TEXTBEFORE(Employee_dataset[[#This Row],[Department_Region]],"-"))</f>
        <v>HR</v>
      </c>
      <c r="F508" t="str">
        <f>TRIM(_xlfn.TEXTAFTER(Employee_dataset[[#This Row],[Department_Region]],"-"))</f>
        <v>New York</v>
      </c>
      <c r="G508" t="str">
        <f>TRIM(Employee_dataset[[#This Row],[Status]])</f>
        <v>Pending</v>
      </c>
      <c r="H508" s="1">
        <f>_xlfn.LET(
     _xlpm.d, Employee_dataset[[#This Row],[Join_Date]],
     IF(
        ISNUMBER(_xlpm.d),_xlpm.d,""
       )
    )</f>
        <v>45626</v>
      </c>
      <c r="I508" s="6">
        <f>_xlfn.LET(
     _xlpm.s, TRIM(Employee_dataset[[#This Row],[Salary]]),
     IF(
        UPPER(_xlpm.s)="N/A","",
        IF(
           ISNUMBER(--_xlpm.s),ROUND(_xlfn.NUMBERVALUE(_xlpm.s),2),""
          )
       )
    )</f>
        <v>89077.36</v>
      </c>
      <c r="J508" t="str">
        <f>TRIM(Employee_dataset[[#This Row],[Email]])</f>
        <v>frank.garcia@example.com</v>
      </c>
      <c r="K508" t="str">
        <f>_xlfn.LET(
     _xlpm.p,TRIM(SUBSTITUTE(Employee_dataset[[#This Row],[Phone]],"-","")),
     IF(
        LEN(_xlpm.p)=10,_xlfn.CONCAT("("&amp;LEFT(_xlpm.p,3)&amp;") "&amp;MID(_xlpm.p,4,3)&amp;"-"&amp;RIGHT(_xlpm.p,4),"")
       )
     )</f>
        <v>(272) 742-3182</v>
      </c>
      <c r="L508" t="str">
        <f>TRIM(Employee_dataset[[#This Row],[Performance_Score]])</f>
        <v>Average</v>
      </c>
      <c r="M508" t="str">
        <f>TRIM(Employee_dataset[[#This Row],[Remote_Work]])</f>
        <v>FALSE</v>
      </c>
    </row>
    <row r="509" spans="1:13" x14ac:dyDescent="0.3">
      <c r="A509" t="str">
        <f>TRIM(Employee_dataset[[#This Row],[Employee_ID]])</f>
        <v>EMP1507</v>
      </c>
      <c r="B509" t="str">
        <f>PROPER(TRIM(Employee_dataset[[#This Row],[First_Name]]))</f>
        <v>Heidi</v>
      </c>
      <c r="C509" t="str">
        <f>PROPER(TRIM(Employee_dataset[[#This Row],[Last_Name]]))</f>
        <v>Williams</v>
      </c>
      <c r="D509" s="6" t="str">
        <f>_xlfn.LET(
     _xlpm.a, TRIM(Employee_dataset[[#This Row],[Age]]),
     IF(
        _xlpm.a="","",
        IF(
           AND(ISNUMBER(--_xlpm.a),LEN(_xlpm.a)=2),_xlpm.a,""
          )
       )
    )</f>
        <v>30</v>
      </c>
      <c r="E509" t="str">
        <f>TRIM(_xlfn.TEXTBEFORE(Employee_dataset[[#This Row],[Department_Region]],"-"))</f>
        <v>DevOps</v>
      </c>
      <c r="F509" t="str">
        <f>TRIM(_xlfn.TEXTAFTER(Employee_dataset[[#This Row],[Department_Region]],"-"))</f>
        <v>California</v>
      </c>
      <c r="G509" t="str">
        <f>TRIM(Employee_dataset[[#This Row],[Status]])</f>
        <v>Pending</v>
      </c>
      <c r="H509" s="1">
        <f>_xlfn.LET(
     _xlpm.d, Employee_dataset[[#This Row],[Join_Date]],
     IF(
        ISNUMBER(_xlpm.d),_xlpm.d,""
       )
    )</f>
        <v>45486</v>
      </c>
      <c r="I509" s="6">
        <f>_xlfn.LET(
     _xlpm.s, TRIM(Employee_dataset[[#This Row],[Salary]]),
     IF(
        UPPER(_xlpm.s)="N/A","",
        IF(
           ISNUMBER(--_xlpm.s),ROUND(_xlfn.NUMBERVALUE(_xlpm.s),2),""
          )
       )
    )</f>
        <v>89132.22</v>
      </c>
      <c r="J509" t="str">
        <f>TRIM(Employee_dataset[[#This Row],[Email]])</f>
        <v>heidi.williams@example.com</v>
      </c>
      <c r="K509" t="b">
        <f>_xlfn.LET(
     _xlpm.p,TRIM(SUBSTITUTE(Employee_dataset[[#This Row],[Phone]],"-","")),
     IF(
        LEN(_xlpm.p)=10,_xlfn.CONCAT("("&amp;LEFT(_xlpm.p,3)&amp;") "&amp;MID(_xlpm.p,4,3)&amp;"-"&amp;RIGHT(_xlpm.p,4),"")
       )
     )</f>
        <v>0</v>
      </c>
      <c r="L509" t="str">
        <f>TRIM(Employee_dataset[[#This Row],[Performance_Score]])</f>
        <v>Excellent</v>
      </c>
      <c r="M509" t="str">
        <f>TRIM(Employee_dataset[[#This Row],[Remote_Work]])</f>
        <v>TRUE</v>
      </c>
    </row>
    <row r="510" spans="1:13" x14ac:dyDescent="0.3">
      <c r="A510" t="str">
        <f>TRIM(Employee_dataset[[#This Row],[Employee_ID]])</f>
        <v>EMP1508</v>
      </c>
      <c r="B510" t="str">
        <f>PROPER(TRIM(Employee_dataset[[#This Row],[First_Name]]))</f>
        <v>Frank</v>
      </c>
      <c r="C510" t="str">
        <f>PROPER(TRIM(Employee_dataset[[#This Row],[Last_Name]]))</f>
        <v>Garcia</v>
      </c>
      <c r="D510" s="6" t="str">
        <f>_xlfn.LET(
     _xlpm.a, TRIM(Employee_dataset[[#This Row],[Age]]),
     IF(
        _xlpm.a="","",
        IF(
           AND(ISNUMBER(--_xlpm.a),LEN(_xlpm.a)=2),_xlpm.a,""
          )
       )
    )</f>
        <v>25</v>
      </c>
      <c r="E510" t="str">
        <f>TRIM(_xlfn.TEXTBEFORE(Employee_dataset[[#This Row],[Department_Region]],"-"))</f>
        <v>Admin</v>
      </c>
      <c r="F510" t="str">
        <f>TRIM(_xlfn.TEXTAFTER(Employee_dataset[[#This Row],[Department_Region]],"-"))</f>
        <v>California</v>
      </c>
      <c r="G510" t="str">
        <f>TRIM(Employee_dataset[[#This Row],[Status]])</f>
        <v>Active</v>
      </c>
      <c r="H510" s="1">
        <f>_xlfn.LET(
     _xlpm.d, Employee_dataset[[#This Row],[Join_Date]],
     IF(
        ISNUMBER(_xlpm.d),_xlpm.d,""
       )
    )</f>
        <v>45355</v>
      </c>
      <c r="I510" s="6">
        <f>_xlfn.LET(
     _xlpm.s, TRIM(Employee_dataset[[#This Row],[Salary]]),
     IF(
        UPPER(_xlpm.s)="N/A","",
        IF(
           ISNUMBER(--_xlpm.s),ROUND(_xlfn.NUMBERVALUE(_xlpm.s),2),""
          )
       )
    )</f>
        <v>111000.26</v>
      </c>
      <c r="J510" t="str">
        <f>TRIM(Employee_dataset[[#This Row],[Email]])</f>
        <v>frank.garcia@example.com</v>
      </c>
      <c r="K510" t="str">
        <f>_xlfn.LET(
     _xlpm.p,TRIM(SUBSTITUTE(Employee_dataset[[#This Row],[Phone]],"-","")),
     IF(
        LEN(_xlpm.p)=10,_xlfn.CONCAT("("&amp;LEFT(_xlpm.p,3)&amp;") "&amp;MID(_xlpm.p,4,3)&amp;"-"&amp;RIGHT(_xlpm.p,4),"")
       )
     )</f>
        <v>(496) 935-7823</v>
      </c>
      <c r="L510" t="str">
        <f>TRIM(Employee_dataset[[#This Row],[Performance_Score]])</f>
        <v>Good</v>
      </c>
      <c r="M510" t="str">
        <f>TRIM(Employee_dataset[[#This Row],[Remote_Work]])</f>
        <v>FALSE</v>
      </c>
    </row>
    <row r="511" spans="1:13" x14ac:dyDescent="0.3">
      <c r="A511" t="str">
        <f>TRIM(Employee_dataset[[#This Row],[Employee_ID]])</f>
        <v>EMP1509</v>
      </c>
      <c r="B511" t="str">
        <f>PROPER(TRIM(Employee_dataset[[#This Row],[First_Name]]))</f>
        <v>Frank</v>
      </c>
      <c r="C511" t="str">
        <f>PROPER(TRIM(Employee_dataset[[#This Row],[Last_Name]]))</f>
        <v>Johnson</v>
      </c>
      <c r="D511" s="6" t="str">
        <f>_xlfn.LET(
     _xlpm.a, TRIM(Employee_dataset[[#This Row],[Age]]),
     IF(
        _xlpm.a="","",
        IF(
           AND(ISNUMBER(--_xlpm.a),LEN(_xlpm.a)=2),_xlpm.a,""
          )
       )
    )</f>
        <v>35</v>
      </c>
      <c r="E511" t="str">
        <f>TRIM(_xlfn.TEXTBEFORE(Employee_dataset[[#This Row],[Department_Region]],"-"))</f>
        <v>HR</v>
      </c>
      <c r="F511" t="str">
        <f>TRIM(_xlfn.TEXTAFTER(Employee_dataset[[#This Row],[Department_Region]],"-"))</f>
        <v>Illinois</v>
      </c>
      <c r="G511" t="str">
        <f>TRIM(Employee_dataset[[#This Row],[Status]])</f>
        <v>Inactive</v>
      </c>
      <c r="H511" s="1">
        <f>_xlfn.LET(
     _xlpm.d, Employee_dataset[[#This Row],[Join_Date]],
     IF(
        ISNUMBER(_xlpm.d),_xlpm.d,""
       )
    )</f>
        <v>44780</v>
      </c>
      <c r="I511" s="6">
        <f>_xlfn.LET(
     _xlpm.s, TRIM(Employee_dataset[[#This Row],[Salary]]),
     IF(
        UPPER(_xlpm.s)="N/A","",
        IF(
           ISNUMBER(--_xlpm.s),ROUND(_xlfn.NUMBERVALUE(_xlpm.s),2),""
          )
       )
    )</f>
        <v>109584.97</v>
      </c>
      <c r="J511" t="str">
        <f>TRIM(Employee_dataset[[#This Row],[Email]])</f>
        <v>frank.johnson@example.com</v>
      </c>
      <c r="K511" t="str">
        <f>_xlfn.LET(
     _xlpm.p,TRIM(SUBSTITUTE(Employee_dataset[[#This Row],[Phone]],"-","")),
     IF(
        LEN(_xlpm.p)=10,_xlfn.CONCAT("("&amp;LEFT(_xlpm.p,3)&amp;") "&amp;MID(_xlpm.p,4,3)&amp;"-"&amp;RIGHT(_xlpm.p,4),"")
       )
     )</f>
        <v>(347) 769-5873</v>
      </c>
      <c r="L511" t="str">
        <f>TRIM(Employee_dataset[[#This Row],[Performance_Score]])</f>
        <v>Poor</v>
      </c>
      <c r="M511" t="str">
        <f>TRIM(Employee_dataset[[#This Row],[Remote_Work]])</f>
        <v>TRUE</v>
      </c>
    </row>
    <row r="512" spans="1:13" x14ac:dyDescent="0.3">
      <c r="A512" t="str">
        <f>TRIM(Employee_dataset[[#This Row],[Employee_ID]])</f>
        <v>EMP1510</v>
      </c>
      <c r="B512" t="str">
        <f>PROPER(TRIM(Employee_dataset[[#This Row],[First_Name]]))</f>
        <v>Bob</v>
      </c>
      <c r="C512" t="str">
        <f>PROPER(TRIM(Employee_dataset[[#This Row],[Last_Name]]))</f>
        <v>Smith</v>
      </c>
      <c r="D512" s="6" t="str">
        <f>_xlfn.LET(
     _xlpm.a, TRIM(Employee_dataset[[#This Row],[Age]]),
     IF(
        _xlpm.a="","",
        IF(
           AND(ISNUMBER(--_xlpm.a),LEN(_xlpm.a)=2),_xlpm.a,""
          )
       )
    )</f>
        <v>40</v>
      </c>
      <c r="E512" t="str">
        <f>TRIM(_xlfn.TEXTBEFORE(Employee_dataset[[#This Row],[Department_Region]],"-"))</f>
        <v>Admin</v>
      </c>
      <c r="F512" t="str">
        <f>TRIM(_xlfn.TEXTAFTER(Employee_dataset[[#This Row],[Department_Region]],"-"))</f>
        <v>Illinois</v>
      </c>
      <c r="G512" t="str">
        <f>TRIM(Employee_dataset[[#This Row],[Status]])</f>
        <v>Active</v>
      </c>
      <c r="H512" s="1">
        <f>_xlfn.LET(
     _xlpm.d, Employee_dataset[[#This Row],[Join_Date]],
     IF(
        ISNUMBER(_xlpm.d),_xlpm.d,""
       )
    )</f>
        <v>45607</v>
      </c>
      <c r="I512" s="6">
        <f>_xlfn.LET(
     _xlpm.s, TRIM(Employee_dataset[[#This Row],[Salary]]),
     IF(
        UPPER(_xlpm.s)="N/A","",
        IF(
           ISNUMBER(--_xlpm.s),ROUND(_xlfn.NUMBERVALUE(_xlpm.s),2),""
          )
       )
    )</f>
        <v>97648.84</v>
      </c>
      <c r="J512" t="str">
        <f>TRIM(Employee_dataset[[#This Row],[Email]])</f>
        <v>bob.smith@example.com</v>
      </c>
      <c r="K512" t="str">
        <f>_xlfn.LET(
     _xlpm.p,TRIM(SUBSTITUTE(Employee_dataset[[#This Row],[Phone]],"-","")),
     IF(
        LEN(_xlpm.p)=10,_xlfn.CONCAT("("&amp;LEFT(_xlpm.p,3)&amp;") "&amp;MID(_xlpm.p,4,3)&amp;"-"&amp;RIGHT(_xlpm.p,4),"")
       )
     )</f>
        <v>(131) 467-5360</v>
      </c>
      <c r="L512" t="str">
        <f>TRIM(Employee_dataset[[#This Row],[Performance_Score]])</f>
        <v>Good</v>
      </c>
      <c r="M512" t="str">
        <f>TRIM(Employee_dataset[[#This Row],[Remote_Work]])</f>
        <v>FALSE</v>
      </c>
    </row>
    <row r="513" spans="1:13" x14ac:dyDescent="0.3">
      <c r="A513" t="str">
        <f>TRIM(Employee_dataset[[#This Row],[Employee_ID]])</f>
        <v>EMP1511</v>
      </c>
      <c r="B513" t="str">
        <f>PROPER(TRIM(Employee_dataset[[#This Row],[First_Name]]))</f>
        <v>Grace</v>
      </c>
      <c r="C513" t="str">
        <f>PROPER(TRIM(Employee_dataset[[#This Row],[Last_Name]]))</f>
        <v>Johnson</v>
      </c>
      <c r="D513" s="6" t="str">
        <f>_xlfn.LET(
     _xlpm.a, TRIM(Employee_dataset[[#This Row],[Age]]),
     IF(
        _xlpm.a="","",
        IF(
           AND(ISNUMBER(--_xlpm.a),LEN(_xlpm.a)=2),_xlpm.a,""
          )
       )
    )</f>
        <v>25</v>
      </c>
      <c r="E513" t="str">
        <f>TRIM(_xlfn.TEXTBEFORE(Employee_dataset[[#This Row],[Department_Region]],"-"))</f>
        <v>Admin</v>
      </c>
      <c r="F513" t="str">
        <f>TRIM(_xlfn.TEXTAFTER(Employee_dataset[[#This Row],[Department_Region]],"-"))</f>
        <v>New York</v>
      </c>
      <c r="G513" t="str">
        <f>TRIM(Employee_dataset[[#This Row],[Status]])</f>
        <v>Active</v>
      </c>
      <c r="H513" s="1">
        <f>_xlfn.LET(
     _xlpm.d, Employee_dataset[[#This Row],[Join_Date]],
     IF(
        ISNUMBER(_xlpm.d),_xlpm.d,""
       )
    )</f>
        <v>44532</v>
      </c>
      <c r="I513" s="6">
        <f>_xlfn.LET(
     _xlpm.s, TRIM(Employee_dataset[[#This Row],[Salary]]),
     IF(
        UPPER(_xlpm.s)="N/A","",
        IF(
           ISNUMBER(--_xlpm.s),ROUND(_xlfn.NUMBERVALUE(_xlpm.s),2),""
          )
       )
    )</f>
        <v>78643.429999999993</v>
      </c>
      <c r="J513" t="str">
        <f>TRIM(Employee_dataset[[#This Row],[Email]])</f>
        <v>grace.johnson@example.com</v>
      </c>
      <c r="K513" t="str">
        <f>_xlfn.LET(
     _xlpm.p,TRIM(SUBSTITUTE(Employee_dataset[[#This Row],[Phone]],"-","")),
     IF(
        LEN(_xlpm.p)=10,_xlfn.CONCAT("("&amp;LEFT(_xlpm.p,3)&amp;") "&amp;MID(_xlpm.p,4,3)&amp;"-"&amp;RIGHT(_xlpm.p,4),"")
       )
     )</f>
        <v>(275) 156-2778</v>
      </c>
      <c r="L513" t="str">
        <f>TRIM(Employee_dataset[[#This Row],[Performance_Score]])</f>
        <v>Good</v>
      </c>
      <c r="M513" t="str">
        <f>TRIM(Employee_dataset[[#This Row],[Remote_Work]])</f>
        <v>TRUE</v>
      </c>
    </row>
    <row r="514" spans="1:13" x14ac:dyDescent="0.3">
      <c r="A514" t="str">
        <f>TRIM(Employee_dataset[[#This Row],[Employee_ID]])</f>
        <v>EMP1512</v>
      </c>
      <c r="B514" t="str">
        <f>PROPER(TRIM(Employee_dataset[[#This Row],[First_Name]]))</f>
        <v>Heidi</v>
      </c>
      <c r="C514" t="str">
        <f>PROPER(TRIM(Employee_dataset[[#This Row],[Last_Name]]))</f>
        <v>Davis</v>
      </c>
      <c r="D514" s="6" t="str">
        <f>_xlfn.LET(
     _xlpm.a, TRIM(Employee_dataset[[#This Row],[Age]]),
     IF(
        _xlpm.a="","",
        IF(
           AND(ISNUMBER(--_xlpm.a),LEN(_xlpm.a)=2),_xlpm.a,""
          )
       )
    )</f>
        <v>30</v>
      </c>
      <c r="E514" t="str">
        <f>TRIM(_xlfn.TEXTBEFORE(Employee_dataset[[#This Row],[Department_Region]],"-"))</f>
        <v>HR</v>
      </c>
      <c r="F514" t="str">
        <f>TRIM(_xlfn.TEXTAFTER(Employee_dataset[[#This Row],[Department_Region]],"-"))</f>
        <v>Nevada</v>
      </c>
      <c r="G514" t="str">
        <f>TRIM(Employee_dataset[[#This Row],[Status]])</f>
        <v>Active</v>
      </c>
      <c r="H514" s="1">
        <f>_xlfn.LET(
     _xlpm.d, Employee_dataset[[#This Row],[Join_Date]],
     IF(
        ISNUMBER(_xlpm.d),_xlpm.d,""
       )
    )</f>
        <v>45426</v>
      </c>
      <c r="I514" s="6">
        <f>_xlfn.LET(
     _xlpm.s, TRIM(Employee_dataset[[#This Row],[Salary]]),
     IF(
        UPPER(_xlpm.s)="N/A","",
        IF(
           ISNUMBER(--_xlpm.s),ROUND(_xlfn.NUMBERVALUE(_xlpm.s),2),""
          )
       )
    )</f>
        <v>55656.800000000003</v>
      </c>
      <c r="J514" t="str">
        <f>TRIM(Employee_dataset[[#This Row],[Email]])</f>
        <v>heidi.davis@example.com</v>
      </c>
      <c r="K514" t="str">
        <f>_xlfn.LET(
     _xlpm.p,TRIM(SUBSTITUTE(Employee_dataset[[#This Row],[Phone]],"-","")),
     IF(
        LEN(_xlpm.p)=10,_xlfn.CONCAT("("&amp;LEFT(_xlpm.p,3)&amp;") "&amp;MID(_xlpm.p,4,3)&amp;"-"&amp;RIGHT(_xlpm.p,4),"")
       )
     )</f>
        <v>(630) 448-3607</v>
      </c>
      <c r="L514" t="str">
        <f>TRIM(Employee_dataset[[#This Row],[Performance_Score]])</f>
        <v>Good</v>
      </c>
      <c r="M514" t="str">
        <f>TRIM(Employee_dataset[[#This Row],[Remote_Work]])</f>
        <v>TRUE</v>
      </c>
    </row>
    <row r="515" spans="1:13" x14ac:dyDescent="0.3">
      <c r="A515" t="str">
        <f>TRIM(Employee_dataset[[#This Row],[Employee_ID]])</f>
        <v>EMP1513</v>
      </c>
      <c r="B515" t="str">
        <f>PROPER(TRIM(Employee_dataset[[#This Row],[First_Name]]))</f>
        <v>Charlie</v>
      </c>
      <c r="C515" t="str">
        <f>PROPER(TRIM(Employee_dataset[[#This Row],[Last_Name]]))</f>
        <v>Miller</v>
      </c>
      <c r="D515" s="6" t="str">
        <f>_xlfn.LET(
     _xlpm.a, TRIM(Employee_dataset[[#This Row],[Age]]),
     IF(
        _xlpm.a="","",
        IF(
           AND(ISNUMBER(--_xlpm.a),LEN(_xlpm.a)=2),_xlpm.a,""
          )
       )
    )</f>
        <v>35</v>
      </c>
      <c r="E515" t="str">
        <f>TRIM(_xlfn.TEXTBEFORE(Employee_dataset[[#This Row],[Department_Region]],"-"))</f>
        <v>DevOps</v>
      </c>
      <c r="F515" t="str">
        <f>TRIM(_xlfn.TEXTAFTER(Employee_dataset[[#This Row],[Department_Region]],"-"))</f>
        <v>Texas</v>
      </c>
      <c r="G515" t="str">
        <f>TRIM(Employee_dataset[[#This Row],[Status]])</f>
        <v>Active</v>
      </c>
      <c r="H515" s="1">
        <f>_xlfn.LET(
     _xlpm.d, Employee_dataset[[#This Row],[Join_Date]],
     IF(
        ISNUMBER(_xlpm.d),_xlpm.d,""
       )
    )</f>
        <v>44756</v>
      </c>
      <c r="I515" s="6">
        <f>_xlfn.LET(
     _xlpm.s, TRIM(Employee_dataset[[#This Row],[Salary]]),
     IF(
        UPPER(_xlpm.s)="N/A","",
        IF(
           ISNUMBER(--_xlpm.s),ROUND(_xlfn.NUMBERVALUE(_xlpm.s),2),""
          )
       )
    )</f>
        <v>69146.95</v>
      </c>
      <c r="J515" t="str">
        <f>TRIM(Employee_dataset[[#This Row],[Email]])</f>
        <v>charlie.miller@example.com</v>
      </c>
      <c r="K515" t="str">
        <f>_xlfn.LET(
     _xlpm.p,TRIM(SUBSTITUTE(Employee_dataset[[#This Row],[Phone]],"-","")),
     IF(
        LEN(_xlpm.p)=10,_xlfn.CONCAT("("&amp;LEFT(_xlpm.p,3)&amp;") "&amp;MID(_xlpm.p,4,3)&amp;"-"&amp;RIGHT(_xlpm.p,4),"")
       )
     )</f>
        <v>(545) 667-6639</v>
      </c>
      <c r="L515" t="str">
        <f>TRIM(Employee_dataset[[#This Row],[Performance_Score]])</f>
        <v>Excellent</v>
      </c>
      <c r="M515" t="str">
        <f>TRIM(Employee_dataset[[#This Row],[Remote_Work]])</f>
        <v>FALSE</v>
      </c>
    </row>
    <row r="516" spans="1:13" x14ac:dyDescent="0.3">
      <c r="A516" t="str">
        <f>TRIM(Employee_dataset[[#This Row],[Employee_ID]])</f>
        <v>EMP1514</v>
      </c>
      <c r="B516" t="str">
        <f>PROPER(TRIM(Employee_dataset[[#This Row],[First_Name]]))</f>
        <v>Charlie</v>
      </c>
      <c r="C516" t="str">
        <f>PROPER(TRIM(Employee_dataset[[#This Row],[Last_Name]]))</f>
        <v>Johnson</v>
      </c>
      <c r="D516" s="6" t="str">
        <f>_xlfn.LET(
     _xlpm.a, TRIM(Employee_dataset[[#This Row],[Age]]),
     IF(
        _xlpm.a="","",
        IF(
           AND(ISNUMBER(--_xlpm.a),LEN(_xlpm.a)=2),_xlpm.a,""
          )
       )
    )</f>
        <v/>
      </c>
      <c r="E516" t="str">
        <f>TRIM(_xlfn.TEXTBEFORE(Employee_dataset[[#This Row],[Department_Region]],"-"))</f>
        <v>Admin</v>
      </c>
      <c r="F516" t="str">
        <f>TRIM(_xlfn.TEXTAFTER(Employee_dataset[[#This Row],[Department_Region]],"-"))</f>
        <v>Florida</v>
      </c>
      <c r="G516" t="str">
        <f>TRIM(Employee_dataset[[#This Row],[Status]])</f>
        <v>Active</v>
      </c>
      <c r="H516" s="1">
        <f>_xlfn.LET(
     _xlpm.d, Employee_dataset[[#This Row],[Join_Date]],
     IF(
        ISNUMBER(_xlpm.d),_xlpm.d,""
       )
    )</f>
        <v>44096</v>
      </c>
      <c r="I516" s="6">
        <f>_xlfn.LET(
     _xlpm.s, TRIM(Employee_dataset[[#This Row],[Salary]]),
     IF(
        UPPER(_xlpm.s)="N/A","",
        IF(
           ISNUMBER(--_xlpm.s),ROUND(_xlfn.NUMBERVALUE(_xlpm.s),2),""
          )
       )
    )</f>
        <v>93013.58</v>
      </c>
      <c r="J516" t="str">
        <f>TRIM(Employee_dataset[[#This Row],[Email]])</f>
        <v>charlie.johnson@example.com</v>
      </c>
      <c r="K516" t="str">
        <f>_xlfn.LET(
     _xlpm.p,TRIM(SUBSTITUTE(Employee_dataset[[#This Row],[Phone]],"-","")),
     IF(
        LEN(_xlpm.p)=10,_xlfn.CONCAT("("&amp;LEFT(_xlpm.p,3)&amp;") "&amp;MID(_xlpm.p,4,3)&amp;"-"&amp;RIGHT(_xlpm.p,4),"")
       )
     )</f>
        <v>(473) 504-7638</v>
      </c>
      <c r="L516" t="str">
        <f>TRIM(Employee_dataset[[#This Row],[Performance_Score]])</f>
        <v>Average</v>
      </c>
      <c r="M516" t="str">
        <f>TRIM(Employee_dataset[[#This Row],[Remote_Work]])</f>
        <v>TRUE</v>
      </c>
    </row>
    <row r="517" spans="1:13" x14ac:dyDescent="0.3">
      <c r="A517" t="str">
        <f>TRIM(Employee_dataset[[#This Row],[Employee_ID]])</f>
        <v>EMP1515</v>
      </c>
      <c r="B517" t="str">
        <f>PROPER(TRIM(Employee_dataset[[#This Row],[First_Name]]))</f>
        <v>Grace</v>
      </c>
      <c r="C517" t="str">
        <f>PROPER(TRIM(Employee_dataset[[#This Row],[Last_Name]]))</f>
        <v>Williams</v>
      </c>
      <c r="D517" s="6" t="str">
        <f>_xlfn.LET(
     _xlpm.a, TRIM(Employee_dataset[[#This Row],[Age]]),
     IF(
        _xlpm.a="","",
        IF(
           AND(ISNUMBER(--_xlpm.a),LEN(_xlpm.a)=2),_xlpm.a,""
          )
       )
    )</f>
        <v>40</v>
      </c>
      <c r="E517" t="str">
        <f>TRIM(_xlfn.TEXTBEFORE(Employee_dataset[[#This Row],[Department_Region]],"-"))</f>
        <v>Finance</v>
      </c>
      <c r="F517" t="str">
        <f>TRIM(_xlfn.TEXTAFTER(Employee_dataset[[#This Row],[Department_Region]],"-"))</f>
        <v>Florida</v>
      </c>
      <c r="G517" t="str">
        <f>TRIM(Employee_dataset[[#This Row],[Status]])</f>
        <v>Active</v>
      </c>
      <c r="H517" s="1">
        <f>_xlfn.LET(
     _xlpm.d, Employee_dataset[[#This Row],[Join_Date]],
     IF(
        ISNUMBER(_xlpm.d),_xlpm.d,""
       )
    )</f>
        <v>43908</v>
      </c>
      <c r="I517" s="6">
        <f>_xlfn.LET(
     _xlpm.s, TRIM(Employee_dataset[[#This Row],[Salary]]),
     IF(
        UPPER(_xlpm.s)="N/A","",
        IF(
           ISNUMBER(--_xlpm.s),ROUND(_xlfn.NUMBERVALUE(_xlpm.s),2),""
          )
       )
    )</f>
        <v>87364.78</v>
      </c>
      <c r="J517" t="str">
        <f>TRIM(Employee_dataset[[#This Row],[Email]])</f>
        <v>grace.williams@example.com</v>
      </c>
      <c r="K517" t="str">
        <f>_xlfn.LET(
     _xlpm.p,TRIM(SUBSTITUTE(Employee_dataset[[#This Row],[Phone]],"-","")),
     IF(
        LEN(_xlpm.p)=10,_xlfn.CONCAT("("&amp;LEFT(_xlpm.p,3)&amp;") "&amp;MID(_xlpm.p,4,3)&amp;"-"&amp;RIGHT(_xlpm.p,4),"")
       )
     )</f>
        <v>(283) 199-5297</v>
      </c>
      <c r="L517" t="str">
        <f>TRIM(Employee_dataset[[#This Row],[Performance_Score]])</f>
        <v>Good</v>
      </c>
      <c r="M517" t="str">
        <f>TRIM(Employee_dataset[[#This Row],[Remote_Work]])</f>
        <v>FALSE</v>
      </c>
    </row>
    <row r="518" spans="1:13" x14ac:dyDescent="0.3">
      <c r="A518" t="str">
        <f>TRIM(Employee_dataset[[#This Row],[Employee_ID]])</f>
        <v>EMP1516</v>
      </c>
      <c r="B518" t="str">
        <f>PROPER(TRIM(Employee_dataset[[#This Row],[First_Name]]))</f>
        <v>Alice</v>
      </c>
      <c r="C518" t="str">
        <f>PROPER(TRIM(Employee_dataset[[#This Row],[Last_Name]]))</f>
        <v>Garcia</v>
      </c>
      <c r="D518" s="6" t="str">
        <f>_xlfn.LET(
     _xlpm.a, TRIM(Employee_dataset[[#This Row],[Age]]),
     IF(
        _xlpm.a="","",
        IF(
           AND(ISNUMBER(--_xlpm.a),LEN(_xlpm.a)=2),_xlpm.a,""
          )
       )
    )</f>
        <v>35</v>
      </c>
      <c r="E518" t="str">
        <f>TRIM(_xlfn.TEXTBEFORE(Employee_dataset[[#This Row],[Department_Region]],"-"))</f>
        <v>Sales</v>
      </c>
      <c r="F518" t="str">
        <f>TRIM(_xlfn.TEXTAFTER(Employee_dataset[[#This Row],[Department_Region]],"-"))</f>
        <v>New York</v>
      </c>
      <c r="G518" t="str">
        <f>TRIM(Employee_dataset[[#This Row],[Status]])</f>
        <v>Active</v>
      </c>
      <c r="H518" s="1">
        <f>_xlfn.LET(
     _xlpm.d, Employee_dataset[[#This Row],[Join_Date]],
     IF(
        ISNUMBER(_xlpm.d),_xlpm.d,""
       )
    )</f>
        <v>45216</v>
      </c>
      <c r="I518" s="6">
        <f>_xlfn.LET(
     _xlpm.s, TRIM(Employee_dataset[[#This Row],[Salary]]),
     IF(
        UPPER(_xlpm.s)="N/A","",
        IF(
           ISNUMBER(--_xlpm.s),ROUND(_xlfn.NUMBERVALUE(_xlpm.s),2),""
          )
       )
    )</f>
        <v>50288.67</v>
      </c>
      <c r="J518" t="str">
        <f>TRIM(Employee_dataset[[#This Row],[Email]])</f>
        <v>alice.garcia@example.com</v>
      </c>
      <c r="K518" t="b">
        <f>_xlfn.LET(
     _xlpm.p,TRIM(SUBSTITUTE(Employee_dataset[[#This Row],[Phone]],"-","")),
     IF(
        LEN(_xlpm.p)=10,_xlfn.CONCAT("("&amp;LEFT(_xlpm.p,3)&amp;") "&amp;MID(_xlpm.p,4,3)&amp;"-"&amp;RIGHT(_xlpm.p,4),"")
       )
     )</f>
        <v>0</v>
      </c>
      <c r="L518" t="str">
        <f>TRIM(Employee_dataset[[#This Row],[Performance_Score]])</f>
        <v>Excellent</v>
      </c>
      <c r="M518" t="str">
        <f>TRIM(Employee_dataset[[#This Row],[Remote_Work]])</f>
        <v>FALSE</v>
      </c>
    </row>
    <row r="519" spans="1:13" x14ac:dyDescent="0.3">
      <c r="A519" t="str">
        <f>TRIM(Employee_dataset[[#This Row],[Employee_ID]])</f>
        <v>EMP1517</v>
      </c>
      <c r="B519" t="str">
        <f>PROPER(TRIM(Employee_dataset[[#This Row],[First_Name]]))</f>
        <v>David</v>
      </c>
      <c r="C519" t="str">
        <f>PROPER(TRIM(Employee_dataset[[#This Row],[Last_Name]]))</f>
        <v>Miller</v>
      </c>
      <c r="D519" s="6" t="str">
        <f>_xlfn.LET(
     _xlpm.a, TRIM(Employee_dataset[[#This Row],[Age]]),
     IF(
        _xlpm.a="","",
        IF(
           AND(ISNUMBER(--_xlpm.a),LEN(_xlpm.a)=2),_xlpm.a,""
          )
       )
    )</f>
        <v>35</v>
      </c>
      <c r="E519" t="str">
        <f>TRIM(_xlfn.TEXTBEFORE(Employee_dataset[[#This Row],[Department_Region]],"-"))</f>
        <v>HR</v>
      </c>
      <c r="F519" t="str">
        <f>TRIM(_xlfn.TEXTAFTER(Employee_dataset[[#This Row],[Department_Region]],"-"))</f>
        <v>New York</v>
      </c>
      <c r="G519" t="str">
        <f>TRIM(Employee_dataset[[#This Row],[Status]])</f>
        <v>Active</v>
      </c>
      <c r="H519" s="1">
        <f>_xlfn.LET(
     _xlpm.d, Employee_dataset[[#This Row],[Join_Date]],
     IF(
        ISNUMBER(_xlpm.d),_xlpm.d,""
       )
    )</f>
        <v>44616</v>
      </c>
      <c r="I519" s="6">
        <f>_xlfn.LET(
     _xlpm.s, TRIM(Employee_dataset[[#This Row],[Salary]]),
     IF(
        UPPER(_xlpm.s)="N/A","",
        IF(
           ISNUMBER(--_xlpm.s),ROUND(_xlfn.NUMBERVALUE(_xlpm.s),2),""
          )
       )
    )</f>
        <v>85233.55</v>
      </c>
      <c r="J519" t="str">
        <f>TRIM(Employee_dataset[[#This Row],[Email]])</f>
        <v>david.miller@example.com</v>
      </c>
      <c r="K519" t="str">
        <f>_xlfn.LET(
     _xlpm.p,TRIM(SUBSTITUTE(Employee_dataset[[#This Row],[Phone]],"-","")),
     IF(
        LEN(_xlpm.p)=10,_xlfn.CONCAT("("&amp;LEFT(_xlpm.p,3)&amp;") "&amp;MID(_xlpm.p,4,3)&amp;"-"&amp;RIGHT(_xlpm.p,4),"")
       )
     )</f>
        <v>(358) 328-6341</v>
      </c>
      <c r="L519" t="str">
        <f>TRIM(Employee_dataset[[#This Row],[Performance_Score]])</f>
        <v>Good</v>
      </c>
      <c r="M519" t="str">
        <f>TRIM(Employee_dataset[[#This Row],[Remote_Work]])</f>
        <v>TRUE</v>
      </c>
    </row>
    <row r="520" spans="1:13" x14ac:dyDescent="0.3">
      <c r="A520" t="str">
        <f>TRIM(Employee_dataset[[#This Row],[Employee_ID]])</f>
        <v>EMP1518</v>
      </c>
      <c r="B520" t="str">
        <f>PROPER(TRIM(Employee_dataset[[#This Row],[First_Name]]))</f>
        <v>Bob</v>
      </c>
      <c r="C520" t="str">
        <f>PROPER(TRIM(Employee_dataset[[#This Row],[Last_Name]]))</f>
        <v>Garcia</v>
      </c>
      <c r="D520" s="6" t="str">
        <f>_xlfn.LET(
     _xlpm.a, TRIM(Employee_dataset[[#This Row],[Age]]),
     IF(
        _xlpm.a="","",
        IF(
           AND(ISNUMBER(--_xlpm.a),LEN(_xlpm.a)=2),_xlpm.a,""
          )
       )
    )</f>
        <v>25</v>
      </c>
      <c r="E520" t="str">
        <f>TRIM(_xlfn.TEXTBEFORE(Employee_dataset[[#This Row],[Department_Region]],"-"))</f>
        <v>HR</v>
      </c>
      <c r="F520" t="str">
        <f>TRIM(_xlfn.TEXTAFTER(Employee_dataset[[#This Row],[Department_Region]],"-"))</f>
        <v>California</v>
      </c>
      <c r="G520" t="str">
        <f>TRIM(Employee_dataset[[#This Row],[Status]])</f>
        <v>Inactive</v>
      </c>
      <c r="H520" s="1">
        <f>_xlfn.LET(
     _xlpm.d, Employee_dataset[[#This Row],[Join_Date]],
     IF(
        ISNUMBER(_xlpm.d),_xlpm.d,""
       )
    )</f>
        <v>45321</v>
      </c>
      <c r="I520" s="6">
        <f>_xlfn.LET(
     _xlpm.s, TRIM(Employee_dataset[[#This Row],[Salary]]),
     IF(
        UPPER(_xlpm.s)="N/A","",
        IF(
           ISNUMBER(--_xlpm.s),ROUND(_xlfn.NUMBERVALUE(_xlpm.s),2),""
          )
       )
    )</f>
        <v>86420.19</v>
      </c>
      <c r="J520" t="str">
        <f>TRIM(Employee_dataset[[#This Row],[Email]])</f>
        <v>bob.garcia@example.com</v>
      </c>
      <c r="K520" t="str">
        <f>_xlfn.LET(
     _xlpm.p,TRIM(SUBSTITUTE(Employee_dataset[[#This Row],[Phone]],"-","")),
     IF(
        LEN(_xlpm.p)=10,_xlfn.CONCAT("("&amp;LEFT(_xlpm.p,3)&amp;") "&amp;MID(_xlpm.p,4,3)&amp;"-"&amp;RIGHT(_xlpm.p,4),"")
       )
     )</f>
        <v>(556) 383-0007</v>
      </c>
      <c r="L520" t="str">
        <f>TRIM(Employee_dataset[[#This Row],[Performance_Score]])</f>
        <v>Good</v>
      </c>
      <c r="M520" t="str">
        <f>TRIM(Employee_dataset[[#This Row],[Remote_Work]])</f>
        <v>FALSE</v>
      </c>
    </row>
    <row r="521" spans="1:13" x14ac:dyDescent="0.3">
      <c r="A521" t="str">
        <f>TRIM(Employee_dataset[[#This Row],[Employee_ID]])</f>
        <v>EMP1519</v>
      </c>
      <c r="B521" t="str">
        <f>PROPER(TRIM(Employee_dataset[[#This Row],[First_Name]]))</f>
        <v>Grace</v>
      </c>
      <c r="C521" t="str">
        <f>PROPER(TRIM(Employee_dataset[[#This Row],[Last_Name]]))</f>
        <v>Johnson</v>
      </c>
      <c r="D521" s="6" t="str">
        <f>_xlfn.LET(
     _xlpm.a, TRIM(Employee_dataset[[#This Row],[Age]]),
     IF(
        _xlpm.a="","",
        IF(
           AND(ISNUMBER(--_xlpm.a),LEN(_xlpm.a)=2),_xlpm.a,""
          )
       )
    )</f>
        <v>30</v>
      </c>
      <c r="E521" t="str">
        <f>TRIM(_xlfn.TEXTBEFORE(Employee_dataset[[#This Row],[Department_Region]],"-"))</f>
        <v>HR</v>
      </c>
      <c r="F521" t="str">
        <f>TRIM(_xlfn.TEXTAFTER(Employee_dataset[[#This Row],[Department_Region]],"-"))</f>
        <v>Florida</v>
      </c>
      <c r="G521" t="str">
        <f>TRIM(Employee_dataset[[#This Row],[Status]])</f>
        <v>Inactive</v>
      </c>
      <c r="H521" s="1">
        <f>_xlfn.LET(
     _xlpm.d, Employee_dataset[[#This Row],[Join_Date]],
     IF(
        ISNUMBER(_xlpm.d),_xlpm.d,""
       )
    )</f>
        <v>45367</v>
      </c>
      <c r="I521" s="6">
        <f>_xlfn.LET(
     _xlpm.s, TRIM(Employee_dataset[[#This Row],[Salary]]),
     IF(
        UPPER(_xlpm.s)="N/A","",
        IF(
           ISNUMBER(--_xlpm.s),ROUND(_xlfn.NUMBERVALUE(_xlpm.s),2),""
          )
       )
    )</f>
        <v>63189.82</v>
      </c>
      <c r="J521" t="str">
        <f>TRIM(Employee_dataset[[#This Row],[Email]])</f>
        <v>grace.johnson@example.com</v>
      </c>
      <c r="K521" t="str">
        <f>_xlfn.LET(
     _xlpm.p,TRIM(SUBSTITUTE(Employee_dataset[[#This Row],[Phone]],"-","")),
     IF(
        LEN(_xlpm.p)=10,_xlfn.CONCAT("("&amp;LEFT(_xlpm.p,3)&amp;") "&amp;MID(_xlpm.p,4,3)&amp;"-"&amp;RIGHT(_xlpm.p,4),"")
       )
     )</f>
        <v>(186) 702-4402</v>
      </c>
      <c r="L521" t="str">
        <f>TRIM(Employee_dataset[[#This Row],[Performance_Score]])</f>
        <v>Excellent</v>
      </c>
      <c r="M521" t="str">
        <f>TRIM(Employee_dataset[[#This Row],[Remote_Work]])</f>
        <v>FALSE</v>
      </c>
    </row>
    <row r="522" spans="1:13" x14ac:dyDescent="0.3">
      <c r="A522" t="str">
        <f>TRIM(Employee_dataset[[#This Row],[Employee_ID]])</f>
        <v>EMP1520</v>
      </c>
      <c r="B522" t="str">
        <f>PROPER(TRIM(Employee_dataset[[#This Row],[First_Name]]))</f>
        <v>Grace</v>
      </c>
      <c r="C522" t="str">
        <f>PROPER(TRIM(Employee_dataset[[#This Row],[Last_Name]]))</f>
        <v>Garcia</v>
      </c>
      <c r="D522" s="6" t="str">
        <f>_xlfn.LET(
     _xlpm.a, TRIM(Employee_dataset[[#This Row],[Age]]),
     IF(
        _xlpm.a="","",
        IF(
           AND(ISNUMBER(--_xlpm.a),LEN(_xlpm.a)=2),_xlpm.a,""
          )
       )
    )</f>
        <v>25</v>
      </c>
      <c r="E522" t="str">
        <f>TRIM(_xlfn.TEXTBEFORE(Employee_dataset[[#This Row],[Department_Region]],"-"))</f>
        <v>Admin</v>
      </c>
      <c r="F522" t="str">
        <f>TRIM(_xlfn.TEXTAFTER(Employee_dataset[[#This Row],[Department_Region]],"-"))</f>
        <v>New York</v>
      </c>
      <c r="G522" t="str">
        <f>TRIM(Employee_dataset[[#This Row],[Status]])</f>
        <v>Pending</v>
      </c>
      <c r="H522" s="1">
        <f>_xlfn.LET(
     _xlpm.d, Employee_dataset[[#This Row],[Join_Date]],
     IF(
        ISNUMBER(_xlpm.d),_xlpm.d,""
       )
    )</f>
        <v>44099</v>
      </c>
      <c r="I522" s="6">
        <f>_xlfn.LET(
     _xlpm.s, TRIM(Employee_dataset[[#This Row],[Salary]]),
     IF(
        UPPER(_xlpm.s)="N/A","",
        IF(
           ISNUMBER(--_xlpm.s),ROUND(_xlfn.NUMBERVALUE(_xlpm.s),2),""
          )
       )
    )</f>
        <v>64783.32</v>
      </c>
      <c r="J522" t="str">
        <f>TRIM(Employee_dataset[[#This Row],[Email]])</f>
        <v>grace.garcia@example.com</v>
      </c>
      <c r="K522" t="str">
        <f>_xlfn.LET(
     _xlpm.p,TRIM(SUBSTITUTE(Employee_dataset[[#This Row],[Phone]],"-","")),
     IF(
        LEN(_xlpm.p)=10,_xlfn.CONCAT("("&amp;LEFT(_xlpm.p,3)&amp;") "&amp;MID(_xlpm.p,4,3)&amp;"-"&amp;RIGHT(_xlpm.p,4),"")
       )
     )</f>
        <v>(304) 166-2410</v>
      </c>
      <c r="L522" t="str">
        <f>TRIM(Employee_dataset[[#This Row],[Performance_Score]])</f>
        <v>Average</v>
      </c>
      <c r="M522" t="str">
        <f>TRIM(Employee_dataset[[#This Row],[Remote_Work]])</f>
        <v>FALSE</v>
      </c>
    </row>
    <row r="523" spans="1:13" x14ac:dyDescent="0.3">
      <c r="A523" t="str">
        <f>TRIM(Employee_dataset[[#This Row],[Employee_ID]])</f>
        <v>EMP1521</v>
      </c>
      <c r="B523" t="str">
        <f>PROPER(TRIM(Employee_dataset[[#This Row],[First_Name]]))</f>
        <v>Charlie</v>
      </c>
      <c r="C523" t="str">
        <f>PROPER(TRIM(Employee_dataset[[#This Row],[Last_Name]]))</f>
        <v>Davis</v>
      </c>
      <c r="D523" s="6" t="str">
        <f>_xlfn.LET(
     _xlpm.a, TRIM(Employee_dataset[[#This Row],[Age]]),
     IF(
        _xlpm.a="","",
        IF(
           AND(ISNUMBER(--_xlpm.a),LEN(_xlpm.a)=2),_xlpm.a,""
          )
       )
    )</f>
        <v>25</v>
      </c>
      <c r="E523" t="str">
        <f>TRIM(_xlfn.TEXTBEFORE(Employee_dataset[[#This Row],[Department_Region]],"-"))</f>
        <v>HR</v>
      </c>
      <c r="F523" t="str">
        <f>TRIM(_xlfn.TEXTAFTER(Employee_dataset[[#This Row],[Department_Region]],"-"))</f>
        <v>Nevada</v>
      </c>
      <c r="G523" t="str">
        <f>TRIM(Employee_dataset[[#This Row],[Status]])</f>
        <v>Pending</v>
      </c>
      <c r="H523" s="1">
        <f>_xlfn.LET(
     _xlpm.d, Employee_dataset[[#This Row],[Join_Date]],
     IF(
        ISNUMBER(_xlpm.d),_xlpm.d,""
       )
    )</f>
        <v>45453</v>
      </c>
      <c r="I523" s="6">
        <f>_xlfn.LET(
     _xlpm.s, TRIM(Employee_dataset[[#This Row],[Salary]]),
     IF(
        UPPER(_xlpm.s)="N/A","",
        IF(
           ISNUMBER(--_xlpm.s),ROUND(_xlfn.NUMBERVALUE(_xlpm.s),2),""
          )
       )
    )</f>
        <v>52615.44</v>
      </c>
      <c r="J523" t="str">
        <f>TRIM(Employee_dataset[[#This Row],[Email]])</f>
        <v>charlie.davis@example.com</v>
      </c>
      <c r="K523" t="str">
        <f>_xlfn.LET(
     _xlpm.p,TRIM(SUBSTITUTE(Employee_dataset[[#This Row],[Phone]],"-","")),
     IF(
        LEN(_xlpm.p)=10,_xlfn.CONCAT("("&amp;LEFT(_xlpm.p,3)&amp;") "&amp;MID(_xlpm.p,4,3)&amp;"-"&amp;RIGHT(_xlpm.p,4),"")
       )
     )</f>
        <v>(186) 008-9218</v>
      </c>
      <c r="L523" t="str">
        <f>TRIM(Employee_dataset[[#This Row],[Performance_Score]])</f>
        <v>Average</v>
      </c>
      <c r="M523" t="str">
        <f>TRIM(Employee_dataset[[#This Row],[Remote_Work]])</f>
        <v>FALSE</v>
      </c>
    </row>
    <row r="524" spans="1:13" x14ac:dyDescent="0.3">
      <c r="A524" t="str">
        <f>TRIM(Employee_dataset[[#This Row],[Employee_ID]])</f>
        <v>EMP1522</v>
      </c>
      <c r="B524" t="str">
        <f>PROPER(TRIM(Employee_dataset[[#This Row],[First_Name]]))</f>
        <v>Eva</v>
      </c>
      <c r="C524" t="str">
        <f>PROPER(TRIM(Employee_dataset[[#This Row],[Last_Name]]))</f>
        <v>Miller</v>
      </c>
      <c r="D524" s="6" t="str">
        <f>_xlfn.LET(
     _xlpm.a, TRIM(Employee_dataset[[#This Row],[Age]]),
     IF(
        _xlpm.a="","",
        IF(
           AND(ISNUMBER(--_xlpm.a),LEN(_xlpm.a)=2),_xlpm.a,""
          )
       )
    )</f>
        <v/>
      </c>
      <c r="E524" t="str">
        <f>TRIM(_xlfn.TEXTBEFORE(Employee_dataset[[#This Row],[Department_Region]],"-"))</f>
        <v>Sales</v>
      </c>
      <c r="F524" t="str">
        <f>TRIM(_xlfn.TEXTAFTER(Employee_dataset[[#This Row],[Department_Region]],"-"))</f>
        <v>Texas</v>
      </c>
      <c r="G524" t="str">
        <f>TRIM(Employee_dataset[[#This Row],[Status]])</f>
        <v>Pending</v>
      </c>
      <c r="H524" s="1">
        <f>_xlfn.LET(
     _xlpm.d, Employee_dataset[[#This Row],[Join_Date]],
     IF(
        ISNUMBER(_xlpm.d),_xlpm.d,""
       )
    )</f>
        <v>43929</v>
      </c>
      <c r="I524" s="6">
        <f>_xlfn.LET(
     _xlpm.s, TRIM(Employee_dataset[[#This Row],[Salary]]),
     IF(
        UPPER(_xlpm.s)="N/A","",
        IF(
           ISNUMBER(--_xlpm.s),ROUND(_xlfn.NUMBERVALUE(_xlpm.s),2),""
          )
       )
    )</f>
        <v>96337.89</v>
      </c>
      <c r="J524" t="str">
        <f>TRIM(Employee_dataset[[#This Row],[Email]])</f>
        <v>eva.miller@example.com</v>
      </c>
      <c r="K524" t="str">
        <f>_xlfn.LET(
     _xlpm.p,TRIM(SUBSTITUTE(Employee_dataset[[#This Row],[Phone]],"-","")),
     IF(
        LEN(_xlpm.p)=10,_xlfn.CONCAT("("&amp;LEFT(_xlpm.p,3)&amp;") "&amp;MID(_xlpm.p,4,3)&amp;"-"&amp;RIGHT(_xlpm.p,4),"")
       )
     )</f>
        <v>(639) 456-8043</v>
      </c>
      <c r="L524" t="str">
        <f>TRIM(Employee_dataset[[#This Row],[Performance_Score]])</f>
        <v>Poor</v>
      </c>
      <c r="M524" t="str">
        <f>TRIM(Employee_dataset[[#This Row],[Remote_Work]])</f>
        <v>FALSE</v>
      </c>
    </row>
    <row r="525" spans="1:13" x14ac:dyDescent="0.3">
      <c r="A525" t="str">
        <f>TRIM(Employee_dataset[[#This Row],[Employee_ID]])</f>
        <v>EMP1523</v>
      </c>
      <c r="B525" t="str">
        <f>PROPER(TRIM(Employee_dataset[[#This Row],[First_Name]]))</f>
        <v>Alice</v>
      </c>
      <c r="C525" t="str">
        <f>PROPER(TRIM(Employee_dataset[[#This Row],[Last_Name]]))</f>
        <v>Davis</v>
      </c>
      <c r="D525" s="6" t="str">
        <f>_xlfn.LET(
     _xlpm.a, TRIM(Employee_dataset[[#This Row],[Age]]),
     IF(
        _xlpm.a="","",
        IF(
           AND(ISNUMBER(--_xlpm.a),LEN(_xlpm.a)=2),_xlpm.a,""
          )
       )
    )</f>
        <v>25</v>
      </c>
      <c r="E525" t="str">
        <f>TRIM(_xlfn.TEXTBEFORE(Employee_dataset[[#This Row],[Department_Region]],"-"))</f>
        <v>DevOps</v>
      </c>
      <c r="F525" t="str">
        <f>TRIM(_xlfn.TEXTAFTER(Employee_dataset[[#This Row],[Department_Region]],"-"))</f>
        <v>Texas</v>
      </c>
      <c r="G525" t="str">
        <f>TRIM(Employee_dataset[[#This Row],[Status]])</f>
        <v>Inactive</v>
      </c>
      <c r="H525" s="1">
        <f>_xlfn.LET(
     _xlpm.d, Employee_dataset[[#This Row],[Join_Date]],
     IF(
        ISNUMBER(_xlpm.d),_xlpm.d,""
       )
    )</f>
        <v>44740</v>
      </c>
      <c r="I525" s="6">
        <f>_xlfn.LET(
     _xlpm.s, TRIM(Employee_dataset[[#This Row],[Salary]]),
     IF(
        UPPER(_xlpm.s)="N/A","",
        IF(
           ISNUMBER(--_xlpm.s),ROUND(_xlfn.NUMBERVALUE(_xlpm.s),2),""
          )
       )
    )</f>
        <v>76617.759999999995</v>
      </c>
      <c r="J525" t="str">
        <f>TRIM(Employee_dataset[[#This Row],[Email]])</f>
        <v>alice.davis@example.com</v>
      </c>
      <c r="K525" t="str">
        <f>_xlfn.LET(
     _xlpm.p,TRIM(SUBSTITUTE(Employee_dataset[[#This Row],[Phone]],"-","")),
     IF(
        LEN(_xlpm.p)=10,_xlfn.CONCAT("("&amp;LEFT(_xlpm.p,3)&amp;") "&amp;MID(_xlpm.p,4,3)&amp;"-"&amp;RIGHT(_xlpm.p,4),"")
       )
     )</f>
        <v>(731) 497-6460</v>
      </c>
      <c r="L525" t="str">
        <f>TRIM(Employee_dataset[[#This Row],[Performance_Score]])</f>
        <v>Excellent</v>
      </c>
      <c r="M525" t="str">
        <f>TRIM(Employee_dataset[[#This Row],[Remote_Work]])</f>
        <v>TRUE</v>
      </c>
    </row>
    <row r="526" spans="1:13" x14ac:dyDescent="0.3">
      <c r="A526" t="str">
        <f>TRIM(Employee_dataset[[#This Row],[Employee_ID]])</f>
        <v>EMP1524</v>
      </c>
      <c r="B526" t="str">
        <f>PROPER(TRIM(Employee_dataset[[#This Row],[First_Name]]))</f>
        <v>Heidi</v>
      </c>
      <c r="C526" t="str">
        <f>PROPER(TRIM(Employee_dataset[[#This Row],[Last_Name]]))</f>
        <v>Johnson</v>
      </c>
      <c r="D526" s="6" t="str">
        <f>_xlfn.LET(
     _xlpm.a, TRIM(Employee_dataset[[#This Row],[Age]]),
     IF(
        _xlpm.a="","",
        IF(
           AND(ISNUMBER(--_xlpm.a),LEN(_xlpm.a)=2),_xlpm.a,""
          )
       )
    )</f>
        <v>30</v>
      </c>
      <c r="E526" t="str">
        <f>TRIM(_xlfn.TEXTBEFORE(Employee_dataset[[#This Row],[Department_Region]],"-"))</f>
        <v>Admin</v>
      </c>
      <c r="F526" t="str">
        <f>TRIM(_xlfn.TEXTAFTER(Employee_dataset[[#This Row],[Department_Region]],"-"))</f>
        <v>Nevada</v>
      </c>
      <c r="G526" t="str">
        <f>TRIM(Employee_dataset[[#This Row],[Status]])</f>
        <v>Pending</v>
      </c>
      <c r="H526" s="1">
        <f>_xlfn.LET(
     _xlpm.d, Employee_dataset[[#This Row],[Join_Date]],
     IF(
        ISNUMBER(_xlpm.d),_xlpm.d,""
       )
    )</f>
        <v>45121</v>
      </c>
      <c r="I526" s="6">
        <f>_xlfn.LET(
     _xlpm.s, TRIM(Employee_dataset[[#This Row],[Salary]]),
     IF(
        UPPER(_xlpm.s)="N/A","",
        IF(
           ISNUMBER(--_xlpm.s),ROUND(_xlfn.NUMBERVALUE(_xlpm.s),2),""
          )
       )
    )</f>
        <v>50651.32</v>
      </c>
      <c r="J526" t="str">
        <f>TRIM(Employee_dataset[[#This Row],[Email]])</f>
        <v>heidi.johnson@example.com</v>
      </c>
      <c r="K526" t="str">
        <f>_xlfn.LET(
     _xlpm.p,TRIM(SUBSTITUTE(Employee_dataset[[#This Row],[Phone]],"-","")),
     IF(
        LEN(_xlpm.p)=10,_xlfn.CONCAT("("&amp;LEFT(_xlpm.p,3)&amp;") "&amp;MID(_xlpm.p,4,3)&amp;"-"&amp;RIGHT(_xlpm.p,4),"")
       )
     )</f>
        <v>(368) 474-8835</v>
      </c>
      <c r="L526" t="str">
        <f>TRIM(Employee_dataset[[#This Row],[Performance_Score]])</f>
        <v>Poor</v>
      </c>
      <c r="M526" t="str">
        <f>TRIM(Employee_dataset[[#This Row],[Remote_Work]])</f>
        <v>FALSE</v>
      </c>
    </row>
    <row r="527" spans="1:13" x14ac:dyDescent="0.3">
      <c r="A527" t="str">
        <f>TRIM(Employee_dataset[[#This Row],[Employee_ID]])</f>
        <v>EMP1525</v>
      </c>
      <c r="B527" t="str">
        <f>PROPER(TRIM(Employee_dataset[[#This Row],[First_Name]]))</f>
        <v>Bob</v>
      </c>
      <c r="C527" t="str">
        <f>PROPER(TRIM(Employee_dataset[[#This Row],[Last_Name]]))</f>
        <v>Davis</v>
      </c>
      <c r="D527" s="6" t="str">
        <f>_xlfn.LET(
     _xlpm.a, TRIM(Employee_dataset[[#This Row],[Age]]),
     IF(
        _xlpm.a="","",
        IF(
           AND(ISNUMBER(--_xlpm.a),LEN(_xlpm.a)=2),_xlpm.a,""
          )
       )
    )</f>
        <v/>
      </c>
      <c r="E527" t="str">
        <f>TRIM(_xlfn.TEXTBEFORE(Employee_dataset[[#This Row],[Department_Region]],"-"))</f>
        <v>HR</v>
      </c>
      <c r="F527" t="str">
        <f>TRIM(_xlfn.TEXTAFTER(Employee_dataset[[#This Row],[Department_Region]],"-"))</f>
        <v>Illinois</v>
      </c>
      <c r="G527" t="str">
        <f>TRIM(Employee_dataset[[#This Row],[Status]])</f>
        <v>Pending</v>
      </c>
      <c r="H527" s="1">
        <f>_xlfn.LET(
     _xlpm.d, Employee_dataset[[#This Row],[Join_Date]],
     IF(
        ISNUMBER(_xlpm.d),_xlpm.d,""
       )
    )</f>
        <v>45266</v>
      </c>
      <c r="I527" s="6">
        <f>_xlfn.LET(
     _xlpm.s, TRIM(Employee_dataset[[#This Row],[Salary]]),
     IF(
        UPPER(_xlpm.s)="N/A","",
        IF(
           ISNUMBER(--_xlpm.s),ROUND(_xlfn.NUMBERVALUE(_xlpm.s),2),""
          )
       )
    )</f>
        <v>59601.45</v>
      </c>
      <c r="J527" t="str">
        <f>TRIM(Employee_dataset[[#This Row],[Email]])</f>
        <v>bob.davis@example.com</v>
      </c>
      <c r="K527" t="b">
        <f>_xlfn.LET(
     _xlpm.p,TRIM(SUBSTITUTE(Employee_dataset[[#This Row],[Phone]],"-","")),
     IF(
        LEN(_xlpm.p)=10,_xlfn.CONCAT("("&amp;LEFT(_xlpm.p,3)&amp;") "&amp;MID(_xlpm.p,4,3)&amp;"-"&amp;RIGHT(_xlpm.p,4),"")
       )
     )</f>
        <v>0</v>
      </c>
      <c r="L527" t="str">
        <f>TRIM(Employee_dataset[[#This Row],[Performance_Score]])</f>
        <v>Poor</v>
      </c>
      <c r="M527" t="str">
        <f>TRIM(Employee_dataset[[#This Row],[Remote_Work]])</f>
        <v>FALSE</v>
      </c>
    </row>
    <row r="528" spans="1:13" x14ac:dyDescent="0.3">
      <c r="A528" t="str">
        <f>TRIM(Employee_dataset[[#This Row],[Employee_ID]])</f>
        <v>EMP1526</v>
      </c>
      <c r="B528" t="str">
        <f>PROPER(TRIM(Employee_dataset[[#This Row],[First_Name]]))</f>
        <v>Bob</v>
      </c>
      <c r="C528" t="str">
        <f>PROPER(TRIM(Employee_dataset[[#This Row],[Last_Name]]))</f>
        <v>Williams</v>
      </c>
      <c r="D528" s="6" t="str">
        <f>_xlfn.LET(
     _xlpm.a, TRIM(Employee_dataset[[#This Row],[Age]]),
     IF(
        _xlpm.a="","",
        IF(
           AND(ISNUMBER(--_xlpm.a),LEN(_xlpm.a)=2),_xlpm.a,""
          )
       )
    )</f>
        <v/>
      </c>
      <c r="E528" t="str">
        <f>TRIM(_xlfn.TEXTBEFORE(Employee_dataset[[#This Row],[Department_Region]],"-"))</f>
        <v>DevOps</v>
      </c>
      <c r="F528" t="str">
        <f>TRIM(_xlfn.TEXTAFTER(Employee_dataset[[#This Row],[Department_Region]],"-"))</f>
        <v>Illinois</v>
      </c>
      <c r="G528" t="str">
        <f>TRIM(Employee_dataset[[#This Row],[Status]])</f>
        <v>Active</v>
      </c>
      <c r="H528" s="1">
        <f>_xlfn.LET(
     _xlpm.d, Employee_dataset[[#This Row],[Join_Date]],
     IF(
        ISNUMBER(_xlpm.d),_xlpm.d,""
       )
    )</f>
        <v>44409</v>
      </c>
      <c r="I528" s="6">
        <f>_xlfn.LET(
     _xlpm.s, TRIM(Employee_dataset[[#This Row],[Salary]]),
     IF(
        UPPER(_xlpm.s)="N/A","",
        IF(
           ISNUMBER(--_xlpm.s),ROUND(_xlfn.NUMBERVALUE(_xlpm.s),2),""
          )
       )
    )</f>
        <v>57980.88</v>
      </c>
      <c r="J528" t="str">
        <f>TRIM(Employee_dataset[[#This Row],[Email]])</f>
        <v>bob.williams@example.com</v>
      </c>
      <c r="K528" t="str">
        <f>_xlfn.LET(
     _xlpm.p,TRIM(SUBSTITUTE(Employee_dataset[[#This Row],[Phone]],"-","")),
     IF(
        LEN(_xlpm.p)=10,_xlfn.CONCAT("("&amp;LEFT(_xlpm.p,3)&amp;") "&amp;MID(_xlpm.p,4,3)&amp;"-"&amp;RIGHT(_xlpm.p,4),"")
       )
     )</f>
        <v>(637) 579-1451</v>
      </c>
      <c r="L528" t="str">
        <f>TRIM(Employee_dataset[[#This Row],[Performance_Score]])</f>
        <v>Poor</v>
      </c>
      <c r="M528" t="str">
        <f>TRIM(Employee_dataset[[#This Row],[Remote_Work]])</f>
        <v>FALSE</v>
      </c>
    </row>
    <row r="529" spans="1:13" x14ac:dyDescent="0.3">
      <c r="A529" t="str">
        <f>TRIM(Employee_dataset[[#This Row],[Employee_ID]])</f>
        <v>EMP1527</v>
      </c>
      <c r="B529" t="str">
        <f>PROPER(TRIM(Employee_dataset[[#This Row],[First_Name]]))</f>
        <v>David</v>
      </c>
      <c r="C529" t="str">
        <f>PROPER(TRIM(Employee_dataset[[#This Row],[Last_Name]]))</f>
        <v>Johnson</v>
      </c>
      <c r="D529" s="6" t="str">
        <f>_xlfn.LET(
     _xlpm.a, TRIM(Employee_dataset[[#This Row],[Age]]),
     IF(
        _xlpm.a="","",
        IF(
           AND(ISNUMBER(--_xlpm.a),LEN(_xlpm.a)=2),_xlpm.a,""
          )
       )
    )</f>
        <v/>
      </c>
      <c r="E529" t="str">
        <f>TRIM(_xlfn.TEXTBEFORE(Employee_dataset[[#This Row],[Department_Region]],"-"))</f>
        <v>Admin</v>
      </c>
      <c r="F529" t="str">
        <f>TRIM(_xlfn.TEXTAFTER(Employee_dataset[[#This Row],[Department_Region]],"-"))</f>
        <v>California</v>
      </c>
      <c r="G529" t="str">
        <f>TRIM(Employee_dataset[[#This Row],[Status]])</f>
        <v>Pending</v>
      </c>
      <c r="H529" s="1">
        <f>_xlfn.LET(
     _xlpm.d, Employee_dataset[[#This Row],[Join_Date]],
     IF(
        ISNUMBER(_xlpm.d),_xlpm.d,""
       )
    )</f>
        <v>44244</v>
      </c>
      <c r="I529" s="6">
        <f>_xlfn.LET(
     _xlpm.s, TRIM(Employee_dataset[[#This Row],[Salary]]),
     IF(
        UPPER(_xlpm.s)="N/A","",
        IF(
           ISNUMBER(--_xlpm.s),ROUND(_xlfn.NUMBERVALUE(_xlpm.s),2),""
          )
       )
    )</f>
        <v>75054.53</v>
      </c>
      <c r="J529" t="str">
        <f>TRIM(Employee_dataset[[#This Row],[Email]])</f>
        <v>david.johnson@example.com</v>
      </c>
      <c r="K529" t="str">
        <f>_xlfn.LET(
     _xlpm.p,TRIM(SUBSTITUTE(Employee_dataset[[#This Row],[Phone]],"-","")),
     IF(
        LEN(_xlpm.p)=10,_xlfn.CONCAT("("&amp;LEFT(_xlpm.p,3)&amp;") "&amp;MID(_xlpm.p,4,3)&amp;"-"&amp;RIGHT(_xlpm.p,4),"")
       )
     )</f>
        <v>(118) 237-9311</v>
      </c>
      <c r="L529" t="str">
        <f>TRIM(Employee_dataset[[#This Row],[Performance_Score]])</f>
        <v>Average</v>
      </c>
      <c r="M529" t="str">
        <f>TRIM(Employee_dataset[[#This Row],[Remote_Work]])</f>
        <v>FALSE</v>
      </c>
    </row>
    <row r="530" spans="1:13" x14ac:dyDescent="0.3">
      <c r="A530" t="str">
        <f>TRIM(Employee_dataset[[#This Row],[Employee_ID]])</f>
        <v>EMP1528</v>
      </c>
      <c r="B530" t="str">
        <f>PROPER(TRIM(Employee_dataset[[#This Row],[First_Name]]))</f>
        <v>Charlie</v>
      </c>
      <c r="C530" t="str">
        <f>PROPER(TRIM(Employee_dataset[[#This Row],[Last_Name]]))</f>
        <v>Johnson</v>
      </c>
      <c r="D530" s="6" t="str">
        <f>_xlfn.LET(
     _xlpm.a, TRIM(Employee_dataset[[#This Row],[Age]]),
     IF(
        _xlpm.a="","",
        IF(
           AND(ISNUMBER(--_xlpm.a),LEN(_xlpm.a)=2),_xlpm.a,""
          )
       )
    )</f>
        <v>25</v>
      </c>
      <c r="E530" t="str">
        <f>TRIM(_xlfn.TEXTBEFORE(Employee_dataset[[#This Row],[Department_Region]],"-"))</f>
        <v>Sales</v>
      </c>
      <c r="F530" t="str">
        <f>TRIM(_xlfn.TEXTAFTER(Employee_dataset[[#This Row],[Department_Region]],"-"))</f>
        <v>Florida</v>
      </c>
      <c r="G530" t="str">
        <f>TRIM(Employee_dataset[[#This Row],[Status]])</f>
        <v>Active</v>
      </c>
      <c r="H530" s="1">
        <f>_xlfn.LET(
     _xlpm.d, Employee_dataset[[#This Row],[Join_Date]],
     IF(
        ISNUMBER(_xlpm.d),_xlpm.d,""
       )
    )</f>
        <v>45240</v>
      </c>
      <c r="I530" s="6">
        <f>_xlfn.LET(
     _xlpm.s, TRIM(Employee_dataset[[#This Row],[Salary]]),
     IF(
        UPPER(_xlpm.s)="N/A","",
        IF(
           ISNUMBER(--_xlpm.s),ROUND(_xlfn.NUMBERVALUE(_xlpm.s),2),""
          )
       )
    )</f>
        <v>115318.7</v>
      </c>
      <c r="J530" t="str">
        <f>TRIM(Employee_dataset[[#This Row],[Email]])</f>
        <v>charlie.johnson@example.com</v>
      </c>
      <c r="K530" t="str">
        <f>_xlfn.LET(
     _xlpm.p,TRIM(SUBSTITUTE(Employee_dataset[[#This Row],[Phone]],"-","")),
     IF(
        LEN(_xlpm.p)=10,_xlfn.CONCAT("("&amp;LEFT(_xlpm.p,3)&amp;") "&amp;MID(_xlpm.p,4,3)&amp;"-"&amp;RIGHT(_xlpm.p,4),"")
       )
     )</f>
        <v>(697) 893-0745</v>
      </c>
      <c r="L530" t="str">
        <f>TRIM(Employee_dataset[[#This Row],[Performance_Score]])</f>
        <v>Excellent</v>
      </c>
      <c r="M530" t="str">
        <f>TRIM(Employee_dataset[[#This Row],[Remote_Work]])</f>
        <v>FALSE</v>
      </c>
    </row>
    <row r="531" spans="1:13" x14ac:dyDescent="0.3">
      <c r="A531" t="str">
        <f>TRIM(Employee_dataset[[#This Row],[Employee_ID]])</f>
        <v>EMP1529</v>
      </c>
      <c r="B531" t="str">
        <f>PROPER(TRIM(Employee_dataset[[#This Row],[First_Name]]))</f>
        <v>Alice</v>
      </c>
      <c r="C531" t="str">
        <f>PROPER(TRIM(Employee_dataset[[#This Row],[Last_Name]]))</f>
        <v>Johnson</v>
      </c>
      <c r="D531" s="6" t="str">
        <f>_xlfn.LET(
     _xlpm.a, TRIM(Employee_dataset[[#This Row],[Age]]),
     IF(
        _xlpm.a="","",
        IF(
           AND(ISNUMBER(--_xlpm.a),LEN(_xlpm.a)=2),_xlpm.a,""
          )
       )
    )</f>
        <v>25</v>
      </c>
      <c r="E531" t="str">
        <f>TRIM(_xlfn.TEXTBEFORE(Employee_dataset[[#This Row],[Department_Region]],"-"))</f>
        <v>DevOps</v>
      </c>
      <c r="F531" t="str">
        <f>TRIM(_xlfn.TEXTAFTER(Employee_dataset[[#This Row],[Department_Region]],"-"))</f>
        <v>Texas</v>
      </c>
      <c r="G531" t="str">
        <f>TRIM(Employee_dataset[[#This Row],[Status]])</f>
        <v>Active</v>
      </c>
      <c r="H531" s="1">
        <f>_xlfn.LET(
     _xlpm.d, Employee_dataset[[#This Row],[Join_Date]],
     IF(
        ISNUMBER(_xlpm.d),_xlpm.d,""
       )
    )</f>
        <v>45541</v>
      </c>
      <c r="I531" s="6">
        <f>_xlfn.LET(
     _xlpm.s, TRIM(Employee_dataset[[#This Row],[Salary]]),
     IF(
        UPPER(_xlpm.s)="N/A","",
        IF(
           ISNUMBER(--_xlpm.s),ROUND(_xlfn.NUMBERVALUE(_xlpm.s),2),""
          )
       )
    )</f>
        <v>90190.69</v>
      </c>
      <c r="J531" t="str">
        <f>TRIM(Employee_dataset[[#This Row],[Email]])</f>
        <v>alice.johnson@example.com</v>
      </c>
      <c r="K531" t="str">
        <f>_xlfn.LET(
     _xlpm.p,TRIM(SUBSTITUTE(Employee_dataset[[#This Row],[Phone]],"-","")),
     IF(
        LEN(_xlpm.p)=10,_xlfn.CONCAT("("&amp;LEFT(_xlpm.p,3)&amp;") "&amp;MID(_xlpm.p,4,3)&amp;"-"&amp;RIGHT(_xlpm.p,4),"")
       )
     )</f>
        <v>(452) 059-9603</v>
      </c>
      <c r="L531" t="str">
        <f>TRIM(Employee_dataset[[#This Row],[Performance_Score]])</f>
        <v>Poor</v>
      </c>
      <c r="M531" t="str">
        <f>TRIM(Employee_dataset[[#This Row],[Remote_Work]])</f>
        <v>TRUE</v>
      </c>
    </row>
    <row r="532" spans="1:13" x14ac:dyDescent="0.3">
      <c r="A532" t="str">
        <f>TRIM(Employee_dataset[[#This Row],[Employee_ID]])</f>
        <v>EMP1530</v>
      </c>
      <c r="B532" t="str">
        <f>PROPER(TRIM(Employee_dataset[[#This Row],[First_Name]]))</f>
        <v>Bob</v>
      </c>
      <c r="C532" t="str">
        <f>PROPER(TRIM(Employee_dataset[[#This Row],[Last_Name]]))</f>
        <v>Smith</v>
      </c>
      <c r="D532" s="6" t="str">
        <f>_xlfn.LET(
     _xlpm.a, TRIM(Employee_dataset[[#This Row],[Age]]),
     IF(
        _xlpm.a="","",
        IF(
           AND(ISNUMBER(--_xlpm.a),LEN(_xlpm.a)=2),_xlpm.a,""
          )
       )
    )</f>
        <v/>
      </c>
      <c r="E532" t="str">
        <f>TRIM(_xlfn.TEXTBEFORE(Employee_dataset[[#This Row],[Department_Region]],"-"))</f>
        <v>Cloud Tech</v>
      </c>
      <c r="F532" t="str">
        <f>TRIM(_xlfn.TEXTAFTER(Employee_dataset[[#This Row],[Department_Region]],"-"))</f>
        <v>Nevada</v>
      </c>
      <c r="G532" t="str">
        <f>TRIM(Employee_dataset[[#This Row],[Status]])</f>
        <v>Pending</v>
      </c>
      <c r="H532" s="1">
        <f>_xlfn.LET(
     _xlpm.d, Employee_dataset[[#This Row],[Join_Date]],
     IF(
        ISNUMBER(_xlpm.d),_xlpm.d,""
       )
    )</f>
        <v>44038</v>
      </c>
      <c r="I532" s="6">
        <f>_xlfn.LET(
     _xlpm.s, TRIM(Employee_dataset[[#This Row],[Salary]]),
     IF(
        UPPER(_xlpm.s)="N/A","",
        IF(
           ISNUMBER(--_xlpm.s),ROUND(_xlfn.NUMBERVALUE(_xlpm.s),2),""
          )
       )
    )</f>
        <v>113334.56</v>
      </c>
      <c r="J532" t="str">
        <f>TRIM(Employee_dataset[[#This Row],[Email]])</f>
        <v>bob.smith@example.com</v>
      </c>
      <c r="K532" t="str">
        <f>_xlfn.LET(
     _xlpm.p,TRIM(SUBSTITUTE(Employee_dataset[[#This Row],[Phone]],"-","")),
     IF(
        LEN(_xlpm.p)=10,_xlfn.CONCAT("("&amp;LEFT(_xlpm.p,3)&amp;") "&amp;MID(_xlpm.p,4,3)&amp;"-"&amp;RIGHT(_xlpm.p,4),"")
       )
     )</f>
        <v>(387) 875-3576</v>
      </c>
      <c r="L532" t="str">
        <f>TRIM(Employee_dataset[[#This Row],[Performance_Score]])</f>
        <v>Excellent</v>
      </c>
      <c r="M532" t="str">
        <f>TRIM(Employee_dataset[[#This Row],[Remote_Work]])</f>
        <v>FALSE</v>
      </c>
    </row>
    <row r="533" spans="1:13" x14ac:dyDescent="0.3">
      <c r="A533" t="str">
        <f>TRIM(Employee_dataset[[#This Row],[Employee_ID]])</f>
        <v>EMP1531</v>
      </c>
      <c r="B533" t="str">
        <f>PROPER(TRIM(Employee_dataset[[#This Row],[First_Name]]))</f>
        <v>Heidi</v>
      </c>
      <c r="C533" t="str">
        <f>PROPER(TRIM(Employee_dataset[[#This Row],[Last_Name]]))</f>
        <v>Garcia</v>
      </c>
      <c r="D533" s="6" t="str">
        <f>_xlfn.LET(
     _xlpm.a, TRIM(Employee_dataset[[#This Row],[Age]]),
     IF(
        _xlpm.a="","",
        IF(
           AND(ISNUMBER(--_xlpm.a),LEN(_xlpm.a)=2),_xlpm.a,""
          )
       )
    )</f>
        <v>35</v>
      </c>
      <c r="E533" t="str">
        <f>TRIM(_xlfn.TEXTBEFORE(Employee_dataset[[#This Row],[Department_Region]],"-"))</f>
        <v>HR</v>
      </c>
      <c r="F533" t="str">
        <f>TRIM(_xlfn.TEXTAFTER(Employee_dataset[[#This Row],[Department_Region]],"-"))</f>
        <v>Florida</v>
      </c>
      <c r="G533" t="str">
        <f>TRIM(Employee_dataset[[#This Row],[Status]])</f>
        <v>Active</v>
      </c>
      <c r="H533" s="1">
        <f>_xlfn.LET(
     _xlpm.d, Employee_dataset[[#This Row],[Join_Date]],
     IF(
        ISNUMBER(_xlpm.d),_xlpm.d,""
       )
    )</f>
        <v>44035</v>
      </c>
      <c r="I533" s="6">
        <f>_xlfn.LET(
     _xlpm.s, TRIM(Employee_dataset[[#This Row],[Salary]]),
     IF(
        UPPER(_xlpm.s)="N/A","",
        IF(
           ISNUMBER(--_xlpm.s),ROUND(_xlfn.NUMBERVALUE(_xlpm.s),2),""
          )
       )
    )</f>
        <v>106922.49</v>
      </c>
      <c r="J533" t="str">
        <f>TRIM(Employee_dataset[[#This Row],[Email]])</f>
        <v>heidi.garcia@example.com</v>
      </c>
      <c r="K533" t="str">
        <f>_xlfn.LET(
     _xlpm.p,TRIM(SUBSTITUTE(Employee_dataset[[#This Row],[Phone]],"-","")),
     IF(
        LEN(_xlpm.p)=10,_xlfn.CONCAT("("&amp;LEFT(_xlpm.p,3)&amp;") "&amp;MID(_xlpm.p,4,3)&amp;"-"&amp;RIGHT(_xlpm.p,4),"")
       )
     )</f>
        <v>(881) 161-6201</v>
      </c>
      <c r="L533" t="str">
        <f>TRIM(Employee_dataset[[#This Row],[Performance_Score]])</f>
        <v>Excellent</v>
      </c>
      <c r="M533" t="str">
        <f>TRIM(Employee_dataset[[#This Row],[Remote_Work]])</f>
        <v>TRUE</v>
      </c>
    </row>
    <row r="534" spans="1:13" x14ac:dyDescent="0.3">
      <c r="A534" t="str">
        <f>TRIM(Employee_dataset[[#This Row],[Employee_ID]])</f>
        <v>EMP1532</v>
      </c>
      <c r="B534" t="str">
        <f>PROPER(TRIM(Employee_dataset[[#This Row],[First_Name]]))</f>
        <v>Eva</v>
      </c>
      <c r="C534" t="str">
        <f>PROPER(TRIM(Employee_dataset[[#This Row],[Last_Name]]))</f>
        <v>Smith</v>
      </c>
      <c r="D534" s="6" t="str">
        <f>_xlfn.LET(
     _xlpm.a, TRIM(Employee_dataset[[#This Row],[Age]]),
     IF(
        _xlpm.a="","",
        IF(
           AND(ISNUMBER(--_xlpm.a),LEN(_xlpm.a)=2),_xlpm.a,""
          )
       )
    )</f>
        <v>35</v>
      </c>
      <c r="E534" t="str">
        <f>TRIM(_xlfn.TEXTBEFORE(Employee_dataset[[#This Row],[Department_Region]],"-"))</f>
        <v>DevOps</v>
      </c>
      <c r="F534" t="str">
        <f>TRIM(_xlfn.TEXTAFTER(Employee_dataset[[#This Row],[Department_Region]],"-"))</f>
        <v>California</v>
      </c>
      <c r="G534" t="str">
        <f>TRIM(Employee_dataset[[#This Row],[Status]])</f>
        <v>Inactive</v>
      </c>
      <c r="H534" s="1">
        <f>_xlfn.LET(
     _xlpm.d, Employee_dataset[[#This Row],[Join_Date]],
     IF(
        ISNUMBER(_xlpm.d),_xlpm.d,""
       )
    )</f>
        <v>45343</v>
      </c>
      <c r="I534" s="6">
        <f>_xlfn.LET(
     _xlpm.s, TRIM(Employee_dataset[[#This Row],[Salary]]),
     IF(
        UPPER(_xlpm.s)="N/A","",
        IF(
           ISNUMBER(--_xlpm.s),ROUND(_xlfn.NUMBERVALUE(_xlpm.s),2),""
          )
       )
    )</f>
        <v>58113.07</v>
      </c>
      <c r="J534" t="str">
        <f>TRIM(Employee_dataset[[#This Row],[Email]])</f>
        <v>eva.smith@example.com</v>
      </c>
      <c r="K534" t="str">
        <f>_xlfn.LET(
     _xlpm.p,TRIM(SUBSTITUTE(Employee_dataset[[#This Row],[Phone]],"-","")),
     IF(
        LEN(_xlpm.p)=10,_xlfn.CONCAT("("&amp;LEFT(_xlpm.p,3)&amp;") "&amp;MID(_xlpm.p,4,3)&amp;"-"&amp;RIGHT(_xlpm.p,4),"")
       )
     )</f>
        <v>(812) 371-0671</v>
      </c>
      <c r="L534" t="str">
        <f>TRIM(Employee_dataset[[#This Row],[Performance_Score]])</f>
        <v>Average</v>
      </c>
      <c r="M534" t="str">
        <f>TRIM(Employee_dataset[[#This Row],[Remote_Work]])</f>
        <v>TRUE</v>
      </c>
    </row>
    <row r="535" spans="1:13" x14ac:dyDescent="0.3">
      <c r="A535" t="str">
        <f>TRIM(Employee_dataset[[#This Row],[Employee_ID]])</f>
        <v>EMP1533</v>
      </c>
      <c r="B535" t="str">
        <f>PROPER(TRIM(Employee_dataset[[#This Row],[First_Name]]))</f>
        <v>Alice</v>
      </c>
      <c r="C535" t="str">
        <f>PROPER(TRIM(Employee_dataset[[#This Row],[Last_Name]]))</f>
        <v>Smith</v>
      </c>
      <c r="D535" s="6" t="str">
        <f>_xlfn.LET(
     _xlpm.a, TRIM(Employee_dataset[[#This Row],[Age]]),
     IF(
        _xlpm.a="","",
        IF(
           AND(ISNUMBER(--_xlpm.a),LEN(_xlpm.a)=2),_xlpm.a,""
          )
       )
    )</f>
        <v>25</v>
      </c>
      <c r="E535" t="str">
        <f>TRIM(_xlfn.TEXTBEFORE(Employee_dataset[[#This Row],[Department_Region]],"-"))</f>
        <v>Admin</v>
      </c>
      <c r="F535" t="str">
        <f>TRIM(_xlfn.TEXTAFTER(Employee_dataset[[#This Row],[Department_Region]],"-"))</f>
        <v>Nevada</v>
      </c>
      <c r="G535" t="str">
        <f>TRIM(Employee_dataset[[#This Row],[Status]])</f>
        <v>Pending</v>
      </c>
      <c r="H535" s="1">
        <f>_xlfn.LET(
     _xlpm.d, Employee_dataset[[#This Row],[Join_Date]],
     IF(
        ISNUMBER(_xlpm.d),_xlpm.d,""
       )
    )</f>
        <v>44180</v>
      </c>
      <c r="I535" s="6">
        <f>_xlfn.LET(
     _xlpm.s, TRIM(Employee_dataset[[#This Row],[Salary]]),
     IF(
        UPPER(_xlpm.s)="N/A","",
        IF(
           ISNUMBER(--_xlpm.s),ROUND(_xlfn.NUMBERVALUE(_xlpm.s),2),""
          )
       )
    )</f>
        <v>73006.259999999995</v>
      </c>
      <c r="J535" t="str">
        <f>TRIM(Employee_dataset[[#This Row],[Email]])</f>
        <v>alice.smith@example.com</v>
      </c>
      <c r="K535" t="str">
        <f>_xlfn.LET(
     _xlpm.p,TRIM(SUBSTITUTE(Employee_dataset[[#This Row],[Phone]],"-","")),
     IF(
        LEN(_xlpm.p)=10,_xlfn.CONCAT("("&amp;LEFT(_xlpm.p,3)&amp;") "&amp;MID(_xlpm.p,4,3)&amp;"-"&amp;RIGHT(_xlpm.p,4),"")
       )
     )</f>
        <v>(872) 866-0415</v>
      </c>
      <c r="L535" t="str">
        <f>TRIM(Employee_dataset[[#This Row],[Performance_Score]])</f>
        <v>Poor</v>
      </c>
      <c r="M535" t="str">
        <f>TRIM(Employee_dataset[[#This Row],[Remote_Work]])</f>
        <v>TRUE</v>
      </c>
    </row>
    <row r="536" spans="1:13" x14ac:dyDescent="0.3">
      <c r="A536" t="str">
        <f>TRIM(Employee_dataset[[#This Row],[Employee_ID]])</f>
        <v>EMP1534</v>
      </c>
      <c r="B536" t="str">
        <f>PROPER(TRIM(Employee_dataset[[#This Row],[First_Name]]))</f>
        <v>Eva</v>
      </c>
      <c r="C536" t="str">
        <f>PROPER(TRIM(Employee_dataset[[#This Row],[Last_Name]]))</f>
        <v>Williams</v>
      </c>
      <c r="D536" s="6" t="str">
        <f>_xlfn.LET(
     _xlpm.a, TRIM(Employee_dataset[[#This Row],[Age]]),
     IF(
        _xlpm.a="","",
        IF(
           AND(ISNUMBER(--_xlpm.a),LEN(_xlpm.a)=2),_xlpm.a,""
          )
       )
    )</f>
        <v>25</v>
      </c>
      <c r="E536" t="str">
        <f>TRIM(_xlfn.TEXTBEFORE(Employee_dataset[[#This Row],[Department_Region]],"-"))</f>
        <v>HR</v>
      </c>
      <c r="F536" t="str">
        <f>TRIM(_xlfn.TEXTAFTER(Employee_dataset[[#This Row],[Department_Region]],"-"))</f>
        <v>California</v>
      </c>
      <c r="G536" t="str">
        <f>TRIM(Employee_dataset[[#This Row],[Status]])</f>
        <v>Active</v>
      </c>
      <c r="H536" s="1">
        <f>_xlfn.LET(
     _xlpm.d, Employee_dataset[[#This Row],[Join_Date]],
     IF(
        ISNUMBER(_xlpm.d),_xlpm.d,""
       )
    )</f>
        <v>44064</v>
      </c>
      <c r="I536" s="6">
        <f>_xlfn.LET(
     _xlpm.s, TRIM(Employee_dataset[[#This Row],[Salary]]),
     IF(
        UPPER(_xlpm.s)="N/A","",
        IF(
           ISNUMBER(--_xlpm.s),ROUND(_xlfn.NUMBERVALUE(_xlpm.s),2),""
          )
       )
    )</f>
        <v>78054.429999999993</v>
      </c>
      <c r="J536" t="str">
        <f>TRIM(Employee_dataset[[#This Row],[Email]])</f>
        <v>eva.williams@example.com</v>
      </c>
      <c r="K536" t="str">
        <f>_xlfn.LET(
     _xlpm.p,TRIM(SUBSTITUTE(Employee_dataset[[#This Row],[Phone]],"-","")),
     IF(
        LEN(_xlpm.p)=10,_xlfn.CONCAT("("&amp;LEFT(_xlpm.p,3)&amp;") "&amp;MID(_xlpm.p,4,3)&amp;"-"&amp;RIGHT(_xlpm.p,4),"")
       )
     )</f>
        <v>(448) 595-9223</v>
      </c>
      <c r="L536" t="str">
        <f>TRIM(Employee_dataset[[#This Row],[Performance_Score]])</f>
        <v>Poor</v>
      </c>
      <c r="M536" t="str">
        <f>TRIM(Employee_dataset[[#This Row],[Remote_Work]])</f>
        <v>TRUE</v>
      </c>
    </row>
    <row r="537" spans="1:13" x14ac:dyDescent="0.3">
      <c r="A537" t="str">
        <f>TRIM(Employee_dataset[[#This Row],[Employee_ID]])</f>
        <v>EMP1535</v>
      </c>
      <c r="B537" t="str">
        <f>PROPER(TRIM(Employee_dataset[[#This Row],[First_Name]]))</f>
        <v>Eva</v>
      </c>
      <c r="C537" t="str">
        <f>PROPER(TRIM(Employee_dataset[[#This Row],[Last_Name]]))</f>
        <v>Miller</v>
      </c>
      <c r="D537" s="6" t="str">
        <f>_xlfn.LET(
     _xlpm.a, TRIM(Employee_dataset[[#This Row],[Age]]),
     IF(
        _xlpm.a="","",
        IF(
           AND(ISNUMBER(--_xlpm.a),LEN(_xlpm.a)=2),_xlpm.a,""
          )
       )
    )</f>
        <v>40</v>
      </c>
      <c r="E537" t="str">
        <f>TRIM(_xlfn.TEXTBEFORE(Employee_dataset[[#This Row],[Department_Region]],"-"))</f>
        <v>DevOps</v>
      </c>
      <c r="F537" t="str">
        <f>TRIM(_xlfn.TEXTAFTER(Employee_dataset[[#This Row],[Department_Region]],"-"))</f>
        <v>Florida</v>
      </c>
      <c r="G537" t="str">
        <f>TRIM(Employee_dataset[[#This Row],[Status]])</f>
        <v>Inactive</v>
      </c>
      <c r="H537" s="1">
        <f>_xlfn.LET(
     _xlpm.d, Employee_dataset[[#This Row],[Join_Date]],
     IF(
        ISNUMBER(_xlpm.d),_xlpm.d,""
       )
    )</f>
        <v>45159</v>
      </c>
      <c r="I537" s="6">
        <f>_xlfn.LET(
     _xlpm.s, TRIM(Employee_dataset[[#This Row],[Salary]]),
     IF(
        UPPER(_xlpm.s)="N/A","",
        IF(
           ISNUMBER(--_xlpm.s),ROUND(_xlfn.NUMBERVALUE(_xlpm.s),2),""
          )
       )
    )</f>
        <v>112028.67</v>
      </c>
      <c r="J537" t="str">
        <f>TRIM(Employee_dataset[[#This Row],[Email]])</f>
        <v>eva.miller@example.com</v>
      </c>
      <c r="K537" t="str">
        <f>_xlfn.LET(
     _xlpm.p,TRIM(SUBSTITUTE(Employee_dataset[[#This Row],[Phone]],"-","")),
     IF(
        LEN(_xlpm.p)=10,_xlfn.CONCAT("("&amp;LEFT(_xlpm.p,3)&amp;") "&amp;MID(_xlpm.p,4,3)&amp;"-"&amp;RIGHT(_xlpm.p,4),"")
       )
     )</f>
        <v>(839) 589-4772</v>
      </c>
      <c r="L537" t="str">
        <f>TRIM(Employee_dataset[[#This Row],[Performance_Score]])</f>
        <v>Excellent</v>
      </c>
      <c r="M537" t="str">
        <f>TRIM(Employee_dataset[[#This Row],[Remote_Work]])</f>
        <v>FALSE</v>
      </c>
    </row>
    <row r="538" spans="1:13" x14ac:dyDescent="0.3">
      <c r="A538" t="str">
        <f>TRIM(Employee_dataset[[#This Row],[Employee_ID]])</f>
        <v>EMP1536</v>
      </c>
      <c r="B538" t="str">
        <f>PROPER(TRIM(Employee_dataset[[#This Row],[First_Name]]))</f>
        <v>Charlie</v>
      </c>
      <c r="C538" t="str">
        <f>PROPER(TRIM(Employee_dataset[[#This Row],[Last_Name]]))</f>
        <v>Garcia</v>
      </c>
      <c r="D538" s="6" t="str">
        <f>_xlfn.LET(
     _xlpm.a, TRIM(Employee_dataset[[#This Row],[Age]]),
     IF(
        _xlpm.a="","",
        IF(
           AND(ISNUMBER(--_xlpm.a),LEN(_xlpm.a)=2),_xlpm.a,""
          )
       )
    )</f>
        <v>25</v>
      </c>
      <c r="E538" t="str">
        <f>TRIM(_xlfn.TEXTBEFORE(Employee_dataset[[#This Row],[Department_Region]],"-"))</f>
        <v>Admin</v>
      </c>
      <c r="F538" t="str">
        <f>TRIM(_xlfn.TEXTAFTER(Employee_dataset[[#This Row],[Department_Region]],"-"))</f>
        <v>Texas</v>
      </c>
      <c r="G538" t="str">
        <f>TRIM(Employee_dataset[[#This Row],[Status]])</f>
        <v>Inactive</v>
      </c>
      <c r="H538" s="1">
        <f>_xlfn.LET(
     _xlpm.d, Employee_dataset[[#This Row],[Join_Date]],
     IF(
        ISNUMBER(_xlpm.d),_xlpm.d,""
       )
    )</f>
        <v>45040</v>
      </c>
      <c r="I538" s="6">
        <f>_xlfn.LET(
     _xlpm.s, TRIM(Employee_dataset[[#This Row],[Salary]]),
     IF(
        UPPER(_xlpm.s)="N/A","",
        IF(
           ISNUMBER(--_xlpm.s),ROUND(_xlfn.NUMBERVALUE(_xlpm.s),2),""
          )
       )
    )</f>
        <v>83787.240000000005</v>
      </c>
      <c r="J538" t="str">
        <f>TRIM(Employee_dataset[[#This Row],[Email]])</f>
        <v>charlie.garcia@example.com</v>
      </c>
      <c r="K538" t="str">
        <f>_xlfn.LET(
     _xlpm.p,TRIM(SUBSTITUTE(Employee_dataset[[#This Row],[Phone]],"-","")),
     IF(
        LEN(_xlpm.p)=10,_xlfn.CONCAT("("&amp;LEFT(_xlpm.p,3)&amp;") "&amp;MID(_xlpm.p,4,3)&amp;"-"&amp;RIGHT(_xlpm.p,4),"")
       )
     )</f>
        <v>(522) 870-5621</v>
      </c>
      <c r="L538" t="str">
        <f>TRIM(Employee_dataset[[#This Row],[Performance_Score]])</f>
        <v>Good</v>
      </c>
      <c r="M538" t="str">
        <f>TRIM(Employee_dataset[[#This Row],[Remote_Work]])</f>
        <v>TRUE</v>
      </c>
    </row>
    <row r="539" spans="1:13" x14ac:dyDescent="0.3">
      <c r="A539" t="str">
        <f>TRIM(Employee_dataset[[#This Row],[Employee_ID]])</f>
        <v>EMP1537</v>
      </c>
      <c r="B539" t="str">
        <f>PROPER(TRIM(Employee_dataset[[#This Row],[First_Name]]))</f>
        <v>Heidi</v>
      </c>
      <c r="C539" t="str">
        <f>PROPER(TRIM(Employee_dataset[[#This Row],[Last_Name]]))</f>
        <v>Davis</v>
      </c>
      <c r="D539" s="6" t="str">
        <f>_xlfn.LET(
     _xlpm.a, TRIM(Employee_dataset[[#This Row],[Age]]),
     IF(
        _xlpm.a="","",
        IF(
           AND(ISNUMBER(--_xlpm.a),LEN(_xlpm.a)=2),_xlpm.a,""
          )
       )
    )</f>
        <v>30</v>
      </c>
      <c r="E539" t="str">
        <f>TRIM(_xlfn.TEXTBEFORE(Employee_dataset[[#This Row],[Department_Region]],"-"))</f>
        <v>Sales</v>
      </c>
      <c r="F539" t="str">
        <f>TRIM(_xlfn.TEXTAFTER(Employee_dataset[[#This Row],[Department_Region]],"-"))</f>
        <v>Florida</v>
      </c>
      <c r="G539" t="str">
        <f>TRIM(Employee_dataset[[#This Row],[Status]])</f>
        <v>Inactive</v>
      </c>
      <c r="H539" s="1">
        <f>_xlfn.LET(
     _xlpm.d, Employee_dataset[[#This Row],[Join_Date]],
     IF(
        ISNUMBER(_xlpm.d),_xlpm.d,""
       )
    )</f>
        <v>45083</v>
      </c>
      <c r="I539" s="6">
        <f>_xlfn.LET(
     _xlpm.s, TRIM(Employee_dataset[[#This Row],[Salary]]),
     IF(
        UPPER(_xlpm.s)="N/A","",
        IF(
           ISNUMBER(--_xlpm.s),ROUND(_xlfn.NUMBERVALUE(_xlpm.s),2),""
          )
       )
    )</f>
        <v>52017.14</v>
      </c>
      <c r="J539" t="str">
        <f>TRIM(Employee_dataset[[#This Row],[Email]])</f>
        <v>heidi.davis@example.com</v>
      </c>
      <c r="K539" t="str">
        <f>_xlfn.LET(
     _xlpm.p,TRIM(SUBSTITUTE(Employee_dataset[[#This Row],[Phone]],"-","")),
     IF(
        LEN(_xlpm.p)=10,_xlfn.CONCAT("("&amp;LEFT(_xlpm.p,3)&amp;") "&amp;MID(_xlpm.p,4,3)&amp;"-"&amp;RIGHT(_xlpm.p,4),"")
       )
     )</f>
        <v>(710) 433-1874</v>
      </c>
      <c r="L539" t="str">
        <f>TRIM(Employee_dataset[[#This Row],[Performance_Score]])</f>
        <v>Average</v>
      </c>
      <c r="M539" t="str">
        <f>TRIM(Employee_dataset[[#This Row],[Remote_Work]])</f>
        <v>TRUE</v>
      </c>
    </row>
    <row r="540" spans="1:13" x14ac:dyDescent="0.3">
      <c r="A540" t="str">
        <f>TRIM(Employee_dataset[[#This Row],[Employee_ID]])</f>
        <v>EMP1538</v>
      </c>
      <c r="B540" t="str">
        <f>PROPER(TRIM(Employee_dataset[[#This Row],[First_Name]]))</f>
        <v>Charlie</v>
      </c>
      <c r="C540" t="str">
        <f>PROPER(TRIM(Employee_dataset[[#This Row],[Last_Name]]))</f>
        <v>Jones</v>
      </c>
      <c r="D540" s="6" t="str">
        <f>_xlfn.LET(
     _xlpm.a, TRIM(Employee_dataset[[#This Row],[Age]]),
     IF(
        _xlpm.a="","",
        IF(
           AND(ISNUMBER(--_xlpm.a),LEN(_xlpm.a)=2),_xlpm.a,""
          )
       )
    )</f>
        <v>40</v>
      </c>
      <c r="E540" t="str">
        <f>TRIM(_xlfn.TEXTBEFORE(Employee_dataset[[#This Row],[Department_Region]],"-"))</f>
        <v>Finance</v>
      </c>
      <c r="F540" t="str">
        <f>TRIM(_xlfn.TEXTAFTER(Employee_dataset[[#This Row],[Department_Region]],"-"))</f>
        <v>Texas</v>
      </c>
      <c r="G540" t="str">
        <f>TRIM(Employee_dataset[[#This Row],[Status]])</f>
        <v>Inactive</v>
      </c>
      <c r="H540" s="1">
        <f>_xlfn.LET(
     _xlpm.d, Employee_dataset[[#This Row],[Join_Date]],
     IF(
        ISNUMBER(_xlpm.d),_xlpm.d,""
       )
    )</f>
        <v>44733</v>
      </c>
      <c r="I540" s="6">
        <f>_xlfn.LET(
     _xlpm.s, TRIM(Employee_dataset[[#This Row],[Salary]]),
     IF(
        UPPER(_xlpm.s)="N/A","",
        IF(
           ISNUMBER(--_xlpm.s),ROUND(_xlfn.NUMBERVALUE(_xlpm.s),2),""
          )
       )
    )</f>
        <v>53218.06</v>
      </c>
      <c r="J540" t="str">
        <f>TRIM(Employee_dataset[[#This Row],[Email]])</f>
        <v>charlie.jones@example.com</v>
      </c>
      <c r="K540" t="str">
        <f>_xlfn.LET(
     _xlpm.p,TRIM(SUBSTITUTE(Employee_dataset[[#This Row],[Phone]],"-","")),
     IF(
        LEN(_xlpm.p)=10,_xlfn.CONCAT("("&amp;LEFT(_xlpm.p,3)&amp;") "&amp;MID(_xlpm.p,4,3)&amp;"-"&amp;RIGHT(_xlpm.p,4),"")
       )
     )</f>
        <v>(109) 792-1582</v>
      </c>
      <c r="L540" t="str">
        <f>TRIM(Employee_dataset[[#This Row],[Performance_Score]])</f>
        <v>Average</v>
      </c>
      <c r="M540" t="str">
        <f>TRIM(Employee_dataset[[#This Row],[Remote_Work]])</f>
        <v>FALSE</v>
      </c>
    </row>
    <row r="541" spans="1:13" x14ac:dyDescent="0.3">
      <c r="A541" t="str">
        <f>TRIM(Employee_dataset[[#This Row],[Employee_ID]])</f>
        <v>EMP1539</v>
      </c>
      <c r="B541" t="str">
        <f>PROPER(TRIM(Employee_dataset[[#This Row],[First_Name]]))</f>
        <v>Frank</v>
      </c>
      <c r="C541" t="str">
        <f>PROPER(TRIM(Employee_dataset[[#This Row],[Last_Name]]))</f>
        <v>Johnson</v>
      </c>
      <c r="D541" s="6" t="str">
        <f>_xlfn.LET(
     _xlpm.a, TRIM(Employee_dataset[[#This Row],[Age]]),
     IF(
        _xlpm.a="","",
        IF(
           AND(ISNUMBER(--_xlpm.a),LEN(_xlpm.a)=2),_xlpm.a,""
          )
       )
    )</f>
        <v>25</v>
      </c>
      <c r="E541" t="str">
        <f>TRIM(_xlfn.TEXTBEFORE(Employee_dataset[[#This Row],[Department_Region]],"-"))</f>
        <v>DevOps</v>
      </c>
      <c r="F541" t="str">
        <f>TRIM(_xlfn.TEXTAFTER(Employee_dataset[[#This Row],[Department_Region]],"-"))</f>
        <v>Nevada</v>
      </c>
      <c r="G541" t="str">
        <f>TRIM(Employee_dataset[[#This Row],[Status]])</f>
        <v>Pending</v>
      </c>
      <c r="H541" s="1">
        <f>_xlfn.LET(
     _xlpm.d, Employee_dataset[[#This Row],[Join_Date]],
     IF(
        ISNUMBER(_xlpm.d),_xlpm.d,""
       )
    )</f>
        <v>45402</v>
      </c>
      <c r="I541" s="6">
        <f>_xlfn.LET(
     _xlpm.s, TRIM(Employee_dataset[[#This Row],[Salary]]),
     IF(
        UPPER(_xlpm.s)="N/A","",
        IF(
           ISNUMBER(--_xlpm.s),ROUND(_xlfn.NUMBERVALUE(_xlpm.s),2),""
          )
       )
    )</f>
        <v>102053.67</v>
      </c>
      <c r="J541" t="str">
        <f>TRIM(Employee_dataset[[#This Row],[Email]])</f>
        <v>frank.johnson@example.com</v>
      </c>
      <c r="K541" t="str">
        <f>_xlfn.LET(
     _xlpm.p,TRIM(SUBSTITUTE(Employee_dataset[[#This Row],[Phone]],"-","")),
     IF(
        LEN(_xlpm.p)=10,_xlfn.CONCAT("("&amp;LEFT(_xlpm.p,3)&amp;") "&amp;MID(_xlpm.p,4,3)&amp;"-"&amp;RIGHT(_xlpm.p,4),"")
       )
     )</f>
        <v>(503) 446-9458</v>
      </c>
      <c r="L541" t="str">
        <f>TRIM(Employee_dataset[[#This Row],[Performance_Score]])</f>
        <v>Average</v>
      </c>
      <c r="M541" t="str">
        <f>TRIM(Employee_dataset[[#This Row],[Remote_Work]])</f>
        <v>FALSE</v>
      </c>
    </row>
    <row r="542" spans="1:13" x14ac:dyDescent="0.3">
      <c r="A542" t="str">
        <f>TRIM(Employee_dataset[[#This Row],[Employee_ID]])</f>
        <v>EMP1540</v>
      </c>
      <c r="B542" t="str">
        <f>PROPER(TRIM(Employee_dataset[[#This Row],[First_Name]]))</f>
        <v>David</v>
      </c>
      <c r="C542" t="str">
        <f>PROPER(TRIM(Employee_dataset[[#This Row],[Last_Name]]))</f>
        <v>Davis</v>
      </c>
      <c r="D542" s="6" t="str">
        <f>_xlfn.LET(
     _xlpm.a, TRIM(Employee_dataset[[#This Row],[Age]]),
     IF(
        _xlpm.a="","",
        IF(
           AND(ISNUMBER(--_xlpm.a),LEN(_xlpm.a)=2),_xlpm.a,""
          )
       )
    )</f>
        <v>35</v>
      </c>
      <c r="E542" t="str">
        <f>TRIM(_xlfn.TEXTBEFORE(Employee_dataset[[#This Row],[Department_Region]],"-"))</f>
        <v>Sales</v>
      </c>
      <c r="F542" t="str">
        <f>TRIM(_xlfn.TEXTAFTER(Employee_dataset[[#This Row],[Department_Region]],"-"))</f>
        <v>Illinois</v>
      </c>
      <c r="G542" t="str">
        <f>TRIM(Employee_dataset[[#This Row],[Status]])</f>
        <v>Pending</v>
      </c>
      <c r="H542" s="1">
        <f>_xlfn.LET(
     _xlpm.d, Employee_dataset[[#This Row],[Join_Date]],
     IF(
        ISNUMBER(_xlpm.d),_xlpm.d,""
       )
    )</f>
        <v>45265</v>
      </c>
      <c r="I542" s="6">
        <f>_xlfn.LET(
     _xlpm.s, TRIM(Employee_dataset[[#This Row],[Salary]]),
     IF(
        UPPER(_xlpm.s)="N/A","",
        IF(
           ISNUMBER(--_xlpm.s),ROUND(_xlfn.NUMBERVALUE(_xlpm.s),2),""
          )
       )
    )</f>
        <v>93276.73</v>
      </c>
      <c r="J542" t="str">
        <f>TRIM(Employee_dataset[[#This Row],[Email]])</f>
        <v>david.davis@example.com</v>
      </c>
      <c r="K542" t="str">
        <f>_xlfn.LET(
     _xlpm.p,TRIM(SUBSTITUTE(Employee_dataset[[#This Row],[Phone]],"-","")),
     IF(
        LEN(_xlpm.p)=10,_xlfn.CONCAT("("&amp;LEFT(_xlpm.p,3)&amp;") "&amp;MID(_xlpm.p,4,3)&amp;"-"&amp;RIGHT(_xlpm.p,4),"")
       )
     )</f>
        <v>(648) 831-9212</v>
      </c>
      <c r="L542" t="str">
        <f>TRIM(Employee_dataset[[#This Row],[Performance_Score]])</f>
        <v>Average</v>
      </c>
      <c r="M542" t="str">
        <f>TRIM(Employee_dataset[[#This Row],[Remote_Work]])</f>
        <v>FALSE</v>
      </c>
    </row>
    <row r="543" spans="1:13" x14ac:dyDescent="0.3">
      <c r="A543" t="str">
        <f>TRIM(Employee_dataset[[#This Row],[Employee_ID]])</f>
        <v>EMP1541</v>
      </c>
      <c r="B543" t="str">
        <f>PROPER(TRIM(Employee_dataset[[#This Row],[First_Name]]))</f>
        <v>David</v>
      </c>
      <c r="C543" t="str">
        <f>PROPER(TRIM(Employee_dataset[[#This Row],[Last_Name]]))</f>
        <v>Johnson</v>
      </c>
      <c r="D543" s="6" t="str">
        <f>_xlfn.LET(
     _xlpm.a, TRIM(Employee_dataset[[#This Row],[Age]]),
     IF(
        _xlpm.a="","",
        IF(
           AND(ISNUMBER(--_xlpm.a),LEN(_xlpm.a)=2),_xlpm.a,""
          )
       )
    )</f>
        <v>40</v>
      </c>
      <c r="E543" t="str">
        <f>TRIM(_xlfn.TEXTBEFORE(Employee_dataset[[#This Row],[Department_Region]],"-"))</f>
        <v>HR</v>
      </c>
      <c r="F543" t="str">
        <f>TRIM(_xlfn.TEXTAFTER(Employee_dataset[[#This Row],[Department_Region]],"-"))</f>
        <v>Nevada</v>
      </c>
      <c r="G543" t="str">
        <f>TRIM(Employee_dataset[[#This Row],[Status]])</f>
        <v>Pending</v>
      </c>
      <c r="H543" s="1">
        <f>_xlfn.LET(
     _xlpm.d, Employee_dataset[[#This Row],[Join_Date]],
     IF(
        ISNUMBER(_xlpm.d),_xlpm.d,""
       )
    )</f>
        <v>45144</v>
      </c>
      <c r="I543" s="6">
        <f>_xlfn.LET(
     _xlpm.s, TRIM(Employee_dataset[[#This Row],[Salary]]),
     IF(
        UPPER(_xlpm.s)="N/A","",
        IF(
           ISNUMBER(--_xlpm.s),ROUND(_xlfn.NUMBERVALUE(_xlpm.s),2),""
          )
       )
    )</f>
        <v>76941.36</v>
      </c>
      <c r="J543" t="str">
        <f>TRIM(Employee_dataset[[#This Row],[Email]])</f>
        <v>david.johnson@example.com</v>
      </c>
      <c r="K543" t="str">
        <f>_xlfn.LET(
     _xlpm.p,TRIM(SUBSTITUTE(Employee_dataset[[#This Row],[Phone]],"-","")),
     IF(
        LEN(_xlpm.p)=10,_xlfn.CONCAT("("&amp;LEFT(_xlpm.p,3)&amp;") "&amp;MID(_xlpm.p,4,3)&amp;"-"&amp;RIGHT(_xlpm.p,4),"")
       )
     )</f>
        <v>(424) 912-8964</v>
      </c>
      <c r="L543" t="str">
        <f>TRIM(Employee_dataset[[#This Row],[Performance_Score]])</f>
        <v>Poor</v>
      </c>
      <c r="M543" t="str">
        <f>TRIM(Employee_dataset[[#This Row],[Remote_Work]])</f>
        <v>TRUE</v>
      </c>
    </row>
    <row r="544" spans="1:13" x14ac:dyDescent="0.3">
      <c r="A544" t="str">
        <f>TRIM(Employee_dataset[[#This Row],[Employee_ID]])</f>
        <v>EMP1542</v>
      </c>
      <c r="B544" t="str">
        <f>PROPER(TRIM(Employee_dataset[[#This Row],[First_Name]]))</f>
        <v>Alice</v>
      </c>
      <c r="C544" t="str">
        <f>PROPER(TRIM(Employee_dataset[[#This Row],[Last_Name]]))</f>
        <v>Williams</v>
      </c>
      <c r="D544" s="6" t="str">
        <f>_xlfn.LET(
     _xlpm.a, TRIM(Employee_dataset[[#This Row],[Age]]),
     IF(
        _xlpm.a="","",
        IF(
           AND(ISNUMBER(--_xlpm.a),LEN(_xlpm.a)=2),_xlpm.a,""
          )
       )
    )</f>
        <v>25</v>
      </c>
      <c r="E544" t="str">
        <f>TRIM(_xlfn.TEXTBEFORE(Employee_dataset[[#This Row],[Department_Region]],"-"))</f>
        <v>DevOps</v>
      </c>
      <c r="F544" t="str">
        <f>TRIM(_xlfn.TEXTAFTER(Employee_dataset[[#This Row],[Department_Region]],"-"))</f>
        <v>New York</v>
      </c>
      <c r="G544" t="str">
        <f>TRIM(Employee_dataset[[#This Row],[Status]])</f>
        <v>Pending</v>
      </c>
      <c r="H544" s="1">
        <f>_xlfn.LET(
     _xlpm.d, Employee_dataset[[#This Row],[Join_Date]],
     IF(
        ISNUMBER(_xlpm.d),_xlpm.d,""
       )
    )</f>
        <v>45569</v>
      </c>
      <c r="I544" s="6">
        <f>_xlfn.LET(
     _xlpm.s, TRIM(Employee_dataset[[#This Row],[Salary]]),
     IF(
        UPPER(_xlpm.s)="N/A","",
        IF(
           ISNUMBER(--_xlpm.s),ROUND(_xlfn.NUMBERVALUE(_xlpm.s),2),""
          )
       )
    )</f>
        <v>82850.23</v>
      </c>
      <c r="J544" t="str">
        <f>TRIM(Employee_dataset[[#This Row],[Email]])</f>
        <v>alice.williams@example.com</v>
      </c>
      <c r="K544" t="str">
        <f>_xlfn.LET(
     _xlpm.p,TRIM(SUBSTITUTE(Employee_dataset[[#This Row],[Phone]],"-","")),
     IF(
        LEN(_xlpm.p)=10,_xlfn.CONCAT("("&amp;LEFT(_xlpm.p,3)&amp;") "&amp;MID(_xlpm.p,4,3)&amp;"-"&amp;RIGHT(_xlpm.p,4),"")
       )
     )</f>
        <v>(999) 497-3202</v>
      </c>
      <c r="L544" t="str">
        <f>TRIM(Employee_dataset[[#This Row],[Performance_Score]])</f>
        <v>Poor</v>
      </c>
      <c r="M544" t="str">
        <f>TRIM(Employee_dataset[[#This Row],[Remote_Work]])</f>
        <v>FALSE</v>
      </c>
    </row>
    <row r="545" spans="1:13" x14ac:dyDescent="0.3">
      <c r="A545" t="str">
        <f>TRIM(Employee_dataset[[#This Row],[Employee_ID]])</f>
        <v>EMP1543</v>
      </c>
      <c r="B545" t="str">
        <f>PROPER(TRIM(Employee_dataset[[#This Row],[First_Name]]))</f>
        <v>Charlie</v>
      </c>
      <c r="C545" t="str">
        <f>PROPER(TRIM(Employee_dataset[[#This Row],[Last_Name]]))</f>
        <v>Johnson</v>
      </c>
      <c r="D545" s="6" t="str">
        <f>_xlfn.LET(
     _xlpm.a, TRIM(Employee_dataset[[#This Row],[Age]]),
     IF(
        _xlpm.a="","",
        IF(
           AND(ISNUMBER(--_xlpm.a),LEN(_xlpm.a)=2),_xlpm.a,""
          )
       )
    )</f>
        <v>25</v>
      </c>
      <c r="E545" t="str">
        <f>TRIM(_xlfn.TEXTBEFORE(Employee_dataset[[#This Row],[Department_Region]],"-"))</f>
        <v>Finance</v>
      </c>
      <c r="F545" t="str">
        <f>TRIM(_xlfn.TEXTAFTER(Employee_dataset[[#This Row],[Department_Region]],"-"))</f>
        <v>California</v>
      </c>
      <c r="G545" t="str">
        <f>TRIM(Employee_dataset[[#This Row],[Status]])</f>
        <v>Active</v>
      </c>
      <c r="H545" s="1">
        <f>_xlfn.LET(
     _xlpm.d, Employee_dataset[[#This Row],[Join_Date]],
     IF(
        ISNUMBER(_xlpm.d),_xlpm.d,""
       )
    )</f>
        <v>44508</v>
      </c>
      <c r="I545" s="6">
        <f>_xlfn.LET(
     _xlpm.s, TRIM(Employee_dataset[[#This Row],[Salary]]),
     IF(
        UPPER(_xlpm.s)="N/A","",
        IF(
           ISNUMBER(--_xlpm.s),ROUND(_xlfn.NUMBERVALUE(_xlpm.s),2),""
          )
       )
    )</f>
        <v>117910.15</v>
      </c>
      <c r="J545" t="str">
        <f>TRIM(Employee_dataset[[#This Row],[Email]])</f>
        <v>charlie.johnson@example.com</v>
      </c>
      <c r="K545" t="str">
        <f>_xlfn.LET(
     _xlpm.p,TRIM(SUBSTITUTE(Employee_dataset[[#This Row],[Phone]],"-","")),
     IF(
        LEN(_xlpm.p)=10,_xlfn.CONCAT("("&amp;LEFT(_xlpm.p,3)&amp;") "&amp;MID(_xlpm.p,4,3)&amp;"-"&amp;RIGHT(_xlpm.p,4),"")
       )
     )</f>
        <v>(319) 222-7050</v>
      </c>
      <c r="L545" t="str">
        <f>TRIM(Employee_dataset[[#This Row],[Performance_Score]])</f>
        <v>Good</v>
      </c>
      <c r="M545" t="str">
        <f>TRIM(Employee_dataset[[#This Row],[Remote_Work]])</f>
        <v>FALSE</v>
      </c>
    </row>
    <row r="546" spans="1:13" x14ac:dyDescent="0.3">
      <c r="A546" t="str">
        <f>TRIM(Employee_dataset[[#This Row],[Employee_ID]])</f>
        <v>EMP1544</v>
      </c>
      <c r="B546" t="str">
        <f>PROPER(TRIM(Employee_dataset[[#This Row],[First_Name]]))</f>
        <v>David</v>
      </c>
      <c r="C546" t="str">
        <f>PROPER(TRIM(Employee_dataset[[#This Row],[Last_Name]]))</f>
        <v>Smith</v>
      </c>
      <c r="D546" s="6" t="str">
        <f>_xlfn.LET(
     _xlpm.a, TRIM(Employee_dataset[[#This Row],[Age]]),
     IF(
        _xlpm.a="","",
        IF(
           AND(ISNUMBER(--_xlpm.a),LEN(_xlpm.a)=2),_xlpm.a,""
          )
       )
    )</f>
        <v/>
      </c>
      <c r="E546" t="str">
        <f>TRIM(_xlfn.TEXTBEFORE(Employee_dataset[[#This Row],[Department_Region]],"-"))</f>
        <v>DevOps</v>
      </c>
      <c r="F546" t="str">
        <f>TRIM(_xlfn.TEXTAFTER(Employee_dataset[[#This Row],[Department_Region]],"-"))</f>
        <v>Florida</v>
      </c>
      <c r="G546" t="str">
        <f>TRIM(Employee_dataset[[#This Row],[Status]])</f>
        <v>Inactive</v>
      </c>
      <c r="H546" s="1">
        <f>_xlfn.LET(
     _xlpm.d, Employee_dataset[[#This Row],[Join_Date]],
     IF(
        ISNUMBER(_xlpm.d),_xlpm.d,""
       )
    )</f>
        <v>45504</v>
      </c>
      <c r="I546" s="6">
        <f>_xlfn.LET(
     _xlpm.s, TRIM(Employee_dataset[[#This Row],[Salary]]),
     IF(
        UPPER(_xlpm.s)="N/A","",
        IF(
           ISNUMBER(--_xlpm.s),ROUND(_xlfn.NUMBERVALUE(_xlpm.s),2),""
          )
       )
    )</f>
        <v>66450</v>
      </c>
      <c r="J546" t="str">
        <f>TRIM(Employee_dataset[[#This Row],[Email]])</f>
        <v>david.smith@example.com</v>
      </c>
      <c r="K546" t="b">
        <f>_xlfn.LET(
     _xlpm.p,TRIM(SUBSTITUTE(Employee_dataset[[#This Row],[Phone]],"-","")),
     IF(
        LEN(_xlpm.p)=10,_xlfn.CONCAT("("&amp;LEFT(_xlpm.p,3)&amp;") "&amp;MID(_xlpm.p,4,3)&amp;"-"&amp;RIGHT(_xlpm.p,4),"")
       )
     )</f>
        <v>0</v>
      </c>
      <c r="L546" t="str">
        <f>TRIM(Employee_dataset[[#This Row],[Performance_Score]])</f>
        <v>Average</v>
      </c>
      <c r="M546" t="str">
        <f>TRIM(Employee_dataset[[#This Row],[Remote_Work]])</f>
        <v>TRUE</v>
      </c>
    </row>
    <row r="547" spans="1:13" x14ac:dyDescent="0.3">
      <c r="A547" t="str">
        <f>TRIM(Employee_dataset[[#This Row],[Employee_ID]])</f>
        <v>EMP1545</v>
      </c>
      <c r="B547" t="str">
        <f>PROPER(TRIM(Employee_dataset[[#This Row],[First_Name]]))</f>
        <v>Heidi</v>
      </c>
      <c r="C547" t="str">
        <f>PROPER(TRIM(Employee_dataset[[#This Row],[Last_Name]]))</f>
        <v>Garcia</v>
      </c>
      <c r="D547" s="6" t="str">
        <f>_xlfn.LET(
     _xlpm.a, TRIM(Employee_dataset[[#This Row],[Age]]),
     IF(
        _xlpm.a="","",
        IF(
           AND(ISNUMBER(--_xlpm.a),LEN(_xlpm.a)=2),_xlpm.a,""
          )
       )
    )</f>
        <v>25</v>
      </c>
      <c r="E547" t="str">
        <f>TRIM(_xlfn.TEXTBEFORE(Employee_dataset[[#This Row],[Department_Region]],"-"))</f>
        <v>Finance</v>
      </c>
      <c r="F547" t="str">
        <f>TRIM(_xlfn.TEXTAFTER(Employee_dataset[[#This Row],[Department_Region]],"-"))</f>
        <v>Florida</v>
      </c>
      <c r="G547" t="str">
        <f>TRIM(Employee_dataset[[#This Row],[Status]])</f>
        <v>Inactive</v>
      </c>
      <c r="H547" s="1">
        <f>_xlfn.LET(
     _xlpm.d, Employee_dataset[[#This Row],[Join_Date]],
     IF(
        ISNUMBER(_xlpm.d),_xlpm.d,""
       )
    )</f>
        <v>44074</v>
      </c>
      <c r="I547" s="6">
        <f>_xlfn.LET(
     _xlpm.s, TRIM(Employee_dataset[[#This Row],[Salary]]),
     IF(
        UPPER(_xlpm.s)="N/A","",
        IF(
           ISNUMBER(--_xlpm.s),ROUND(_xlfn.NUMBERVALUE(_xlpm.s),2),""
          )
       )
    )</f>
        <v>118646.95</v>
      </c>
      <c r="J547" t="str">
        <f>TRIM(Employee_dataset[[#This Row],[Email]])</f>
        <v>heidi.garcia@example.com</v>
      </c>
      <c r="K547" t="str">
        <f>_xlfn.LET(
     _xlpm.p,TRIM(SUBSTITUTE(Employee_dataset[[#This Row],[Phone]],"-","")),
     IF(
        LEN(_xlpm.p)=10,_xlfn.CONCAT("("&amp;LEFT(_xlpm.p,3)&amp;") "&amp;MID(_xlpm.p,4,3)&amp;"-"&amp;RIGHT(_xlpm.p,4),"")
       )
     )</f>
        <v>(386) 667-5484</v>
      </c>
      <c r="L547" t="str">
        <f>TRIM(Employee_dataset[[#This Row],[Performance_Score]])</f>
        <v>Average</v>
      </c>
      <c r="M547" t="str">
        <f>TRIM(Employee_dataset[[#This Row],[Remote_Work]])</f>
        <v>FALSE</v>
      </c>
    </row>
    <row r="548" spans="1:13" x14ac:dyDescent="0.3">
      <c r="A548" t="str">
        <f>TRIM(Employee_dataset[[#This Row],[Employee_ID]])</f>
        <v>EMP1546</v>
      </c>
      <c r="B548" t="str">
        <f>PROPER(TRIM(Employee_dataset[[#This Row],[First_Name]]))</f>
        <v>Alice</v>
      </c>
      <c r="C548" t="str">
        <f>PROPER(TRIM(Employee_dataset[[#This Row],[Last_Name]]))</f>
        <v>Jones</v>
      </c>
      <c r="D548" s="6" t="str">
        <f>_xlfn.LET(
     _xlpm.a, TRIM(Employee_dataset[[#This Row],[Age]]),
     IF(
        _xlpm.a="","",
        IF(
           AND(ISNUMBER(--_xlpm.a),LEN(_xlpm.a)=2),_xlpm.a,""
          )
       )
    )</f>
        <v>25</v>
      </c>
      <c r="E548" t="str">
        <f>TRIM(_xlfn.TEXTBEFORE(Employee_dataset[[#This Row],[Department_Region]],"-"))</f>
        <v>Finance</v>
      </c>
      <c r="F548" t="str">
        <f>TRIM(_xlfn.TEXTAFTER(Employee_dataset[[#This Row],[Department_Region]],"-"))</f>
        <v>Florida</v>
      </c>
      <c r="G548" t="str">
        <f>TRIM(Employee_dataset[[#This Row],[Status]])</f>
        <v>Active</v>
      </c>
      <c r="H548" s="1">
        <f>_xlfn.LET(
     _xlpm.d, Employee_dataset[[#This Row],[Join_Date]],
     IF(
        ISNUMBER(_xlpm.d),_xlpm.d,""
       )
    )</f>
        <v>44972</v>
      </c>
      <c r="I548" s="6">
        <f>_xlfn.LET(
     _xlpm.s, TRIM(Employee_dataset[[#This Row],[Salary]]),
     IF(
        UPPER(_xlpm.s)="N/A","",
        IF(
           ISNUMBER(--_xlpm.s),ROUND(_xlfn.NUMBERVALUE(_xlpm.s),2),""
          )
       )
    )</f>
        <v>88436.92</v>
      </c>
      <c r="J548" t="str">
        <f>TRIM(Employee_dataset[[#This Row],[Email]])</f>
        <v>alice.jones@example.com</v>
      </c>
      <c r="K548" t="str">
        <f>_xlfn.LET(
     _xlpm.p,TRIM(SUBSTITUTE(Employee_dataset[[#This Row],[Phone]],"-","")),
     IF(
        LEN(_xlpm.p)=10,_xlfn.CONCAT("("&amp;LEFT(_xlpm.p,3)&amp;") "&amp;MID(_xlpm.p,4,3)&amp;"-"&amp;RIGHT(_xlpm.p,4),"")
       )
     )</f>
        <v>(819) 324-2686</v>
      </c>
      <c r="L548" t="str">
        <f>TRIM(Employee_dataset[[#This Row],[Performance_Score]])</f>
        <v>Excellent</v>
      </c>
      <c r="M548" t="str">
        <f>TRIM(Employee_dataset[[#This Row],[Remote_Work]])</f>
        <v>FALSE</v>
      </c>
    </row>
    <row r="549" spans="1:13" x14ac:dyDescent="0.3">
      <c r="A549" t="str">
        <f>TRIM(Employee_dataset[[#This Row],[Employee_ID]])</f>
        <v>EMP1547</v>
      </c>
      <c r="B549" t="str">
        <f>PROPER(TRIM(Employee_dataset[[#This Row],[First_Name]]))</f>
        <v>Eva</v>
      </c>
      <c r="C549" t="str">
        <f>PROPER(TRIM(Employee_dataset[[#This Row],[Last_Name]]))</f>
        <v>Brown</v>
      </c>
      <c r="D549" s="6" t="str">
        <f>_xlfn.LET(
     _xlpm.a, TRIM(Employee_dataset[[#This Row],[Age]]),
     IF(
        _xlpm.a="","",
        IF(
           AND(ISNUMBER(--_xlpm.a),LEN(_xlpm.a)=2),_xlpm.a,""
          )
       )
    )</f>
        <v/>
      </c>
      <c r="E549" t="str">
        <f>TRIM(_xlfn.TEXTBEFORE(Employee_dataset[[#This Row],[Department_Region]],"-"))</f>
        <v>Sales</v>
      </c>
      <c r="F549" t="str">
        <f>TRIM(_xlfn.TEXTAFTER(Employee_dataset[[#This Row],[Department_Region]],"-"))</f>
        <v>New York</v>
      </c>
      <c r="G549" t="str">
        <f>TRIM(Employee_dataset[[#This Row],[Status]])</f>
        <v>Pending</v>
      </c>
      <c r="H549" s="1">
        <f>_xlfn.LET(
     _xlpm.d, Employee_dataset[[#This Row],[Join_Date]],
     IF(
        ISNUMBER(_xlpm.d),_xlpm.d,""
       )
    )</f>
        <v>45206</v>
      </c>
      <c r="I549" s="6">
        <f>_xlfn.LET(
     _xlpm.s, TRIM(Employee_dataset[[#This Row],[Salary]]),
     IF(
        UPPER(_xlpm.s)="N/A","",
        IF(
           ISNUMBER(--_xlpm.s),ROUND(_xlfn.NUMBERVALUE(_xlpm.s),2),""
          )
       )
    )</f>
        <v>81934.55</v>
      </c>
      <c r="J549" t="str">
        <f>TRIM(Employee_dataset[[#This Row],[Email]])</f>
        <v>eva.brown@example.com</v>
      </c>
      <c r="K549" t="str">
        <f>_xlfn.LET(
     _xlpm.p,TRIM(SUBSTITUTE(Employee_dataset[[#This Row],[Phone]],"-","")),
     IF(
        LEN(_xlpm.p)=10,_xlfn.CONCAT("("&amp;LEFT(_xlpm.p,3)&amp;") "&amp;MID(_xlpm.p,4,3)&amp;"-"&amp;RIGHT(_xlpm.p,4),"")
       )
     )</f>
        <v>(741) 865-2056</v>
      </c>
      <c r="L549" t="str">
        <f>TRIM(Employee_dataset[[#This Row],[Performance_Score]])</f>
        <v>Poor</v>
      </c>
      <c r="M549" t="str">
        <f>TRIM(Employee_dataset[[#This Row],[Remote_Work]])</f>
        <v>FALSE</v>
      </c>
    </row>
    <row r="550" spans="1:13" x14ac:dyDescent="0.3">
      <c r="A550" t="str">
        <f>TRIM(Employee_dataset[[#This Row],[Employee_ID]])</f>
        <v>EMP1548</v>
      </c>
      <c r="B550" t="str">
        <f>PROPER(TRIM(Employee_dataset[[#This Row],[First_Name]]))</f>
        <v>Alice</v>
      </c>
      <c r="C550" t="str">
        <f>PROPER(TRIM(Employee_dataset[[#This Row],[Last_Name]]))</f>
        <v>Johnson</v>
      </c>
      <c r="D550" s="6" t="str">
        <f>_xlfn.LET(
     _xlpm.a, TRIM(Employee_dataset[[#This Row],[Age]]),
     IF(
        _xlpm.a="","",
        IF(
           AND(ISNUMBER(--_xlpm.a),LEN(_xlpm.a)=2),_xlpm.a,""
          )
       )
    )</f>
        <v>30</v>
      </c>
      <c r="E550" t="str">
        <f>TRIM(_xlfn.TEXTBEFORE(Employee_dataset[[#This Row],[Department_Region]],"-"))</f>
        <v>Finance</v>
      </c>
      <c r="F550" t="str">
        <f>TRIM(_xlfn.TEXTAFTER(Employee_dataset[[#This Row],[Department_Region]],"-"))</f>
        <v>California</v>
      </c>
      <c r="G550" t="str">
        <f>TRIM(Employee_dataset[[#This Row],[Status]])</f>
        <v>Pending</v>
      </c>
      <c r="H550" s="1">
        <f>_xlfn.LET(
     _xlpm.d, Employee_dataset[[#This Row],[Join_Date]],
     IF(
        ISNUMBER(_xlpm.d),_xlpm.d,""
       )
    )</f>
        <v>45402</v>
      </c>
      <c r="I550" s="6">
        <f>_xlfn.LET(
     _xlpm.s, TRIM(Employee_dataset[[#This Row],[Salary]]),
     IF(
        UPPER(_xlpm.s)="N/A","",
        IF(
           ISNUMBER(--_xlpm.s),ROUND(_xlfn.NUMBERVALUE(_xlpm.s),2),""
          )
       )
    )</f>
        <v>93383.06</v>
      </c>
      <c r="J550" t="str">
        <f>TRIM(Employee_dataset[[#This Row],[Email]])</f>
        <v>alice.johnson@example.com</v>
      </c>
      <c r="K550" t="str">
        <f>_xlfn.LET(
     _xlpm.p,TRIM(SUBSTITUTE(Employee_dataset[[#This Row],[Phone]],"-","")),
     IF(
        LEN(_xlpm.p)=10,_xlfn.CONCAT("("&amp;LEFT(_xlpm.p,3)&amp;") "&amp;MID(_xlpm.p,4,3)&amp;"-"&amp;RIGHT(_xlpm.p,4),"")
       )
     )</f>
        <v>(563) 983-6519</v>
      </c>
      <c r="L550" t="str">
        <f>TRIM(Employee_dataset[[#This Row],[Performance_Score]])</f>
        <v>Average</v>
      </c>
      <c r="M550" t="str">
        <f>TRIM(Employee_dataset[[#This Row],[Remote_Work]])</f>
        <v>FALSE</v>
      </c>
    </row>
    <row r="551" spans="1:13" x14ac:dyDescent="0.3">
      <c r="A551" t="str">
        <f>TRIM(Employee_dataset[[#This Row],[Employee_ID]])</f>
        <v>EMP1549</v>
      </c>
      <c r="B551" t="str">
        <f>PROPER(TRIM(Employee_dataset[[#This Row],[First_Name]]))</f>
        <v>Frank</v>
      </c>
      <c r="C551" t="str">
        <f>PROPER(TRIM(Employee_dataset[[#This Row],[Last_Name]]))</f>
        <v>Davis</v>
      </c>
      <c r="D551" s="6" t="str">
        <f>_xlfn.LET(
     _xlpm.a, TRIM(Employee_dataset[[#This Row],[Age]]),
     IF(
        _xlpm.a="","",
        IF(
           AND(ISNUMBER(--_xlpm.a),LEN(_xlpm.a)=2),_xlpm.a,""
          )
       )
    )</f>
        <v>40</v>
      </c>
      <c r="E551" t="str">
        <f>TRIM(_xlfn.TEXTBEFORE(Employee_dataset[[#This Row],[Department_Region]],"-"))</f>
        <v>Cloud Tech</v>
      </c>
      <c r="F551" t="str">
        <f>TRIM(_xlfn.TEXTAFTER(Employee_dataset[[#This Row],[Department_Region]],"-"))</f>
        <v>Texas</v>
      </c>
      <c r="G551" t="str">
        <f>TRIM(Employee_dataset[[#This Row],[Status]])</f>
        <v>Pending</v>
      </c>
      <c r="H551" s="1">
        <f>_xlfn.LET(
     _xlpm.d, Employee_dataset[[#This Row],[Join_Date]],
     IF(
        ISNUMBER(_xlpm.d),_xlpm.d,""
       )
    )</f>
        <v>44285</v>
      </c>
      <c r="I551" s="6">
        <f>_xlfn.LET(
     _xlpm.s, TRIM(Employee_dataset[[#This Row],[Salary]]),
     IF(
        UPPER(_xlpm.s)="N/A","",
        IF(
           ISNUMBER(--_xlpm.s),ROUND(_xlfn.NUMBERVALUE(_xlpm.s),2),""
          )
       )
    )</f>
        <v>50153.79</v>
      </c>
      <c r="J551" t="str">
        <f>TRIM(Employee_dataset[[#This Row],[Email]])</f>
        <v>frank.davis@example.com</v>
      </c>
      <c r="K551" t="str">
        <f>_xlfn.LET(
     _xlpm.p,TRIM(SUBSTITUTE(Employee_dataset[[#This Row],[Phone]],"-","")),
     IF(
        LEN(_xlpm.p)=10,_xlfn.CONCAT("("&amp;LEFT(_xlpm.p,3)&amp;") "&amp;MID(_xlpm.p,4,3)&amp;"-"&amp;RIGHT(_xlpm.p,4),"")
       )
     )</f>
        <v>(375) 830-9450</v>
      </c>
      <c r="L551" t="str">
        <f>TRIM(Employee_dataset[[#This Row],[Performance_Score]])</f>
        <v>Good</v>
      </c>
      <c r="M551" t="str">
        <f>TRIM(Employee_dataset[[#This Row],[Remote_Work]])</f>
        <v>TRUE</v>
      </c>
    </row>
    <row r="552" spans="1:13" x14ac:dyDescent="0.3">
      <c r="A552" t="str">
        <f>TRIM(Employee_dataset[[#This Row],[Employee_ID]])</f>
        <v>EMP1550</v>
      </c>
      <c r="B552" t="str">
        <f>PROPER(TRIM(Employee_dataset[[#This Row],[First_Name]]))</f>
        <v>Eva</v>
      </c>
      <c r="C552" t="str">
        <f>PROPER(TRIM(Employee_dataset[[#This Row],[Last_Name]]))</f>
        <v>Smith</v>
      </c>
      <c r="D552" s="6" t="str">
        <f>_xlfn.LET(
     _xlpm.a, TRIM(Employee_dataset[[#This Row],[Age]]),
     IF(
        _xlpm.a="","",
        IF(
           AND(ISNUMBER(--_xlpm.a),LEN(_xlpm.a)=2),_xlpm.a,""
          )
       )
    )</f>
        <v/>
      </c>
      <c r="E552" t="str">
        <f>TRIM(_xlfn.TEXTBEFORE(Employee_dataset[[#This Row],[Department_Region]],"-"))</f>
        <v>Sales</v>
      </c>
      <c r="F552" t="str">
        <f>TRIM(_xlfn.TEXTAFTER(Employee_dataset[[#This Row],[Department_Region]],"-"))</f>
        <v>California</v>
      </c>
      <c r="G552" t="str">
        <f>TRIM(Employee_dataset[[#This Row],[Status]])</f>
        <v>Pending</v>
      </c>
      <c r="H552" s="1">
        <f>_xlfn.LET(
     _xlpm.d, Employee_dataset[[#This Row],[Join_Date]],
     IF(
        ISNUMBER(_xlpm.d),_xlpm.d,""
       )
    )</f>
        <v>44048</v>
      </c>
      <c r="I552" s="6">
        <f>_xlfn.LET(
     _xlpm.s, TRIM(Employee_dataset[[#This Row],[Salary]]),
     IF(
        UPPER(_xlpm.s)="N/A","",
        IF(
           ISNUMBER(--_xlpm.s),ROUND(_xlfn.NUMBERVALUE(_xlpm.s),2),""
          )
       )
    )</f>
        <v>53204.47</v>
      </c>
      <c r="J552" t="str">
        <f>TRIM(Employee_dataset[[#This Row],[Email]])</f>
        <v>eva.smith@example.com</v>
      </c>
      <c r="K552" t="str">
        <f>_xlfn.LET(
     _xlpm.p,TRIM(SUBSTITUTE(Employee_dataset[[#This Row],[Phone]],"-","")),
     IF(
        LEN(_xlpm.p)=10,_xlfn.CONCAT("("&amp;LEFT(_xlpm.p,3)&amp;") "&amp;MID(_xlpm.p,4,3)&amp;"-"&amp;RIGHT(_xlpm.p,4),"")
       )
     )</f>
        <v>(548) 094-0475</v>
      </c>
      <c r="L552" t="str">
        <f>TRIM(Employee_dataset[[#This Row],[Performance_Score]])</f>
        <v>Good</v>
      </c>
      <c r="M552" t="str">
        <f>TRIM(Employee_dataset[[#This Row],[Remote_Work]])</f>
        <v>FALSE</v>
      </c>
    </row>
    <row r="553" spans="1:13" x14ac:dyDescent="0.3">
      <c r="A553" t="str">
        <f>TRIM(Employee_dataset[[#This Row],[Employee_ID]])</f>
        <v>EMP1551</v>
      </c>
      <c r="B553" t="str">
        <f>PROPER(TRIM(Employee_dataset[[#This Row],[First_Name]]))</f>
        <v>Charlie</v>
      </c>
      <c r="C553" t="str">
        <f>PROPER(TRIM(Employee_dataset[[#This Row],[Last_Name]]))</f>
        <v>Brown</v>
      </c>
      <c r="D553" s="6" t="str">
        <f>_xlfn.LET(
     _xlpm.a, TRIM(Employee_dataset[[#This Row],[Age]]),
     IF(
        _xlpm.a="","",
        IF(
           AND(ISNUMBER(--_xlpm.a),LEN(_xlpm.a)=2),_xlpm.a,""
          )
       )
    )</f>
        <v>40</v>
      </c>
      <c r="E553" t="str">
        <f>TRIM(_xlfn.TEXTBEFORE(Employee_dataset[[#This Row],[Department_Region]],"-"))</f>
        <v>Cloud Tech</v>
      </c>
      <c r="F553" t="str">
        <f>TRIM(_xlfn.TEXTAFTER(Employee_dataset[[#This Row],[Department_Region]],"-"))</f>
        <v>California</v>
      </c>
      <c r="G553" t="str">
        <f>TRIM(Employee_dataset[[#This Row],[Status]])</f>
        <v>Pending</v>
      </c>
      <c r="H553" s="1">
        <f>_xlfn.LET(
     _xlpm.d, Employee_dataset[[#This Row],[Join_Date]],
     IF(
        ISNUMBER(_xlpm.d),_xlpm.d,""
       )
    )</f>
        <v>44232</v>
      </c>
      <c r="I553" s="6">
        <f>_xlfn.LET(
     _xlpm.s, TRIM(Employee_dataset[[#This Row],[Salary]]),
     IF(
        UPPER(_xlpm.s)="N/A","",
        IF(
           ISNUMBER(--_xlpm.s),ROUND(_xlfn.NUMBERVALUE(_xlpm.s),2),""
          )
       )
    )</f>
        <v>63128.04</v>
      </c>
      <c r="J553" t="str">
        <f>TRIM(Employee_dataset[[#This Row],[Email]])</f>
        <v>charlie.brown@example.com</v>
      </c>
      <c r="K553" t="b">
        <f>_xlfn.LET(
     _xlpm.p,TRIM(SUBSTITUTE(Employee_dataset[[#This Row],[Phone]],"-","")),
     IF(
        LEN(_xlpm.p)=10,_xlfn.CONCAT("("&amp;LEFT(_xlpm.p,3)&amp;") "&amp;MID(_xlpm.p,4,3)&amp;"-"&amp;RIGHT(_xlpm.p,4),"")
       )
     )</f>
        <v>0</v>
      </c>
      <c r="L553" t="str">
        <f>TRIM(Employee_dataset[[#This Row],[Performance_Score]])</f>
        <v>Poor</v>
      </c>
      <c r="M553" t="str">
        <f>TRIM(Employee_dataset[[#This Row],[Remote_Work]])</f>
        <v>FALSE</v>
      </c>
    </row>
    <row r="554" spans="1:13" x14ac:dyDescent="0.3">
      <c r="A554" t="str">
        <f>TRIM(Employee_dataset[[#This Row],[Employee_ID]])</f>
        <v>EMP1552</v>
      </c>
      <c r="B554" t="str">
        <f>PROPER(TRIM(Employee_dataset[[#This Row],[First_Name]]))</f>
        <v>Grace</v>
      </c>
      <c r="C554" t="str">
        <f>PROPER(TRIM(Employee_dataset[[#This Row],[Last_Name]]))</f>
        <v>Jones</v>
      </c>
      <c r="D554" s="6" t="str">
        <f>_xlfn.LET(
     _xlpm.a, TRIM(Employee_dataset[[#This Row],[Age]]),
     IF(
        _xlpm.a="","",
        IF(
           AND(ISNUMBER(--_xlpm.a),LEN(_xlpm.a)=2),_xlpm.a,""
          )
       )
    )</f>
        <v>30</v>
      </c>
      <c r="E554" t="str">
        <f>TRIM(_xlfn.TEXTBEFORE(Employee_dataset[[#This Row],[Department_Region]],"-"))</f>
        <v>Finance</v>
      </c>
      <c r="F554" t="str">
        <f>TRIM(_xlfn.TEXTAFTER(Employee_dataset[[#This Row],[Department_Region]],"-"))</f>
        <v>New York</v>
      </c>
      <c r="G554" t="str">
        <f>TRIM(Employee_dataset[[#This Row],[Status]])</f>
        <v>Pending</v>
      </c>
      <c r="H554" s="1">
        <f>_xlfn.LET(
     _xlpm.d, Employee_dataset[[#This Row],[Join_Date]],
     IF(
        ISNUMBER(_xlpm.d),_xlpm.d,""
       )
    )</f>
        <v>44523</v>
      </c>
      <c r="I554" s="6">
        <f>_xlfn.LET(
     _xlpm.s, TRIM(Employee_dataset[[#This Row],[Salary]]),
     IF(
        UPPER(_xlpm.s)="N/A","",
        IF(
           ISNUMBER(--_xlpm.s),ROUND(_xlfn.NUMBERVALUE(_xlpm.s),2),""
          )
       )
    )</f>
        <v>57543.6</v>
      </c>
      <c r="J554" t="str">
        <f>TRIM(Employee_dataset[[#This Row],[Email]])</f>
        <v>grace.jones@example.com</v>
      </c>
      <c r="K554" t="str">
        <f>_xlfn.LET(
     _xlpm.p,TRIM(SUBSTITUTE(Employee_dataset[[#This Row],[Phone]],"-","")),
     IF(
        LEN(_xlpm.p)=10,_xlfn.CONCAT("("&amp;LEFT(_xlpm.p,3)&amp;") "&amp;MID(_xlpm.p,4,3)&amp;"-"&amp;RIGHT(_xlpm.p,4),"")
       )
     )</f>
        <v>(278) 105-0921</v>
      </c>
      <c r="L554" t="str">
        <f>TRIM(Employee_dataset[[#This Row],[Performance_Score]])</f>
        <v>Good</v>
      </c>
      <c r="M554" t="str">
        <f>TRIM(Employee_dataset[[#This Row],[Remote_Work]])</f>
        <v>TRUE</v>
      </c>
    </row>
    <row r="555" spans="1:13" x14ac:dyDescent="0.3">
      <c r="A555" t="str">
        <f>TRIM(Employee_dataset[[#This Row],[Employee_ID]])</f>
        <v>EMP1553</v>
      </c>
      <c r="B555" t="str">
        <f>PROPER(TRIM(Employee_dataset[[#This Row],[First_Name]]))</f>
        <v>Bob</v>
      </c>
      <c r="C555" t="str">
        <f>PROPER(TRIM(Employee_dataset[[#This Row],[Last_Name]]))</f>
        <v>Brown</v>
      </c>
      <c r="D555" s="6" t="str">
        <f>_xlfn.LET(
     _xlpm.a, TRIM(Employee_dataset[[#This Row],[Age]]),
     IF(
        _xlpm.a="","",
        IF(
           AND(ISNUMBER(--_xlpm.a),LEN(_xlpm.a)=2),_xlpm.a,""
          )
       )
    )</f>
        <v>40</v>
      </c>
      <c r="E555" t="str">
        <f>TRIM(_xlfn.TEXTBEFORE(Employee_dataset[[#This Row],[Department_Region]],"-"))</f>
        <v>Finance</v>
      </c>
      <c r="F555" t="str">
        <f>TRIM(_xlfn.TEXTAFTER(Employee_dataset[[#This Row],[Department_Region]],"-"))</f>
        <v>Nevada</v>
      </c>
      <c r="G555" t="str">
        <f>TRIM(Employee_dataset[[#This Row],[Status]])</f>
        <v>Pending</v>
      </c>
      <c r="H555" s="1">
        <f>_xlfn.LET(
     _xlpm.d, Employee_dataset[[#This Row],[Join_Date]],
     IF(
        ISNUMBER(_xlpm.d),_xlpm.d,""
       )
    )</f>
        <v>44863</v>
      </c>
      <c r="I555" s="6">
        <f>_xlfn.LET(
     _xlpm.s, TRIM(Employee_dataset[[#This Row],[Salary]]),
     IF(
        UPPER(_xlpm.s)="N/A","",
        IF(
           ISNUMBER(--_xlpm.s),ROUND(_xlfn.NUMBERVALUE(_xlpm.s),2),""
          )
       )
    )</f>
        <v>59424.52</v>
      </c>
      <c r="J555" t="str">
        <f>TRIM(Employee_dataset[[#This Row],[Email]])</f>
        <v>bob.brown@example.com</v>
      </c>
      <c r="K555" t="str">
        <f>_xlfn.LET(
     _xlpm.p,TRIM(SUBSTITUTE(Employee_dataset[[#This Row],[Phone]],"-","")),
     IF(
        LEN(_xlpm.p)=10,_xlfn.CONCAT("("&amp;LEFT(_xlpm.p,3)&amp;") "&amp;MID(_xlpm.p,4,3)&amp;"-"&amp;RIGHT(_xlpm.p,4),"")
       )
     )</f>
        <v>(216) 107-0517</v>
      </c>
      <c r="L555" t="str">
        <f>TRIM(Employee_dataset[[#This Row],[Performance_Score]])</f>
        <v>Good</v>
      </c>
      <c r="M555" t="str">
        <f>TRIM(Employee_dataset[[#This Row],[Remote_Work]])</f>
        <v>FALSE</v>
      </c>
    </row>
    <row r="556" spans="1:13" x14ac:dyDescent="0.3">
      <c r="A556" t="str">
        <f>TRIM(Employee_dataset[[#This Row],[Employee_ID]])</f>
        <v>EMP1554</v>
      </c>
      <c r="B556" t="str">
        <f>PROPER(TRIM(Employee_dataset[[#This Row],[First_Name]]))</f>
        <v>Alice</v>
      </c>
      <c r="C556" t="str">
        <f>PROPER(TRIM(Employee_dataset[[#This Row],[Last_Name]]))</f>
        <v>Smith</v>
      </c>
      <c r="D556" s="6" t="str">
        <f>_xlfn.LET(
     _xlpm.a, TRIM(Employee_dataset[[#This Row],[Age]]),
     IF(
        _xlpm.a="","",
        IF(
           AND(ISNUMBER(--_xlpm.a),LEN(_xlpm.a)=2),_xlpm.a,""
          )
       )
    )</f>
        <v/>
      </c>
      <c r="E556" t="str">
        <f>TRIM(_xlfn.TEXTBEFORE(Employee_dataset[[#This Row],[Department_Region]],"-"))</f>
        <v>Finance</v>
      </c>
      <c r="F556" t="str">
        <f>TRIM(_xlfn.TEXTAFTER(Employee_dataset[[#This Row],[Department_Region]],"-"))</f>
        <v>Illinois</v>
      </c>
      <c r="G556" t="str">
        <f>TRIM(Employee_dataset[[#This Row],[Status]])</f>
        <v>Inactive</v>
      </c>
      <c r="H556" s="1">
        <f>_xlfn.LET(
     _xlpm.d, Employee_dataset[[#This Row],[Join_Date]],
     IF(
        ISNUMBER(_xlpm.d),_xlpm.d,""
       )
    )</f>
        <v>44872</v>
      </c>
      <c r="I556" s="6">
        <f>_xlfn.LET(
     _xlpm.s, TRIM(Employee_dataset[[#This Row],[Salary]]),
     IF(
        UPPER(_xlpm.s)="N/A","",
        IF(
           ISNUMBER(--_xlpm.s),ROUND(_xlfn.NUMBERVALUE(_xlpm.s),2),""
          )
       )
    )</f>
        <v>104675.7</v>
      </c>
      <c r="J556" t="str">
        <f>TRIM(Employee_dataset[[#This Row],[Email]])</f>
        <v>alice.smith@example.com</v>
      </c>
      <c r="K556" t="str">
        <f>_xlfn.LET(
     _xlpm.p,TRIM(SUBSTITUTE(Employee_dataset[[#This Row],[Phone]],"-","")),
     IF(
        LEN(_xlpm.p)=10,_xlfn.CONCAT("("&amp;LEFT(_xlpm.p,3)&amp;") "&amp;MID(_xlpm.p,4,3)&amp;"-"&amp;RIGHT(_xlpm.p,4),"")
       )
     )</f>
        <v>(439) 055-2957</v>
      </c>
      <c r="L556" t="str">
        <f>TRIM(Employee_dataset[[#This Row],[Performance_Score]])</f>
        <v>Poor</v>
      </c>
      <c r="M556" t="str">
        <f>TRIM(Employee_dataset[[#This Row],[Remote_Work]])</f>
        <v>TRUE</v>
      </c>
    </row>
    <row r="557" spans="1:13" x14ac:dyDescent="0.3">
      <c r="A557" t="str">
        <f>TRIM(Employee_dataset[[#This Row],[Employee_ID]])</f>
        <v>EMP1555</v>
      </c>
      <c r="B557" t="str">
        <f>PROPER(TRIM(Employee_dataset[[#This Row],[First_Name]]))</f>
        <v>Charlie</v>
      </c>
      <c r="C557" t="str">
        <f>PROPER(TRIM(Employee_dataset[[#This Row],[Last_Name]]))</f>
        <v>Garcia</v>
      </c>
      <c r="D557" s="6" t="str">
        <f>_xlfn.LET(
     _xlpm.a, TRIM(Employee_dataset[[#This Row],[Age]]),
     IF(
        _xlpm.a="","",
        IF(
           AND(ISNUMBER(--_xlpm.a),LEN(_xlpm.a)=2),_xlpm.a,""
          )
       )
    )</f>
        <v>30</v>
      </c>
      <c r="E557" t="str">
        <f>TRIM(_xlfn.TEXTBEFORE(Employee_dataset[[#This Row],[Department_Region]],"-"))</f>
        <v>Cloud Tech</v>
      </c>
      <c r="F557" t="str">
        <f>TRIM(_xlfn.TEXTAFTER(Employee_dataset[[#This Row],[Department_Region]],"-"))</f>
        <v>Florida</v>
      </c>
      <c r="G557" t="str">
        <f>TRIM(Employee_dataset[[#This Row],[Status]])</f>
        <v>Pending</v>
      </c>
      <c r="H557" s="1">
        <f>_xlfn.LET(
     _xlpm.d, Employee_dataset[[#This Row],[Join_Date]],
     IF(
        ISNUMBER(_xlpm.d),_xlpm.d,""
       )
    )</f>
        <v>45060</v>
      </c>
      <c r="I557" s="6">
        <f>_xlfn.LET(
     _xlpm.s, TRIM(Employee_dataset[[#This Row],[Salary]]),
     IF(
        UPPER(_xlpm.s)="N/A","",
        IF(
           ISNUMBER(--_xlpm.s),ROUND(_xlfn.NUMBERVALUE(_xlpm.s),2),""
          )
       )
    )</f>
        <v>92431.25</v>
      </c>
      <c r="J557" t="str">
        <f>TRIM(Employee_dataset[[#This Row],[Email]])</f>
        <v>charlie.garcia@example.com</v>
      </c>
      <c r="K557" t="b">
        <f>_xlfn.LET(
     _xlpm.p,TRIM(SUBSTITUTE(Employee_dataset[[#This Row],[Phone]],"-","")),
     IF(
        LEN(_xlpm.p)=10,_xlfn.CONCAT("("&amp;LEFT(_xlpm.p,3)&amp;") "&amp;MID(_xlpm.p,4,3)&amp;"-"&amp;RIGHT(_xlpm.p,4),"")
       )
     )</f>
        <v>0</v>
      </c>
      <c r="L557" t="str">
        <f>TRIM(Employee_dataset[[#This Row],[Performance_Score]])</f>
        <v>Average</v>
      </c>
      <c r="M557" t="str">
        <f>TRIM(Employee_dataset[[#This Row],[Remote_Work]])</f>
        <v>FALSE</v>
      </c>
    </row>
    <row r="558" spans="1:13" x14ac:dyDescent="0.3">
      <c r="A558" t="str">
        <f>TRIM(Employee_dataset[[#This Row],[Employee_ID]])</f>
        <v>EMP1556</v>
      </c>
      <c r="B558" t="str">
        <f>PROPER(TRIM(Employee_dataset[[#This Row],[First_Name]]))</f>
        <v>Grace</v>
      </c>
      <c r="C558" t="str">
        <f>PROPER(TRIM(Employee_dataset[[#This Row],[Last_Name]]))</f>
        <v>Garcia</v>
      </c>
      <c r="D558" s="6" t="str">
        <f>_xlfn.LET(
     _xlpm.a, TRIM(Employee_dataset[[#This Row],[Age]]),
     IF(
        _xlpm.a="","",
        IF(
           AND(ISNUMBER(--_xlpm.a),LEN(_xlpm.a)=2),_xlpm.a,""
          )
       )
    )</f>
        <v>40</v>
      </c>
      <c r="E558" t="str">
        <f>TRIM(_xlfn.TEXTBEFORE(Employee_dataset[[#This Row],[Department_Region]],"-"))</f>
        <v>Sales</v>
      </c>
      <c r="F558" t="str">
        <f>TRIM(_xlfn.TEXTAFTER(Employee_dataset[[#This Row],[Department_Region]],"-"))</f>
        <v>Nevada</v>
      </c>
      <c r="G558" t="str">
        <f>TRIM(Employee_dataset[[#This Row],[Status]])</f>
        <v>Active</v>
      </c>
      <c r="H558" s="1">
        <f>_xlfn.LET(
     _xlpm.d, Employee_dataset[[#This Row],[Join_Date]],
     IF(
        ISNUMBER(_xlpm.d),_xlpm.d,""
       )
    )</f>
        <v>44391</v>
      </c>
      <c r="I558" s="6">
        <f>_xlfn.LET(
     _xlpm.s, TRIM(Employee_dataset[[#This Row],[Salary]]),
     IF(
        UPPER(_xlpm.s)="N/A","",
        IF(
           ISNUMBER(--_xlpm.s),ROUND(_xlfn.NUMBERVALUE(_xlpm.s),2),""
          )
       )
    )</f>
        <v>77850.899999999994</v>
      </c>
      <c r="J558" t="str">
        <f>TRIM(Employee_dataset[[#This Row],[Email]])</f>
        <v>grace.garcia@example.com</v>
      </c>
      <c r="K558" t="str">
        <f>_xlfn.LET(
     _xlpm.p,TRIM(SUBSTITUTE(Employee_dataset[[#This Row],[Phone]],"-","")),
     IF(
        LEN(_xlpm.p)=10,_xlfn.CONCAT("("&amp;LEFT(_xlpm.p,3)&amp;") "&amp;MID(_xlpm.p,4,3)&amp;"-"&amp;RIGHT(_xlpm.p,4),"")
       )
     )</f>
        <v>(270) 493-8619</v>
      </c>
      <c r="L558" t="str">
        <f>TRIM(Employee_dataset[[#This Row],[Performance_Score]])</f>
        <v>Average</v>
      </c>
      <c r="M558" t="str">
        <f>TRIM(Employee_dataset[[#This Row],[Remote_Work]])</f>
        <v>TRUE</v>
      </c>
    </row>
    <row r="559" spans="1:13" x14ac:dyDescent="0.3">
      <c r="A559" t="str">
        <f>TRIM(Employee_dataset[[#This Row],[Employee_ID]])</f>
        <v>EMP1557</v>
      </c>
      <c r="B559" t="str">
        <f>PROPER(TRIM(Employee_dataset[[#This Row],[First_Name]]))</f>
        <v>Eva</v>
      </c>
      <c r="C559" t="str">
        <f>PROPER(TRIM(Employee_dataset[[#This Row],[Last_Name]]))</f>
        <v>Miller</v>
      </c>
      <c r="D559" s="6" t="str">
        <f>_xlfn.LET(
     _xlpm.a, TRIM(Employee_dataset[[#This Row],[Age]]),
     IF(
        _xlpm.a="","",
        IF(
           AND(ISNUMBER(--_xlpm.a),LEN(_xlpm.a)=2),_xlpm.a,""
          )
       )
    )</f>
        <v>40</v>
      </c>
      <c r="E559" t="str">
        <f>TRIM(_xlfn.TEXTBEFORE(Employee_dataset[[#This Row],[Department_Region]],"-"))</f>
        <v>Admin</v>
      </c>
      <c r="F559" t="str">
        <f>TRIM(_xlfn.TEXTAFTER(Employee_dataset[[#This Row],[Department_Region]],"-"))</f>
        <v>New York</v>
      </c>
      <c r="G559" t="str">
        <f>TRIM(Employee_dataset[[#This Row],[Status]])</f>
        <v>Inactive</v>
      </c>
      <c r="H559" s="1">
        <f>_xlfn.LET(
     _xlpm.d, Employee_dataset[[#This Row],[Join_Date]],
     IF(
        ISNUMBER(_xlpm.d),_xlpm.d,""
       )
    )</f>
        <v>45064</v>
      </c>
      <c r="I559" s="6">
        <f>_xlfn.LET(
     _xlpm.s, TRIM(Employee_dataset[[#This Row],[Salary]]),
     IF(
        UPPER(_xlpm.s)="N/A","",
        IF(
           ISNUMBER(--_xlpm.s),ROUND(_xlfn.NUMBERVALUE(_xlpm.s),2),""
          )
       )
    )</f>
        <v>99001</v>
      </c>
      <c r="J559" t="str">
        <f>TRIM(Employee_dataset[[#This Row],[Email]])</f>
        <v>eva.miller@example.com</v>
      </c>
      <c r="K559" t="str">
        <f>_xlfn.LET(
     _xlpm.p,TRIM(SUBSTITUTE(Employee_dataset[[#This Row],[Phone]],"-","")),
     IF(
        LEN(_xlpm.p)=10,_xlfn.CONCAT("("&amp;LEFT(_xlpm.p,3)&amp;") "&amp;MID(_xlpm.p,4,3)&amp;"-"&amp;RIGHT(_xlpm.p,4),"")
       )
     )</f>
        <v>(448) 515-7918</v>
      </c>
      <c r="L559" t="str">
        <f>TRIM(Employee_dataset[[#This Row],[Performance_Score]])</f>
        <v>Good</v>
      </c>
      <c r="M559" t="str">
        <f>TRIM(Employee_dataset[[#This Row],[Remote_Work]])</f>
        <v>TRUE</v>
      </c>
    </row>
    <row r="560" spans="1:13" x14ac:dyDescent="0.3">
      <c r="A560" t="str">
        <f>TRIM(Employee_dataset[[#This Row],[Employee_ID]])</f>
        <v>EMP1558</v>
      </c>
      <c r="B560" t="str">
        <f>PROPER(TRIM(Employee_dataset[[#This Row],[First_Name]]))</f>
        <v>Eva</v>
      </c>
      <c r="C560" t="str">
        <f>PROPER(TRIM(Employee_dataset[[#This Row],[Last_Name]]))</f>
        <v>Garcia</v>
      </c>
      <c r="D560" s="6" t="str">
        <f>_xlfn.LET(
     _xlpm.a, TRIM(Employee_dataset[[#This Row],[Age]]),
     IF(
        _xlpm.a="","",
        IF(
           AND(ISNUMBER(--_xlpm.a),LEN(_xlpm.a)=2),_xlpm.a,""
          )
       )
    )</f>
        <v/>
      </c>
      <c r="E560" t="str">
        <f>TRIM(_xlfn.TEXTBEFORE(Employee_dataset[[#This Row],[Department_Region]],"-"))</f>
        <v>HR</v>
      </c>
      <c r="F560" t="str">
        <f>TRIM(_xlfn.TEXTAFTER(Employee_dataset[[#This Row],[Department_Region]],"-"))</f>
        <v>Nevada</v>
      </c>
      <c r="G560" t="str">
        <f>TRIM(Employee_dataset[[#This Row],[Status]])</f>
        <v>Pending</v>
      </c>
      <c r="H560" s="1">
        <f>_xlfn.LET(
     _xlpm.d, Employee_dataset[[#This Row],[Join_Date]],
     IF(
        ISNUMBER(_xlpm.d),_xlpm.d,""
       )
    )</f>
        <v>44964</v>
      </c>
      <c r="I560" s="6">
        <f>_xlfn.LET(
     _xlpm.s, TRIM(Employee_dataset[[#This Row],[Salary]]),
     IF(
        UPPER(_xlpm.s)="N/A","",
        IF(
           ISNUMBER(--_xlpm.s),ROUND(_xlfn.NUMBERVALUE(_xlpm.s),2),""
          )
       )
    )</f>
        <v>94280.83</v>
      </c>
      <c r="J560" t="str">
        <f>TRIM(Employee_dataset[[#This Row],[Email]])</f>
        <v>eva.garcia@example.com</v>
      </c>
      <c r="K560" t="str">
        <f>_xlfn.LET(
     _xlpm.p,TRIM(SUBSTITUTE(Employee_dataset[[#This Row],[Phone]],"-","")),
     IF(
        LEN(_xlpm.p)=10,_xlfn.CONCAT("("&amp;LEFT(_xlpm.p,3)&amp;") "&amp;MID(_xlpm.p,4,3)&amp;"-"&amp;RIGHT(_xlpm.p,4),"")
       )
     )</f>
        <v>(711) 121-2589</v>
      </c>
      <c r="L560" t="str">
        <f>TRIM(Employee_dataset[[#This Row],[Performance_Score]])</f>
        <v>Good</v>
      </c>
      <c r="M560" t="str">
        <f>TRIM(Employee_dataset[[#This Row],[Remote_Work]])</f>
        <v>TRUE</v>
      </c>
    </row>
    <row r="561" spans="1:13" x14ac:dyDescent="0.3">
      <c r="A561" t="str">
        <f>TRIM(Employee_dataset[[#This Row],[Employee_ID]])</f>
        <v>EMP1559</v>
      </c>
      <c r="B561" t="str">
        <f>PROPER(TRIM(Employee_dataset[[#This Row],[First_Name]]))</f>
        <v>Eva</v>
      </c>
      <c r="C561" t="str">
        <f>PROPER(TRIM(Employee_dataset[[#This Row],[Last_Name]]))</f>
        <v>Miller</v>
      </c>
      <c r="D561" s="6" t="str">
        <f>_xlfn.LET(
     _xlpm.a, TRIM(Employee_dataset[[#This Row],[Age]]),
     IF(
        _xlpm.a="","",
        IF(
           AND(ISNUMBER(--_xlpm.a),LEN(_xlpm.a)=2),_xlpm.a,""
          )
       )
    )</f>
        <v>35</v>
      </c>
      <c r="E561" t="str">
        <f>TRIM(_xlfn.TEXTBEFORE(Employee_dataset[[#This Row],[Department_Region]],"-"))</f>
        <v>DevOps</v>
      </c>
      <c r="F561" t="str">
        <f>TRIM(_xlfn.TEXTAFTER(Employee_dataset[[#This Row],[Department_Region]],"-"))</f>
        <v>New York</v>
      </c>
      <c r="G561" t="str">
        <f>TRIM(Employee_dataset[[#This Row],[Status]])</f>
        <v>Pending</v>
      </c>
      <c r="H561" s="1">
        <f>_xlfn.LET(
     _xlpm.d, Employee_dataset[[#This Row],[Join_Date]],
     IF(
        ISNUMBER(_xlpm.d),_xlpm.d,""
       )
    )</f>
        <v>45162</v>
      </c>
      <c r="I561" s="6">
        <f>_xlfn.LET(
     _xlpm.s, TRIM(Employee_dataset[[#This Row],[Salary]]),
     IF(
        UPPER(_xlpm.s)="N/A","",
        IF(
           ISNUMBER(--_xlpm.s),ROUND(_xlfn.NUMBERVALUE(_xlpm.s),2),""
          )
       )
    )</f>
        <v>118262.56</v>
      </c>
      <c r="J561" t="str">
        <f>TRIM(Employee_dataset[[#This Row],[Email]])</f>
        <v>eva.miller@example.com</v>
      </c>
      <c r="K561" t="str">
        <f>_xlfn.LET(
     _xlpm.p,TRIM(SUBSTITUTE(Employee_dataset[[#This Row],[Phone]],"-","")),
     IF(
        LEN(_xlpm.p)=10,_xlfn.CONCAT("("&amp;LEFT(_xlpm.p,3)&amp;") "&amp;MID(_xlpm.p,4,3)&amp;"-"&amp;RIGHT(_xlpm.p,4),"")
       )
     )</f>
        <v>(203) 571-3431</v>
      </c>
      <c r="L561" t="str">
        <f>TRIM(Employee_dataset[[#This Row],[Performance_Score]])</f>
        <v>Average</v>
      </c>
      <c r="M561" t="str">
        <f>TRIM(Employee_dataset[[#This Row],[Remote_Work]])</f>
        <v>TRUE</v>
      </c>
    </row>
    <row r="562" spans="1:13" x14ac:dyDescent="0.3">
      <c r="A562" t="str">
        <f>TRIM(Employee_dataset[[#This Row],[Employee_ID]])</f>
        <v>EMP1560</v>
      </c>
      <c r="B562" t="str">
        <f>PROPER(TRIM(Employee_dataset[[#This Row],[First_Name]]))</f>
        <v>Frank</v>
      </c>
      <c r="C562" t="str">
        <f>PROPER(TRIM(Employee_dataset[[#This Row],[Last_Name]]))</f>
        <v>Brown</v>
      </c>
      <c r="D562" s="6" t="str">
        <f>_xlfn.LET(
     _xlpm.a, TRIM(Employee_dataset[[#This Row],[Age]]),
     IF(
        _xlpm.a="","",
        IF(
           AND(ISNUMBER(--_xlpm.a),LEN(_xlpm.a)=2),_xlpm.a,""
          )
       )
    )</f>
        <v>25</v>
      </c>
      <c r="E562" t="str">
        <f>TRIM(_xlfn.TEXTBEFORE(Employee_dataset[[#This Row],[Department_Region]],"-"))</f>
        <v>HR</v>
      </c>
      <c r="F562" t="str">
        <f>TRIM(_xlfn.TEXTAFTER(Employee_dataset[[#This Row],[Department_Region]],"-"))</f>
        <v>Illinois</v>
      </c>
      <c r="G562" t="str">
        <f>TRIM(Employee_dataset[[#This Row],[Status]])</f>
        <v>Inactive</v>
      </c>
      <c r="H562" s="1">
        <f>_xlfn.LET(
     _xlpm.d, Employee_dataset[[#This Row],[Join_Date]],
     IF(
        ISNUMBER(_xlpm.d),_xlpm.d,""
       )
    )</f>
        <v>45024</v>
      </c>
      <c r="I562" s="6">
        <f>_xlfn.LET(
     _xlpm.s, TRIM(Employee_dataset[[#This Row],[Salary]]),
     IF(
        UPPER(_xlpm.s)="N/A","",
        IF(
           ISNUMBER(--_xlpm.s),ROUND(_xlfn.NUMBERVALUE(_xlpm.s),2),""
          )
       )
    )</f>
        <v>89944.67</v>
      </c>
      <c r="J562" t="str">
        <f>TRIM(Employee_dataset[[#This Row],[Email]])</f>
        <v>frank.brown@example.com</v>
      </c>
      <c r="K562" t="str">
        <f>_xlfn.LET(
     _xlpm.p,TRIM(SUBSTITUTE(Employee_dataset[[#This Row],[Phone]],"-","")),
     IF(
        LEN(_xlpm.p)=10,_xlfn.CONCAT("("&amp;LEFT(_xlpm.p,3)&amp;") "&amp;MID(_xlpm.p,4,3)&amp;"-"&amp;RIGHT(_xlpm.p,4),"")
       )
     )</f>
        <v>(406) 424-2955</v>
      </c>
      <c r="L562" t="str">
        <f>TRIM(Employee_dataset[[#This Row],[Performance_Score]])</f>
        <v>Poor</v>
      </c>
      <c r="M562" t="str">
        <f>TRIM(Employee_dataset[[#This Row],[Remote_Work]])</f>
        <v>FALSE</v>
      </c>
    </row>
    <row r="563" spans="1:13" x14ac:dyDescent="0.3">
      <c r="A563" t="str">
        <f>TRIM(Employee_dataset[[#This Row],[Employee_ID]])</f>
        <v>EMP1561</v>
      </c>
      <c r="B563" t="str">
        <f>PROPER(TRIM(Employee_dataset[[#This Row],[First_Name]]))</f>
        <v>Grace</v>
      </c>
      <c r="C563" t="str">
        <f>PROPER(TRIM(Employee_dataset[[#This Row],[Last_Name]]))</f>
        <v>Williams</v>
      </c>
      <c r="D563" s="6" t="str">
        <f>_xlfn.LET(
     _xlpm.a, TRIM(Employee_dataset[[#This Row],[Age]]),
     IF(
        _xlpm.a="","",
        IF(
           AND(ISNUMBER(--_xlpm.a),LEN(_xlpm.a)=2),_xlpm.a,""
          )
       )
    )</f>
        <v/>
      </c>
      <c r="E563" t="str">
        <f>TRIM(_xlfn.TEXTBEFORE(Employee_dataset[[#This Row],[Department_Region]],"-"))</f>
        <v>HR</v>
      </c>
      <c r="F563" t="str">
        <f>TRIM(_xlfn.TEXTAFTER(Employee_dataset[[#This Row],[Department_Region]],"-"))</f>
        <v>Florida</v>
      </c>
      <c r="G563" t="str">
        <f>TRIM(Employee_dataset[[#This Row],[Status]])</f>
        <v>Active</v>
      </c>
      <c r="H563" s="1">
        <f>_xlfn.LET(
     _xlpm.d, Employee_dataset[[#This Row],[Join_Date]],
     IF(
        ISNUMBER(_xlpm.d),_xlpm.d,""
       )
    )</f>
        <v>44901</v>
      </c>
      <c r="I563" s="6">
        <f>_xlfn.LET(
     _xlpm.s, TRIM(Employee_dataset[[#This Row],[Salary]]),
     IF(
        UPPER(_xlpm.s)="N/A","",
        IF(
           ISNUMBER(--_xlpm.s),ROUND(_xlfn.NUMBERVALUE(_xlpm.s),2),""
          )
       )
    )</f>
        <v>57452.93</v>
      </c>
      <c r="J563" t="str">
        <f>TRIM(Employee_dataset[[#This Row],[Email]])</f>
        <v>grace.williams@example.com</v>
      </c>
      <c r="K563" t="str">
        <f>_xlfn.LET(
     _xlpm.p,TRIM(SUBSTITUTE(Employee_dataset[[#This Row],[Phone]],"-","")),
     IF(
        LEN(_xlpm.p)=10,_xlfn.CONCAT("("&amp;LEFT(_xlpm.p,3)&amp;") "&amp;MID(_xlpm.p,4,3)&amp;"-"&amp;RIGHT(_xlpm.p,4),"")
       )
     )</f>
        <v>(334) 324-4740</v>
      </c>
      <c r="L563" t="str">
        <f>TRIM(Employee_dataset[[#This Row],[Performance_Score]])</f>
        <v>Good</v>
      </c>
      <c r="M563" t="str">
        <f>TRIM(Employee_dataset[[#This Row],[Remote_Work]])</f>
        <v>TRUE</v>
      </c>
    </row>
    <row r="564" spans="1:13" x14ac:dyDescent="0.3">
      <c r="A564" t="str">
        <f>TRIM(Employee_dataset[[#This Row],[Employee_ID]])</f>
        <v>EMP1562</v>
      </c>
      <c r="B564" t="str">
        <f>PROPER(TRIM(Employee_dataset[[#This Row],[First_Name]]))</f>
        <v>Alice</v>
      </c>
      <c r="C564" t="str">
        <f>PROPER(TRIM(Employee_dataset[[#This Row],[Last_Name]]))</f>
        <v>Davis</v>
      </c>
      <c r="D564" s="6" t="str">
        <f>_xlfn.LET(
     _xlpm.a, TRIM(Employee_dataset[[#This Row],[Age]]),
     IF(
        _xlpm.a="","",
        IF(
           AND(ISNUMBER(--_xlpm.a),LEN(_xlpm.a)=2),_xlpm.a,""
          )
       )
    )</f>
        <v>25</v>
      </c>
      <c r="E564" t="str">
        <f>TRIM(_xlfn.TEXTBEFORE(Employee_dataset[[#This Row],[Department_Region]],"-"))</f>
        <v>Admin</v>
      </c>
      <c r="F564" t="str">
        <f>TRIM(_xlfn.TEXTAFTER(Employee_dataset[[#This Row],[Department_Region]],"-"))</f>
        <v>California</v>
      </c>
      <c r="G564" t="str">
        <f>TRIM(Employee_dataset[[#This Row],[Status]])</f>
        <v>Active</v>
      </c>
      <c r="H564" s="1">
        <f>_xlfn.LET(
     _xlpm.d, Employee_dataset[[#This Row],[Join_Date]],
     IF(
        ISNUMBER(_xlpm.d),_xlpm.d,""
       )
    )</f>
        <v>44417</v>
      </c>
      <c r="I564" s="6">
        <f>_xlfn.LET(
     _xlpm.s, TRIM(Employee_dataset[[#This Row],[Salary]]),
     IF(
        UPPER(_xlpm.s)="N/A","",
        IF(
           ISNUMBER(--_xlpm.s),ROUND(_xlfn.NUMBERVALUE(_xlpm.s),2),""
          )
       )
    )</f>
        <v>97837.32</v>
      </c>
      <c r="J564" t="str">
        <f>TRIM(Employee_dataset[[#This Row],[Email]])</f>
        <v>alice.davis@example.com</v>
      </c>
      <c r="K564" t="str">
        <f>_xlfn.LET(
     _xlpm.p,TRIM(SUBSTITUTE(Employee_dataset[[#This Row],[Phone]],"-","")),
     IF(
        LEN(_xlpm.p)=10,_xlfn.CONCAT("("&amp;LEFT(_xlpm.p,3)&amp;") "&amp;MID(_xlpm.p,4,3)&amp;"-"&amp;RIGHT(_xlpm.p,4),"")
       )
     )</f>
        <v>(759) 558-7208</v>
      </c>
      <c r="L564" t="str">
        <f>TRIM(Employee_dataset[[#This Row],[Performance_Score]])</f>
        <v>Excellent</v>
      </c>
      <c r="M564" t="str">
        <f>TRIM(Employee_dataset[[#This Row],[Remote_Work]])</f>
        <v>FALSE</v>
      </c>
    </row>
    <row r="565" spans="1:13" x14ac:dyDescent="0.3">
      <c r="A565" t="str">
        <f>TRIM(Employee_dataset[[#This Row],[Employee_ID]])</f>
        <v>EMP1563</v>
      </c>
      <c r="B565" t="str">
        <f>PROPER(TRIM(Employee_dataset[[#This Row],[First_Name]]))</f>
        <v>Alice</v>
      </c>
      <c r="C565" t="str">
        <f>PROPER(TRIM(Employee_dataset[[#This Row],[Last_Name]]))</f>
        <v>Davis</v>
      </c>
      <c r="D565" s="6" t="str">
        <f>_xlfn.LET(
     _xlpm.a, TRIM(Employee_dataset[[#This Row],[Age]]),
     IF(
        _xlpm.a="","",
        IF(
           AND(ISNUMBER(--_xlpm.a),LEN(_xlpm.a)=2),_xlpm.a,""
          )
       )
    )</f>
        <v>35</v>
      </c>
      <c r="E565" t="str">
        <f>TRIM(_xlfn.TEXTBEFORE(Employee_dataset[[#This Row],[Department_Region]],"-"))</f>
        <v>Admin</v>
      </c>
      <c r="F565" t="str">
        <f>TRIM(_xlfn.TEXTAFTER(Employee_dataset[[#This Row],[Department_Region]],"-"))</f>
        <v>Illinois</v>
      </c>
      <c r="G565" t="str">
        <f>TRIM(Employee_dataset[[#This Row],[Status]])</f>
        <v>Active</v>
      </c>
      <c r="H565" s="1">
        <f>_xlfn.LET(
     _xlpm.d, Employee_dataset[[#This Row],[Join_Date]],
     IF(
        ISNUMBER(_xlpm.d),_xlpm.d,""
       )
    )</f>
        <v>44565</v>
      </c>
      <c r="I565" s="6">
        <f>_xlfn.LET(
     _xlpm.s, TRIM(Employee_dataset[[#This Row],[Salary]]),
     IF(
        UPPER(_xlpm.s)="N/A","",
        IF(
           ISNUMBER(--_xlpm.s),ROUND(_xlfn.NUMBERVALUE(_xlpm.s),2),""
          )
       )
    )</f>
        <v>106981.84</v>
      </c>
      <c r="J565" t="str">
        <f>TRIM(Employee_dataset[[#This Row],[Email]])</f>
        <v>alice.davis@example.com</v>
      </c>
      <c r="K565" t="str">
        <f>_xlfn.LET(
     _xlpm.p,TRIM(SUBSTITUTE(Employee_dataset[[#This Row],[Phone]],"-","")),
     IF(
        LEN(_xlpm.p)=10,_xlfn.CONCAT("("&amp;LEFT(_xlpm.p,3)&amp;") "&amp;MID(_xlpm.p,4,3)&amp;"-"&amp;RIGHT(_xlpm.p,4),"")
       )
     )</f>
        <v>(628) 936-5434</v>
      </c>
      <c r="L565" t="str">
        <f>TRIM(Employee_dataset[[#This Row],[Performance_Score]])</f>
        <v>Poor</v>
      </c>
      <c r="M565" t="str">
        <f>TRIM(Employee_dataset[[#This Row],[Remote_Work]])</f>
        <v>TRUE</v>
      </c>
    </row>
    <row r="566" spans="1:13" x14ac:dyDescent="0.3">
      <c r="A566" t="str">
        <f>TRIM(Employee_dataset[[#This Row],[Employee_ID]])</f>
        <v>EMP1564</v>
      </c>
      <c r="B566" t="str">
        <f>PROPER(TRIM(Employee_dataset[[#This Row],[First_Name]]))</f>
        <v>David</v>
      </c>
      <c r="C566" t="str">
        <f>PROPER(TRIM(Employee_dataset[[#This Row],[Last_Name]]))</f>
        <v>Brown</v>
      </c>
      <c r="D566" s="6" t="str">
        <f>_xlfn.LET(
     _xlpm.a, TRIM(Employee_dataset[[#This Row],[Age]]),
     IF(
        _xlpm.a="","",
        IF(
           AND(ISNUMBER(--_xlpm.a),LEN(_xlpm.a)=2),_xlpm.a,""
          )
       )
    )</f>
        <v/>
      </c>
      <c r="E566" t="str">
        <f>TRIM(_xlfn.TEXTBEFORE(Employee_dataset[[#This Row],[Department_Region]],"-"))</f>
        <v>Finance</v>
      </c>
      <c r="F566" t="str">
        <f>TRIM(_xlfn.TEXTAFTER(Employee_dataset[[#This Row],[Department_Region]],"-"))</f>
        <v>New York</v>
      </c>
      <c r="G566" t="str">
        <f>TRIM(Employee_dataset[[#This Row],[Status]])</f>
        <v>Pending</v>
      </c>
      <c r="H566" s="1">
        <f>_xlfn.LET(
     _xlpm.d, Employee_dataset[[#This Row],[Join_Date]],
     IF(
        ISNUMBER(_xlpm.d),_xlpm.d,""
       )
    )</f>
        <v>45437</v>
      </c>
      <c r="I566" s="6">
        <f>_xlfn.LET(
     _xlpm.s, TRIM(Employee_dataset[[#This Row],[Salary]]),
     IF(
        UPPER(_xlpm.s)="N/A","",
        IF(
           ISNUMBER(--_xlpm.s),ROUND(_xlfn.NUMBERVALUE(_xlpm.s),2),""
          )
       )
    )</f>
        <v>105778.36</v>
      </c>
      <c r="J566" t="str">
        <f>TRIM(Employee_dataset[[#This Row],[Email]])</f>
        <v>david.brown@example.com</v>
      </c>
      <c r="K566" t="str">
        <f>_xlfn.LET(
     _xlpm.p,TRIM(SUBSTITUTE(Employee_dataset[[#This Row],[Phone]],"-","")),
     IF(
        LEN(_xlpm.p)=10,_xlfn.CONCAT("("&amp;LEFT(_xlpm.p,3)&amp;") "&amp;MID(_xlpm.p,4,3)&amp;"-"&amp;RIGHT(_xlpm.p,4),"")
       )
     )</f>
        <v>(884) 183-4373</v>
      </c>
      <c r="L566" t="str">
        <f>TRIM(Employee_dataset[[#This Row],[Performance_Score]])</f>
        <v>Good</v>
      </c>
      <c r="M566" t="str">
        <f>TRIM(Employee_dataset[[#This Row],[Remote_Work]])</f>
        <v>TRUE</v>
      </c>
    </row>
    <row r="567" spans="1:13" x14ac:dyDescent="0.3">
      <c r="A567" t="str">
        <f>TRIM(Employee_dataset[[#This Row],[Employee_ID]])</f>
        <v>EMP1565</v>
      </c>
      <c r="B567" t="str">
        <f>PROPER(TRIM(Employee_dataset[[#This Row],[First_Name]]))</f>
        <v>Alice</v>
      </c>
      <c r="C567" t="str">
        <f>PROPER(TRIM(Employee_dataset[[#This Row],[Last_Name]]))</f>
        <v>Johnson</v>
      </c>
      <c r="D567" s="6" t="str">
        <f>_xlfn.LET(
     _xlpm.a, TRIM(Employee_dataset[[#This Row],[Age]]),
     IF(
        _xlpm.a="","",
        IF(
           AND(ISNUMBER(--_xlpm.a),LEN(_xlpm.a)=2),_xlpm.a,""
          )
       )
    )</f>
        <v>40</v>
      </c>
      <c r="E567" t="str">
        <f>TRIM(_xlfn.TEXTBEFORE(Employee_dataset[[#This Row],[Department_Region]],"-"))</f>
        <v>Finance</v>
      </c>
      <c r="F567" t="str">
        <f>TRIM(_xlfn.TEXTAFTER(Employee_dataset[[#This Row],[Department_Region]],"-"))</f>
        <v>Florida</v>
      </c>
      <c r="G567" t="str">
        <f>TRIM(Employee_dataset[[#This Row],[Status]])</f>
        <v>Pending</v>
      </c>
      <c r="H567" s="1">
        <f>_xlfn.LET(
     _xlpm.d, Employee_dataset[[#This Row],[Join_Date]],
     IF(
        ISNUMBER(_xlpm.d),_xlpm.d,""
       )
    )</f>
        <v>44471</v>
      </c>
      <c r="I567" s="6">
        <f>_xlfn.LET(
     _xlpm.s, TRIM(Employee_dataset[[#This Row],[Salary]]),
     IF(
        UPPER(_xlpm.s)="N/A","",
        IF(
           ISNUMBER(--_xlpm.s),ROUND(_xlfn.NUMBERVALUE(_xlpm.s),2),""
          )
       )
    )</f>
        <v>117608.32000000001</v>
      </c>
      <c r="J567" t="str">
        <f>TRIM(Employee_dataset[[#This Row],[Email]])</f>
        <v>alice.johnson@example.com</v>
      </c>
      <c r="K567" t="b">
        <f>_xlfn.LET(
     _xlpm.p,TRIM(SUBSTITUTE(Employee_dataset[[#This Row],[Phone]],"-","")),
     IF(
        LEN(_xlpm.p)=10,_xlfn.CONCAT("("&amp;LEFT(_xlpm.p,3)&amp;") "&amp;MID(_xlpm.p,4,3)&amp;"-"&amp;RIGHT(_xlpm.p,4),"")
       )
     )</f>
        <v>0</v>
      </c>
      <c r="L567" t="str">
        <f>TRIM(Employee_dataset[[#This Row],[Performance_Score]])</f>
        <v>Good</v>
      </c>
      <c r="M567" t="str">
        <f>TRIM(Employee_dataset[[#This Row],[Remote_Work]])</f>
        <v>TRUE</v>
      </c>
    </row>
    <row r="568" spans="1:13" x14ac:dyDescent="0.3">
      <c r="A568" t="str">
        <f>TRIM(Employee_dataset[[#This Row],[Employee_ID]])</f>
        <v>EMP1566</v>
      </c>
      <c r="B568" t="str">
        <f>PROPER(TRIM(Employee_dataset[[#This Row],[First_Name]]))</f>
        <v>Eva</v>
      </c>
      <c r="C568" t="str">
        <f>PROPER(TRIM(Employee_dataset[[#This Row],[Last_Name]]))</f>
        <v>Johnson</v>
      </c>
      <c r="D568" s="6" t="str">
        <f>_xlfn.LET(
     _xlpm.a, TRIM(Employee_dataset[[#This Row],[Age]]),
     IF(
        _xlpm.a="","",
        IF(
           AND(ISNUMBER(--_xlpm.a),LEN(_xlpm.a)=2),_xlpm.a,""
          )
       )
    )</f>
        <v>30</v>
      </c>
      <c r="E568" t="str">
        <f>TRIM(_xlfn.TEXTBEFORE(Employee_dataset[[#This Row],[Department_Region]],"-"))</f>
        <v>Sales</v>
      </c>
      <c r="F568" t="str">
        <f>TRIM(_xlfn.TEXTAFTER(Employee_dataset[[#This Row],[Department_Region]],"-"))</f>
        <v>Florida</v>
      </c>
      <c r="G568" t="str">
        <f>TRIM(Employee_dataset[[#This Row],[Status]])</f>
        <v>Active</v>
      </c>
      <c r="H568" s="1">
        <f>_xlfn.LET(
     _xlpm.d, Employee_dataset[[#This Row],[Join_Date]],
     IF(
        ISNUMBER(_xlpm.d),_xlpm.d,""
       )
    )</f>
        <v>45128</v>
      </c>
      <c r="I568" s="6">
        <f>_xlfn.LET(
     _xlpm.s, TRIM(Employee_dataset[[#This Row],[Salary]]),
     IF(
        UPPER(_xlpm.s)="N/A","",
        IF(
           ISNUMBER(--_xlpm.s),ROUND(_xlfn.NUMBERVALUE(_xlpm.s),2),""
          )
       )
    )</f>
        <v>99324.03</v>
      </c>
      <c r="J568" t="str">
        <f>TRIM(Employee_dataset[[#This Row],[Email]])</f>
        <v>eva.johnson@example.com</v>
      </c>
      <c r="K568" t="str">
        <f>_xlfn.LET(
     _xlpm.p,TRIM(SUBSTITUTE(Employee_dataset[[#This Row],[Phone]],"-","")),
     IF(
        LEN(_xlpm.p)=10,_xlfn.CONCAT("("&amp;LEFT(_xlpm.p,3)&amp;") "&amp;MID(_xlpm.p,4,3)&amp;"-"&amp;RIGHT(_xlpm.p,4),"")
       )
     )</f>
        <v>(969) 051-5025</v>
      </c>
      <c r="L568" t="str">
        <f>TRIM(Employee_dataset[[#This Row],[Performance_Score]])</f>
        <v>Excellent</v>
      </c>
      <c r="M568" t="str">
        <f>TRIM(Employee_dataset[[#This Row],[Remote_Work]])</f>
        <v>FALSE</v>
      </c>
    </row>
    <row r="569" spans="1:13" x14ac:dyDescent="0.3">
      <c r="A569" t="str">
        <f>TRIM(Employee_dataset[[#This Row],[Employee_ID]])</f>
        <v>EMP1567</v>
      </c>
      <c r="B569" t="str">
        <f>PROPER(TRIM(Employee_dataset[[#This Row],[First_Name]]))</f>
        <v>David</v>
      </c>
      <c r="C569" t="str">
        <f>PROPER(TRIM(Employee_dataset[[#This Row],[Last_Name]]))</f>
        <v>Garcia</v>
      </c>
      <c r="D569" s="6" t="str">
        <f>_xlfn.LET(
     _xlpm.a, TRIM(Employee_dataset[[#This Row],[Age]]),
     IF(
        _xlpm.a="","",
        IF(
           AND(ISNUMBER(--_xlpm.a),LEN(_xlpm.a)=2),_xlpm.a,""
          )
       )
    )</f>
        <v>30</v>
      </c>
      <c r="E569" t="str">
        <f>TRIM(_xlfn.TEXTBEFORE(Employee_dataset[[#This Row],[Department_Region]],"-"))</f>
        <v>HR</v>
      </c>
      <c r="F569" t="str">
        <f>TRIM(_xlfn.TEXTAFTER(Employee_dataset[[#This Row],[Department_Region]],"-"))</f>
        <v>Florida</v>
      </c>
      <c r="G569" t="str">
        <f>TRIM(Employee_dataset[[#This Row],[Status]])</f>
        <v>Active</v>
      </c>
      <c r="H569" s="1">
        <f>_xlfn.LET(
     _xlpm.d, Employee_dataset[[#This Row],[Join_Date]],
     IF(
        ISNUMBER(_xlpm.d),_xlpm.d,""
       )
    )</f>
        <v>45229</v>
      </c>
      <c r="I569" s="6">
        <f>_xlfn.LET(
     _xlpm.s, TRIM(Employee_dataset[[#This Row],[Salary]]),
     IF(
        UPPER(_xlpm.s)="N/A","",
        IF(
           ISNUMBER(--_xlpm.s),ROUND(_xlfn.NUMBERVALUE(_xlpm.s),2),""
          )
       )
    )</f>
        <v>55212.83</v>
      </c>
      <c r="J569" t="str">
        <f>TRIM(Employee_dataset[[#This Row],[Email]])</f>
        <v>david.garcia@example.com</v>
      </c>
      <c r="K569" t="str">
        <f>_xlfn.LET(
     _xlpm.p,TRIM(SUBSTITUTE(Employee_dataset[[#This Row],[Phone]],"-","")),
     IF(
        LEN(_xlpm.p)=10,_xlfn.CONCAT("("&amp;LEFT(_xlpm.p,3)&amp;") "&amp;MID(_xlpm.p,4,3)&amp;"-"&amp;RIGHT(_xlpm.p,4),"")
       )
     )</f>
        <v>(755) 125-4277</v>
      </c>
      <c r="L569" t="str">
        <f>TRIM(Employee_dataset[[#This Row],[Performance_Score]])</f>
        <v>Excellent</v>
      </c>
      <c r="M569" t="str">
        <f>TRIM(Employee_dataset[[#This Row],[Remote_Work]])</f>
        <v>TRUE</v>
      </c>
    </row>
    <row r="570" spans="1:13" x14ac:dyDescent="0.3">
      <c r="A570" t="str">
        <f>TRIM(Employee_dataset[[#This Row],[Employee_ID]])</f>
        <v>EMP1568</v>
      </c>
      <c r="B570" t="str">
        <f>PROPER(TRIM(Employee_dataset[[#This Row],[First_Name]]))</f>
        <v>Bob</v>
      </c>
      <c r="C570" t="str">
        <f>PROPER(TRIM(Employee_dataset[[#This Row],[Last_Name]]))</f>
        <v>Davis</v>
      </c>
      <c r="D570" s="6" t="str">
        <f>_xlfn.LET(
     _xlpm.a, TRIM(Employee_dataset[[#This Row],[Age]]),
     IF(
        _xlpm.a="","",
        IF(
           AND(ISNUMBER(--_xlpm.a),LEN(_xlpm.a)=2),_xlpm.a,""
          )
       )
    )</f>
        <v>40</v>
      </c>
      <c r="E570" t="str">
        <f>TRIM(_xlfn.TEXTBEFORE(Employee_dataset[[#This Row],[Department_Region]],"-"))</f>
        <v>Cloud Tech</v>
      </c>
      <c r="F570" t="str">
        <f>TRIM(_xlfn.TEXTAFTER(Employee_dataset[[#This Row],[Department_Region]],"-"))</f>
        <v>Florida</v>
      </c>
      <c r="G570" t="str">
        <f>TRIM(Employee_dataset[[#This Row],[Status]])</f>
        <v>Inactive</v>
      </c>
      <c r="H570" s="1">
        <f>_xlfn.LET(
     _xlpm.d, Employee_dataset[[#This Row],[Join_Date]],
     IF(
        ISNUMBER(_xlpm.d),_xlpm.d,""
       )
    )</f>
        <v>44970</v>
      </c>
      <c r="I570" s="6">
        <f>_xlfn.LET(
     _xlpm.s, TRIM(Employee_dataset[[#This Row],[Salary]]),
     IF(
        UPPER(_xlpm.s)="N/A","",
        IF(
           ISNUMBER(--_xlpm.s),ROUND(_xlfn.NUMBERVALUE(_xlpm.s),2),""
          )
       )
    )</f>
        <v>68496.77</v>
      </c>
      <c r="J570" t="str">
        <f>TRIM(Employee_dataset[[#This Row],[Email]])</f>
        <v>bob.davis@example.com</v>
      </c>
      <c r="K570" t="str">
        <f>_xlfn.LET(
     _xlpm.p,TRIM(SUBSTITUTE(Employee_dataset[[#This Row],[Phone]],"-","")),
     IF(
        LEN(_xlpm.p)=10,_xlfn.CONCAT("("&amp;LEFT(_xlpm.p,3)&amp;") "&amp;MID(_xlpm.p,4,3)&amp;"-"&amp;RIGHT(_xlpm.p,4),"")
       )
     )</f>
        <v>(207) 979-9666</v>
      </c>
      <c r="L570" t="str">
        <f>TRIM(Employee_dataset[[#This Row],[Performance_Score]])</f>
        <v>Average</v>
      </c>
      <c r="M570" t="str">
        <f>TRIM(Employee_dataset[[#This Row],[Remote_Work]])</f>
        <v>FALSE</v>
      </c>
    </row>
    <row r="571" spans="1:13" x14ac:dyDescent="0.3">
      <c r="A571" t="str">
        <f>TRIM(Employee_dataset[[#This Row],[Employee_ID]])</f>
        <v>EMP1569</v>
      </c>
      <c r="B571" t="str">
        <f>PROPER(TRIM(Employee_dataset[[#This Row],[First_Name]]))</f>
        <v>Eva</v>
      </c>
      <c r="C571" t="str">
        <f>PROPER(TRIM(Employee_dataset[[#This Row],[Last_Name]]))</f>
        <v>Davis</v>
      </c>
      <c r="D571" s="6" t="str">
        <f>_xlfn.LET(
     _xlpm.a, TRIM(Employee_dataset[[#This Row],[Age]]),
     IF(
        _xlpm.a="","",
        IF(
           AND(ISNUMBER(--_xlpm.a),LEN(_xlpm.a)=2),_xlpm.a,""
          )
       )
    )</f>
        <v>25</v>
      </c>
      <c r="E571" t="str">
        <f>TRIM(_xlfn.TEXTBEFORE(Employee_dataset[[#This Row],[Department_Region]],"-"))</f>
        <v>HR</v>
      </c>
      <c r="F571" t="str">
        <f>TRIM(_xlfn.TEXTAFTER(Employee_dataset[[#This Row],[Department_Region]],"-"))</f>
        <v>Florida</v>
      </c>
      <c r="G571" t="str">
        <f>TRIM(Employee_dataset[[#This Row],[Status]])</f>
        <v>Pending</v>
      </c>
      <c r="H571" s="1">
        <f>_xlfn.LET(
     _xlpm.d, Employee_dataset[[#This Row],[Join_Date]],
     IF(
        ISNUMBER(_xlpm.d),_xlpm.d,""
       )
    )</f>
        <v>44148</v>
      </c>
      <c r="I571" s="6">
        <f>_xlfn.LET(
     _xlpm.s, TRIM(Employee_dataset[[#This Row],[Salary]]),
     IF(
        UPPER(_xlpm.s)="N/A","",
        IF(
           ISNUMBER(--_xlpm.s),ROUND(_xlfn.NUMBERVALUE(_xlpm.s),2),""
          )
       )
    )</f>
        <v>52795.839999999997</v>
      </c>
      <c r="J571" t="str">
        <f>TRIM(Employee_dataset[[#This Row],[Email]])</f>
        <v>eva.davis@example.com</v>
      </c>
      <c r="K571" t="str">
        <f>_xlfn.LET(
     _xlpm.p,TRIM(SUBSTITUTE(Employee_dataset[[#This Row],[Phone]],"-","")),
     IF(
        LEN(_xlpm.p)=10,_xlfn.CONCAT("("&amp;LEFT(_xlpm.p,3)&amp;") "&amp;MID(_xlpm.p,4,3)&amp;"-"&amp;RIGHT(_xlpm.p,4),"")
       )
     )</f>
        <v>(345) 957-6402</v>
      </c>
      <c r="L571" t="str">
        <f>TRIM(Employee_dataset[[#This Row],[Performance_Score]])</f>
        <v>Poor</v>
      </c>
      <c r="M571" t="str">
        <f>TRIM(Employee_dataset[[#This Row],[Remote_Work]])</f>
        <v>FALSE</v>
      </c>
    </row>
    <row r="572" spans="1:13" x14ac:dyDescent="0.3">
      <c r="A572" t="str">
        <f>TRIM(Employee_dataset[[#This Row],[Employee_ID]])</f>
        <v>EMP1570</v>
      </c>
      <c r="B572" t="str">
        <f>PROPER(TRIM(Employee_dataset[[#This Row],[First_Name]]))</f>
        <v>Alice</v>
      </c>
      <c r="C572" t="str">
        <f>PROPER(TRIM(Employee_dataset[[#This Row],[Last_Name]]))</f>
        <v>Miller</v>
      </c>
      <c r="D572" s="6" t="str">
        <f>_xlfn.LET(
     _xlpm.a, TRIM(Employee_dataset[[#This Row],[Age]]),
     IF(
        _xlpm.a="","",
        IF(
           AND(ISNUMBER(--_xlpm.a),LEN(_xlpm.a)=2),_xlpm.a,""
          )
       )
    )</f>
        <v/>
      </c>
      <c r="E572" t="str">
        <f>TRIM(_xlfn.TEXTBEFORE(Employee_dataset[[#This Row],[Department_Region]],"-"))</f>
        <v>DevOps</v>
      </c>
      <c r="F572" t="str">
        <f>TRIM(_xlfn.TEXTAFTER(Employee_dataset[[#This Row],[Department_Region]],"-"))</f>
        <v>California</v>
      </c>
      <c r="G572" t="str">
        <f>TRIM(Employee_dataset[[#This Row],[Status]])</f>
        <v>Inactive</v>
      </c>
      <c r="H572" s="1">
        <f>_xlfn.LET(
     _xlpm.d, Employee_dataset[[#This Row],[Join_Date]],
     IF(
        ISNUMBER(_xlpm.d),_xlpm.d,""
       )
    )</f>
        <v>45448</v>
      </c>
      <c r="I572" s="6">
        <f>_xlfn.LET(
     _xlpm.s, TRIM(Employee_dataset[[#This Row],[Salary]]),
     IF(
        UPPER(_xlpm.s)="N/A","",
        IF(
           ISNUMBER(--_xlpm.s),ROUND(_xlfn.NUMBERVALUE(_xlpm.s),2),""
          )
       )
    )</f>
        <v>90087.39</v>
      </c>
      <c r="J572" t="str">
        <f>TRIM(Employee_dataset[[#This Row],[Email]])</f>
        <v>alice.miller@example.com</v>
      </c>
      <c r="K572" t="str">
        <f>_xlfn.LET(
     _xlpm.p,TRIM(SUBSTITUTE(Employee_dataset[[#This Row],[Phone]],"-","")),
     IF(
        LEN(_xlpm.p)=10,_xlfn.CONCAT("("&amp;LEFT(_xlpm.p,3)&amp;") "&amp;MID(_xlpm.p,4,3)&amp;"-"&amp;RIGHT(_xlpm.p,4),"")
       )
     )</f>
        <v>(816) 649-6901</v>
      </c>
      <c r="L572" t="str">
        <f>TRIM(Employee_dataset[[#This Row],[Performance_Score]])</f>
        <v>Poor</v>
      </c>
      <c r="M572" t="str">
        <f>TRIM(Employee_dataset[[#This Row],[Remote_Work]])</f>
        <v>FALSE</v>
      </c>
    </row>
    <row r="573" spans="1:13" x14ac:dyDescent="0.3">
      <c r="A573" t="str">
        <f>TRIM(Employee_dataset[[#This Row],[Employee_ID]])</f>
        <v>EMP1571</v>
      </c>
      <c r="B573" t="str">
        <f>PROPER(TRIM(Employee_dataset[[#This Row],[First_Name]]))</f>
        <v>Frank</v>
      </c>
      <c r="C573" t="str">
        <f>PROPER(TRIM(Employee_dataset[[#This Row],[Last_Name]]))</f>
        <v>Williams</v>
      </c>
      <c r="D573" s="6" t="str">
        <f>_xlfn.LET(
     _xlpm.a, TRIM(Employee_dataset[[#This Row],[Age]]),
     IF(
        _xlpm.a="","",
        IF(
           AND(ISNUMBER(--_xlpm.a),LEN(_xlpm.a)=2),_xlpm.a,""
          )
       )
    )</f>
        <v/>
      </c>
      <c r="E573" t="str">
        <f>TRIM(_xlfn.TEXTBEFORE(Employee_dataset[[#This Row],[Department_Region]],"-"))</f>
        <v>Admin</v>
      </c>
      <c r="F573" t="str">
        <f>TRIM(_xlfn.TEXTAFTER(Employee_dataset[[#This Row],[Department_Region]],"-"))</f>
        <v>New York</v>
      </c>
      <c r="G573" t="str">
        <f>TRIM(Employee_dataset[[#This Row],[Status]])</f>
        <v>Pending</v>
      </c>
      <c r="H573" s="1">
        <f>_xlfn.LET(
     _xlpm.d, Employee_dataset[[#This Row],[Join_Date]],
     IF(
        ISNUMBER(_xlpm.d),_xlpm.d,""
       )
    )</f>
        <v>43970</v>
      </c>
      <c r="I573" s="6">
        <f>_xlfn.LET(
     _xlpm.s, TRIM(Employee_dataset[[#This Row],[Salary]]),
     IF(
        UPPER(_xlpm.s)="N/A","",
        IF(
           ISNUMBER(--_xlpm.s),ROUND(_xlfn.NUMBERVALUE(_xlpm.s),2),""
          )
       )
    )</f>
        <v>105038.08</v>
      </c>
      <c r="J573" t="str">
        <f>TRIM(Employee_dataset[[#This Row],[Email]])</f>
        <v>frank.williams@example.com</v>
      </c>
      <c r="K573" t="str">
        <f>_xlfn.LET(
     _xlpm.p,TRIM(SUBSTITUTE(Employee_dataset[[#This Row],[Phone]],"-","")),
     IF(
        LEN(_xlpm.p)=10,_xlfn.CONCAT("("&amp;LEFT(_xlpm.p,3)&amp;") "&amp;MID(_xlpm.p,4,3)&amp;"-"&amp;RIGHT(_xlpm.p,4),"")
       )
     )</f>
        <v>(824) 983-9224</v>
      </c>
      <c r="L573" t="str">
        <f>TRIM(Employee_dataset[[#This Row],[Performance_Score]])</f>
        <v>Average</v>
      </c>
      <c r="M573" t="str">
        <f>TRIM(Employee_dataset[[#This Row],[Remote_Work]])</f>
        <v>FALSE</v>
      </c>
    </row>
    <row r="574" spans="1:13" x14ac:dyDescent="0.3">
      <c r="A574" t="str">
        <f>TRIM(Employee_dataset[[#This Row],[Employee_ID]])</f>
        <v>EMP1572</v>
      </c>
      <c r="B574" t="str">
        <f>PROPER(TRIM(Employee_dataset[[#This Row],[First_Name]]))</f>
        <v>Grace</v>
      </c>
      <c r="C574" t="str">
        <f>PROPER(TRIM(Employee_dataset[[#This Row],[Last_Name]]))</f>
        <v>Smith</v>
      </c>
      <c r="D574" s="6" t="str">
        <f>_xlfn.LET(
     _xlpm.a, TRIM(Employee_dataset[[#This Row],[Age]]),
     IF(
        _xlpm.a="","",
        IF(
           AND(ISNUMBER(--_xlpm.a),LEN(_xlpm.a)=2),_xlpm.a,""
          )
       )
    )</f>
        <v>25</v>
      </c>
      <c r="E574" t="str">
        <f>TRIM(_xlfn.TEXTBEFORE(Employee_dataset[[#This Row],[Department_Region]],"-"))</f>
        <v>HR</v>
      </c>
      <c r="F574" t="str">
        <f>TRIM(_xlfn.TEXTAFTER(Employee_dataset[[#This Row],[Department_Region]],"-"))</f>
        <v>New York</v>
      </c>
      <c r="G574" t="str">
        <f>TRIM(Employee_dataset[[#This Row],[Status]])</f>
        <v>Active</v>
      </c>
      <c r="H574" s="1">
        <f>_xlfn.LET(
     _xlpm.d, Employee_dataset[[#This Row],[Join_Date]],
     IF(
        ISNUMBER(_xlpm.d),_xlpm.d,""
       )
    )</f>
        <v>45189</v>
      </c>
      <c r="I574" s="6">
        <f>_xlfn.LET(
     _xlpm.s, TRIM(Employee_dataset[[#This Row],[Salary]]),
     IF(
        UPPER(_xlpm.s)="N/A","",
        IF(
           ISNUMBER(--_xlpm.s),ROUND(_xlfn.NUMBERVALUE(_xlpm.s),2),""
          )
       )
    )</f>
        <v>73231.850000000006</v>
      </c>
      <c r="J574" t="str">
        <f>TRIM(Employee_dataset[[#This Row],[Email]])</f>
        <v>grace.smith@example.com</v>
      </c>
      <c r="K574" t="b">
        <f>_xlfn.LET(
     _xlpm.p,TRIM(SUBSTITUTE(Employee_dataset[[#This Row],[Phone]],"-","")),
     IF(
        LEN(_xlpm.p)=10,_xlfn.CONCAT("("&amp;LEFT(_xlpm.p,3)&amp;") "&amp;MID(_xlpm.p,4,3)&amp;"-"&amp;RIGHT(_xlpm.p,4),"")
       )
     )</f>
        <v>0</v>
      </c>
      <c r="L574" t="str">
        <f>TRIM(Employee_dataset[[#This Row],[Performance_Score]])</f>
        <v>Poor</v>
      </c>
      <c r="M574" t="str">
        <f>TRIM(Employee_dataset[[#This Row],[Remote_Work]])</f>
        <v>FALSE</v>
      </c>
    </row>
    <row r="575" spans="1:13" x14ac:dyDescent="0.3">
      <c r="A575" t="str">
        <f>TRIM(Employee_dataset[[#This Row],[Employee_ID]])</f>
        <v>EMP1573</v>
      </c>
      <c r="B575" t="str">
        <f>PROPER(TRIM(Employee_dataset[[#This Row],[First_Name]]))</f>
        <v>David</v>
      </c>
      <c r="C575" t="str">
        <f>PROPER(TRIM(Employee_dataset[[#This Row],[Last_Name]]))</f>
        <v>Johnson</v>
      </c>
      <c r="D575" s="6" t="str">
        <f>_xlfn.LET(
     _xlpm.a, TRIM(Employee_dataset[[#This Row],[Age]]),
     IF(
        _xlpm.a="","",
        IF(
           AND(ISNUMBER(--_xlpm.a),LEN(_xlpm.a)=2),_xlpm.a,""
          )
       )
    )</f>
        <v/>
      </c>
      <c r="E575" t="str">
        <f>TRIM(_xlfn.TEXTBEFORE(Employee_dataset[[#This Row],[Department_Region]],"-"))</f>
        <v>Sales</v>
      </c>
      <c r="F575" t="str">
        <f>TRIM(_xlfn.TEXTAFTER(Employee_dataset[[#This Row],[Department_Region]],"-"))</f>
        <v>Florida</v>
      </c>
      <c r="G575" t="str">
        <f>TRIM(Employee_dataset[[#This Row],[Status]])</f>
        <v>Pending</v>
      </c>
      <c r="H575" s="1">
        <f>_xlfn.LET(
     _xlpm.d, Employee_dataset[[#This Row],[Join_Date]],
     IF(
        ISNUMBER(_xlpm.d),_xlpm.d,""
       )
    )</f>
        <v>45517</v>
      </c>
      <c r="I575" s="6">
        <f>_xlfn.LET(
     _xlpm.s, TRIM(Employee_dataset[[#This Row],[Salary]]),
     IF(
        UPPER(_xlpm.s)="N/A","",
        IF(
           ISNUMBER(--_xlpm.s),ROUND(_xlfn.NUMBERVALUE(_xlpm.s),2),""
          )
       )
    )</f>
        <v>102649.36</v>
      </c>
      <c r="J575" t="str">
        <f>TRIM(Employee_dataset[[#This Row],[Email]])</f>
        <v>david.johnson@example.com</v>
      </c>
      <c r="K575" t="str">
        <f>_xlfn.LET(
     _xlpm.p,TRIM(SUBSTITUTE(Employee_dataset[[#This Row],[Phone]],"-","")),
     IF(
        LEN(_xlpm.p)=10,_xlfn.CONCAT("("&amp;LEFT(_xlpm.p,3)&amp;") "&amp;MID(_xlpm.p,4,3)&amp;"-"&amp;RIGHT(_xlpm.p,4),"")
       )
     )</f>
        <v>(232) 441-2335</v>
      </c>
      <c r="L575" t="str">
        <f>TRIM(Employee_dataset[[#This Row],[Performance_Score]])</f>
        <v>Poor</v>
      </c>
      <c r="M575" t="str">
        <f>TRIM(Employee_dataset[[#This Row],[Remote_Work]])</f>
        <v>FALSE</v>
      </c>
    </row>
    <row r="576" spans="1:13" x14ac:dyDescent="0.3">
      <c r="A576" t="str">
        <f>TRIM(Employee_dataset[[#This Row],[Employee_ID]])</f>
        <v>EMP1574</v>
      </c>
      <c r="B576" t="str">
        <f>PROPER(TRIM(Employee_dataset[[#This Row],[First_Name]]))</f>
        <v>Bob</v>
      </c>
      <c r="C576" t="str">
        <f>PROPER(TRIM(Employee_dataset[[#This Row],[Last_Name]]))</f>
        <v>Davis</v>
      </c>
      <c r="D576" s="6" t="str">
        <f>_xlfn.LET(
     _xlpm.a, TRIM(Employee_dataset[[#This Row],[Age]]),
     IF(
        _xlpm.a="","",
        IF(
           AND(ISNUMBER(--_xlpm.a),LEN(_xlpm.a)=2),_xlpm.a,""
          )
       )
    )</f>
        <v>35</v>
      </c>
      <c r="E576" t="str">
        <f>TRIM(_xlfn.TEXTBEFORE(Employee_dataset[[#This Row],[Department_Region]],"-"))</f>
        <v>Finance</v>
      </c>
      <c r="F576" t="str">
        <f>TRIM(_xlfn.TEXTAFTER(Employee_dataset[[#This Row],[Department_Region]],"-"))</f>
        <v>New York</v>
      </c>
      <c r="G576" t="str">
        <f>TRIM(Employee_dataset[[#This Row],[Status]])</f>
        <v>Pending</v>
      </c>
      <c r="H576" s="1">
        <f>_xlfn.LET(
     _xlpm.d, Employee_dataset[[#This Row],[Join_Date]],
     IF(
        ISNUMBER(_xlpm.d),_xlpm.d,""
       )
    )</f>
        <v>45087</v>
      </c>
      <c r="I576" s="6">
        <f>_xlfn.LET(
     _xlpm.s, TRIM(Employee_dataset[[#This Row],[Salary]]),
     IF(
        UPPER(_xlpm.s)="N/A","",
        IF(
           ISNUMBER(--_xlpm.s),ROUND(_xlfn.NUMBERVALUE(_xlpm.s),2),""
          )
       )
    )</f>
        <v>114302.51</v>
      </c>
      <c r="J576" t="str">
        <f>TRIM(Employee_dataset[[#This Row],[Email]])</f>
        <v>bob.davis@example.com</v>
      </c>
      <c r="K576" t="str">
        <f>_xlfn.LET(
     _xlpm.p,TRIM(SUBSTITUTE(Employee_dataset[[#This Row],[Phone]],"-","")),
     IF(
        LEN(_xlpm.p)=10,_xlfn.CONCAT("("&amp;LEFT(_xlpm.p,3)&amp;") "&amp;MID(_xlpm.p,4,3)&amp;"-"&amp;RIGHT(_xlpm.p,4),"")
       )
     )</f>
        <v>(132) 850-7250</v>
      </c>
      <c r="L576" t="str">
        <f>TRIM(Employee_dataset[[#This Row],[Performance_Score]])</f>
        <v>Poor</v>
      </c>
      <c r="M576" t="str">
        <f>TRIM(Employee_dataset[[#This Row],[Remote_Work]])</f>
        <v>FALSE</v>
      </c>
    </row>
    <row r="577" spans="1:13" x14ac:dyDescent="0.3">
      <c r="A577" t="str">
        <f>TRIM(Employee_dataset[[#This Row],[Employee_ID]])</f>
        <v>EMP1575</v>
      </c>
      <c r="B577" t="str">
        <f>PROPER(TRIM(Employee_dataset[[#This Row],[First_Name]]))</f>
        <v>Alice</v>
      </c>
      <c r="C577" t="str">
        <f>PROPER(TRIM(Employee_dataset[[#This Row],[Last_Name]]))</f>
        <v>Miller</v>
      </c>
      <c r="D577" s="6" t="str">
        <f>_xlfn.LET(
     _xlpm.a, TRIM(Employee_dataset[[#This Row],[Age]]),
     IF(
        _xlpm.a="","",
        IF(
           AND(ISNUMBER(--_xlpm.a),LEN(_xlpm.a)=2),_xlpm.a,""
          )
       )
    )</f>
        <v>35</v>
      </c>
      <c r="E577" t="str">
        <f>TRIM(_xlfn.TEXTBEFORE(Employee_dataset[[#This Row],[Department_Region]],"-"))</f>
        <v>Finance</v>
      </c>
      <c r="F577" t="str">
        <f>TRIM(_xlfn.TEXTAFTER(Employee_dataset[[#This Row],[Department_Region]],"-"))</f>
        <v>Texas</v>
      </c>
      <c r="G577" t="str">
        <f>TRIM(Employee_dataset[[#This Row],[Status]])</f>
        <v>Inactive</v>
      </c>
      <c r="H577" s="1">
        <f>_xlfn.LET(
     _xlpm.d, Employee_dataset[[#This Row],[Join_Date]],
     IF(
        ISNUMBER(_xlpm.d),_xlpm.d,""
       )
    )</f>
        <v>44356</v>
      </c>
      <c r="I577" s="6">
        <f>_xlfn.LET(
     _xlpm.s, TRIM(Employee_dataset[[#This Row],[Salary]]),
     IF(
        UPPER(_xlpm.s)="N/A","",
        IF(
           ISNUMBER(--_xlpm.s),ROUND(_xlfn.NUMBERVALUE(_xlpm.s),2),""
          )
       )
    )</f>
        <v>87816.61</v>
      </c>
      <c r="J577" t="str">
        <f>TRIM(Employee_dataset[[#This Row],[Email]])</f>
        <v>alice.miller@example.com</v>
      </c>
      <c r="K577" t="str">
        <f>_xlfn.LET(
     _xlpm.p,TRIM(SUBSTITUTE(Employee_dataset[[#This Row],[Phone]],"-","")),
     IF(
        LEN(_xlpm.p)=10,_xlfn.CONCAT("("&amp;LEFT(_xlpm.p,3)&amp;") "&amp;MID(_xlpm.p,4,3)&amp;"-"&amp;RIGHT(_xlpm.p,4),"")
       )
     )</f>
        <v>(786) 376-7315</v>
      </c>
      <c r="L577" t="str">
        <f>TRIM(Employee_dataset[[#This Row],[Performance_Score]])</f>
        <v>Poor</v>
      </c>
      <c r="M577" t="str">
        <f>TRIM(Employee_dataset[[#This Row],[Remote_Work]])</f>
        <v>FALSE</v>
      </c>
    </row>
    <row r="578" spans="1:13" x14ac:dyDescent="0.3">
      <c r="A578" t="str">
        <f>TRIM(Employee_dataset[[#This Row],[Employee_ID]])</f>
        <v>EMP1576</v>
      </c>
      <c r="B578" t="str">
        <f>PROPER(TRIM(Employee_dataset[[#This Row],[First_Name]]))</f>
        <v>Frank</v>
      </c>
      <c r="C578" t="str">
        <f>PROPER(TRIM(Employee_dataset[[#This Row],[Last_Name]]))</f>
        <v>Jones</v>
      </c>
      <c r="D578" s="6" t="str">
        <f>_xlfn.LET(
     _xlpm.a, TRIM(Employee_dataset[[#This Row],[Age]]),
     IF(
        _xlpm.a="","",
        IF(
           AND(ISNUMBER(--_xlpm.a),LEN(_xlpm.a)=2),_xlpm.a,""
          )
       )
    )</f>
        <v/>
      </c>
      <c r="E578" t="str">
        <f>TRIM(_xlfn.TEXTBEFORE(Employee_dataset[[#This Row],[Department_Region]],"-"))</f>
        <v>Sales</v>
      </c>
      <c r="F578" t="str">
        <f>TRIM(_xlfn.TEXTAFTER(Employee_dataset[[#This Row],[Department_Region]],"-"))</f>
        <v>Florida</v>
      </c>
      <c r="G578" t="str">
        <f>TRIM(Employee_dataset[[#This Row],[Status]])</f>
        <v>Inactive</v>
      </c>
      <c r="H578" s="1">
        <f>_xlfn.LET(
     _xlpm.d, Employee_dataset[[#This Row],[Join_Date]],
     IF(
        ISNUMBER(_xlpm.d),_xlpm.d,""
       )
    )</f>
        <v>43920</v>
      </c>
      <c r="I578" s="6">
        <f>_xlfn.LET(
     _xlpm.s, TRIM(Employee_dataset[[#This Row],[Salary]]),
     IF(
        UPPER(_xlpm.s)="N/A","",
        IF(
           ISNUMBER(--_xlpm.s),ROUND(_xlfn.NUMBERVALUE(_xlpm.s),2),""
          )
       )
    )</f>
        <v>70750.38</v>
      </c>
      <c r="J578" t="str">
        <f>TRIM(Employee_dataset[[#This Row],[Email]])</f>
        <v>frank.jones@example.com</v>
      </c>
      <c r="K578" t="str">
        <f>_xlfn.LET(
     _xlpm.p,TRIM(SUBSTITUTE(Employee_dataset[[#This Row],[Phone]],"-","")),
     IF(
        LEN(_xlpm.p)=10,_xlfn.CONCAT("("&amp;LEFT(_xlpm.p,3)&amp;") "&amp;MID(_xlpm.p,4,3)&amp;"-"&amp;RIGHT(_xlpm.p,4),"")
       )
     )</f>
        <v>(252) 654-6967</v>
      </c>
      <c r="L578" t="str">
        <f>TRIM(Employee_dataset[[#This Row],[Performance_Score]])</f>
        <v>Poor</v>
      </c>
      <c r="M578" t="str">
        <f>TRIM(Employee_dataset[[#This Row],[Remote_Work]])</f>
        <v>FALSE</v>
      </c>
    </row>
    <row r="579" spans="1:13" x14ac:dyDescent="0.3">
      <c r="A579" t="str">
        <f>TRIM(Employee_dataset[[#This Row],[Employee_ID]])</f>
        <v>EMP1577</v>
      </c>
      <c r="B579" t="str">
        <f>PROPER(TRIM(Employee_dataset[[#This Row],[First_Name]]))</f>
        <v>Frank</v>
      </c>
      <c r="C579" t="str">
        <f>PROPER(TRIM(Employee_dataset[[#This Row],[Last_Name]]))</f>
        <v>Miller</v>
      </c>
      <c r="D579" s="6" t="str">
        <f>_xlfn.LET(
     _xlpm.a, TRIM(Employee_dataset[[#This Row],[Age]]),
     IF(
        _xlpm.a="","",
        IF(
           AND(ISNUMBER(--_xlpm.a),LEN(_xlpm.a)=2),_xlpm.a,""
          )
       )
    )</f>
        <v/>
      </c>
      <c r="E579" t="str">
        <f>TRIM(_xlfn.TEXTBEFORE(Employee_dataset[[#This Row],[Department_Region]],"-"))</f>
        <v>Cloud Tech</v>
      </c>
      <c r="F579" t="str">
        <f>TRIM(_xlfn.TEXTAFTER(Employee_dataset[[#This Row],[Department_Region]],"-"))</f>
        <v>Texas</v>
      </c>
      <c r="G579" t="str">
        <f>TRIM(Employee_dataset[[#This Row],[Status]])</f>
        <v>Active</v>
      </c>
      <c r="H579" s="1">
        <f>_xlfn.LET(
     _xlpm.d, Employee_dataset[[#This Row],[Join_Date]],
     IF(
        ISNUMBER(_xlpm.d),_xlpm.d,""
       )
    )</f>
        <v>45414</v>
      </c>
      <c r="I579" s="6" t="str">
        <f>_xlfn.LET(
     _xlpm.s, TRIM(Employee_dataset[[#This Row],[Salary]]),
     IF(
        UPPER(_xlpm.s)="N/A","",
        IF(
           ISNUMBER(--_xlpm.s),ROUND(_xlfn.NUMBERVALUE(_xlpm.s),2),""
          )
       )
    )</f>
        <v/>
      </c>
      <c r="J579" t="str">
        <f>TRIM(Employee_dataset[[#This Row],[Email]])</f>
        <v>frank.miller@example.com</v>
      </c>
      <c r="K579" t="str">
        <f>_xlfn.LET(
     _xlpm.p,TRIM(SUBSTITUTE(Employee_dataset[[#This Row],[Phone]],"-","")),
     IF(
        LEN(_xlpm.p)=10,_xlfn.CONCAT("("&amp;LEFT(_xlpm.p,3)&amp;") "&amp;MID(_xlpm.p,4,3)&amp;"-"&amp;RIGHT(_xlpm.p,4),"")
       )
     )</f>
        <v>(157) 903-9234</v>
      </c>
      <c r="L579" t="str">
        <f>TRIM(Employee_dataset[[#This Row],[Performance_Score]])</f>
        <v>Excellent</v>
      </c>
      <c r="M579" t="str">
        <f>TRIM(Employee_dataset[[#This Row],[Remote_Work]])</f>
        <v>TRUE</v>
      </c>
    </row>
    <row r="580" spans="1:13" x14ac:dyDescent="0.3">
      <c r="A580" t="str">
        <f>TRIM(Employee_dataset[[#This Row],[Employee_ID]])</f>
        <v>EMP1578</v>
      </c>
      <c r="B580" t="str">
        <f>PROPER(TRIM(Employee_dataset[[#This Row],[First_Name]]))</f>
        <v>Bob</v>
      </c>
      <c r="C580" t="str">
        <f>PROPER(TRIM(Employee_dataset[[#This Row],[Last_Name]]))</f>
        <v>Johnson</v>
      </c>
      <c r="D580" s="6" t="str">
        <f>_xlfn.LET(
     _xlpm.a, TRIM(Employee_dataset[[#This Row],[Age]]),
     IF(
        _xlpm.a="","",
        IF(
           AND(ISNUMBER(--_xlpm.a),LEN(_xlpm.a)=2),_xlpm.a,""
          )
       )
    )</f>
        <v>30</v>
      </c>
      <c r="E580" t="str">
        <f>TRIM(_xlfn.TEXTBEFORE(Employee_dataset[[#This Row],[Department_Region]],"-"))</f>
        <v>DevOps</v>
      </c>
      <c r="F580" t="str">
        <f>TRIM(_xlfn.TEXTAFTER(Employee_dataset[[#This Row],[Department_Region]],"-"))</f>
        <v>Nevada</v>
      </c>
      <c r="G580" t="str">
        <f>TRIM(Employee_dataset[[#This Row],[Status]])</f>
        <v>Active</v>
      </c>
      <c r="H580" s="1">
        <f>_xlfn.LET(
     _xlpm.d, Employee_dataset[[#This Row],[Join_Date]],
     IF(
        ISNUMBER(_xlpm.d),_xlpm.d,""
       )
    )</f>
        <v>45602</v>
      </c>
      <c r="I580" s="6">
        <f>_xlfn.LET(
     _xlpm.s, TRIM(Employee_dataset[[#This Row],[Salary]]),
     IF(
        UPPER(_xlpm.s)="N/A","",
        IF(
           ISNUMBER(--_xlpm.s),ROUND(_xlfn.NUMBERVALUE(_xlpm.s),2),""
          )
       )
    )</f>
        <v>97978.36</v>
      </c>
      <c r="J580" t="str">
        <f>TRIM(Employee_dataset[[#This Row],[Email]])</f>
        <v>bob.johnson@example.com</v>
      </c>
      <c r="K580" t="str">
        <f>_xlfn.LET(
     _xlpm.p,TRIM(SUBSTITUTE(Employee_dataset[[#This Row],[Phone]],"-","")),
     IF(
        LEN(_xlpm.p)=10,_xlfn.CONCAT("("&amp;LEFT(_xlpm.p,3)&amp;") "&amp;MID(_xlpm.p,4,3)&amp;"-"&amp;RIGHT(_xlpm.p,4),"")
       )
     )</f>
        <v>(558) 099-6131</v>
      </c>
      <c r="L580" t="str">
        <f>TRIM(Employee_dataset[[#This Row],[Performance_Score]])</f>
        <v>Poor</v>
      </c>
      <c r="M580" t="str">
        <f>TRIM(Employee_dataset[[#This Row],[Remote_Work]])</f>
        <v>TRUE</v>
      </c>
    </row>
    <row r="581" spans="1:13" x14ac:dyDescent="0.3">
      <c r="A581" t="str">
        <f>TRIM(Employee_dataset[[#This Row],[Employee_ID]])</f>
        <v>EMP1579</v>
      </c>
      <c r="B581" t="str">
        <f>PROPER(TRIM(Employee_dataset[[#This Row],[First_Name]]))</f>
        <v>David</v>
      </c>
      <c r="C581" t="str">
        <f>PROPER(TRIM(Employee_dataset[[#This Row],[Last_Name]]))</f>
        <v>Johnson</v>
      </c>
      <c r="D581" s="6" t="str">
        <f>_xlfn.LET(
     _xlpm.a, TRIM(Employee_dataset[[#This Row],[Age]]),
     IF(
        _xlpm.a="","",
        IF(
           AND(ISNUMBER(--_xlpm.a),LEN(_xlpm.a)=2),_xlpm.a,""
          )
       )
    )</f>
        <v/>
      </c>
      <c r="E581" t="str">
        <f>TRIM(_xlfn.TEXTBEFORE(Employee_dataset[[#This Row],[Department_Region]],"-"))</f>
        <v>DevOps</v>
      </c>
      <c r="F581" t="str">
        <f>TRIM(_xlfn.TEXTAFTER(Employee_dataset[[#This Row],[Department_Region]],"-"))</f>
        <v>Nevada</v>
      </c>
      <c r="G581" t="str">
        <f>TRIM(Employee_dataset[[#This Row],[Status]])</f>
        <v>Inactive</v>
      </c>
      <c r="H581" s="1">
        <f>_xlfn.LET(
     _xlpm.d, Employee_dataset[[#This Row],[Join_Date]],
     IF(
        ISNUMBER(_xlpm.d),_xlpm.d,""
       )
    )</f>
        <v>45155</v>
      </c>
      <c r="I581" s="6">
        <f>_xlfn.LET(
     _xlpm.s, TRIM(Employee_dataset[[#This Row],[Salary]]),
     IF(
        UPPER(_xlpm.s)="N/A","",
        IF(
           ISNUMBER(--_xlpm.s),ROUND(_xlfn.NUMBERVALUE(_xlpm.s),2),""
          )
       )
    )</f>
        <v>107172.8</v>
      </c>
      <c r="J581" t="str">
        <f>TRIM(Employee_dataset[[#This Row],[Email]])</f>
        <v>david.johnson@example.com</v>
      </c>
      <c r="K581" t="str">
        <f>_xlfn.LET(
     _xlpm.p,TRIM(SUBSTITUTE(Employee_dataset[[#This Row],[Phone]],"-","")),
     IF(
        LEN(_xlpm.p)=10,_xlfn.CONCAT("("&amp;LEFT(_xlpm.p,3)&amp;") "&amp;MID(_xlpm.p,4,3)&amp;"-"&amp;RIGHT(_xlpm.p,4),"")
       )
     )</f>
        <v>(730) 346-1561</v>
      </c>
      <c r="L581" t="str">
        <f>TRIM(Employee_dataset[[#This Row],[Performance_Score]])</f>
        <v>Excellent</v>
      </c>
      <c r="M581" t="str">
        <f>TRIM(Employee_dataset[[#This Row],[Remote_Work]])</f>
        <v>TRUE</v>
      </c>
    </row>
    <row r="582" spans="1:13" x14ac:dyDescent="0.3">
      <c r="A582" t="str">
        <f>TRIM(Employee_dataset[[#This Row],[Employee_ID]])</f>
        <v>EMP1580</v>
      </c>
      <c r="B582" t="str">
        <f>PROPER(TRIM(Employee_dataset[[#This Row],[First_Name]]))</f>
        <v>Charlie</v>
      </c>
      <c r="C582" t="str">
        <f>PROPER(TRIM(Employee_dataset[[#This Row],[Last_Name]]))</f>
        <v>Miller</v>
      </c>
      <c r="D582" s="6" t="str">
        <f>_xlfn.LET(
     _xlpm.a, TRIM(Employee_dataset[[#This Row],[Age]]),
     IF(
        _xlpm.a="","",
        IF(
           AND(ISNUMBER(--_xlpm.a),LEN(_xlpm.a)=2),_xlpm.a,""
          )
       )
    )</f>
        <v>25</v>
      </c>
      <c r="E582" t="str">
        <f>TRIM(_xlfn.TEXTBEFORE(Employee_dataset[[#This Row],[Department_Region]],"-"))</f>
        <v>Finance</v>
      </c>
      <c r="F582" t="str">
        <f>TRIM(_xlfn.TEXTAFTER(Employee_dataset[[#This Row],[Department_Region]],"-"))</f>
        <v>Nevada</v>
      </c>
      <c r="G582" t="str">
        <f>TRIM(Employee_dataset[[#This Row],[Status]])</f>
        <v>Inactive</v>
      </c>
      <c r="H582" s="1">
        <f>_xlfn.LET(
     _xlpm.d, Employee_dataset[[#This Row],[Join_Date]],
     IF(
        ISNUMBER(_xlpm.d),_xlpm.d,""
       )
    )</f>
        <v>43908</v>
      </c>
      <c r="I582" s="6">
        <f>_xlfn.LET(
     _xlpm.s, TRIM(Employee_dataset[[#This Row],[Salary]]),
     IF(
        UPPER(_xlpm.s)="N/A","",
        IF(
           ISNUMBER(--_xlpm.s),ROUND(_xlfn.NUMBERVALUE(_xlpm.s),2),""
          )
       )
    )</f>
        <v>56126.46</v>
      </c>
      <c r="J582" t="str">
        <f>TRIM(Employee_dataset[[#This Row],[Email]])</f>
        <v>charlie.miller@example.com</v>
      </c>
      <c r="K582" t="str">
        <f>_xlfn.LET(
     _xlpm.p,TRIM(SUBSTITUTE(Employee_dataset[[#This Row],[Phone]],"-","")),
     IF(
        LEN(_xlpm.p)=10,_xlfn.CONCAT("("&amp;LEFT(_xlpm.p,3)&amp;") "&amp;MID(_xlpm.p,4,3)&amp;"-"&amp;RIGHT(_xlpm.p,4),"")
       )
     )</f>
        <v>(624) 467-0461</v>
      </c>
      <c r="L582" t="str">
        <f>TRIM(Employee_dataset[[#This Row],[Performance_Score]])</f>
        <v>Poor</v>
      </c>
      <c r="M582" t="str">
        <f>TRIM(Employee_dataset[[#This Row],[Remote_Work]])</f>
        <v>TRUE</v>
      </c>
    </row>
    <row r="583" spans="1:13" x14ac:dyDescent="0.3">
      <c r="A583" t="str">
        <f>TRIM(Employee_dataset[[#This Row],[Employee_ID]])</f>
        <v>EMP1581</v>
      </c>
      <c r="B583" t="str">
        <f>PROPER(TRIM(Employee_dataset[[#This Row],[First_Name]]))</f>
        <v>Eva</v>
      </c>
      <c r="C583" t="str">
        <f>PROPER(TRIM(Employee_dataset[[#This Row],[Last_Name]]))</f>
        <v>Smith</v>
      </c>
      <c r="D583" s="6" t="str">
        <f>_xlfn.LET(
     _xlpm.a, TRIM(Employee_dataset[[#This Row],[Age]]),
     IF(
        _xlpm.a="","",
        IF(
           AND(ISNUMBER(--_xlpm.a),LEN(_xlpm.a)=2),_xlpm.a,""
          )
       )
    )</f>
        <v/>
      </c>
      <c r="E583" t="str">
        <f>TRIM(_xlfn.TEXTBEFORE(Employee_dataset[[#This Row],[Department_Region]],"-"))</f>
        <v>Cloud Tech</v>
      </c>
      <c r="F583" t="str">
        <f>TRIM(_xlfn.TEXTAFTER(Employee_dataset[[#This Row],[Department_Region]],"-"))</f>
        <v>Illinois</v>
      </c>
      <c r="G583" t="str">
        <f>TRIM(Employee_dataset[[#This Row],[Status]])</f>
        <v>Active</v>
      </c>
      <c r="H583" s="1">
        <f>_xlfn.LET(
     _xlpm.d, Employee_dataset[[#This Row],[Join_Date]],
     IF(
        ISNUMBER(_xlpm.d),_xlpm.d,""
       )
    )</f>
        <v>44360</v>
      </c>
      <c r="I583" s="6">
        <f>_xlfn.LET(
     _xlpm.s, TRIM(Employee_dataset[[#This Row],[Salary]]),
     IF(
        UPPER(_xlpm.s)="N/A","",
        IF(
           ISNUMBER(--_xlpm.s),ROUND(_xlfn.NUMBERVALUE(_xlpm.s),2),""
          )
       )
    )</f>
        <v>78534.289999999994</v>
      </c>
      <c r="J583" t="str">
        <f>TRIM(Employee_dataset[[#This Row],[Email]])</f>
        <v>eva.smith@example.com</v>
      </c>
      <c r="K583" t="str">
        <f>_xlfn.LET(
     _xlpm.p,TRIM(SUBSTITUTE(Employee_dataset[[#This Row],[Phone]],"-","")),
     IF(
        LEN(_xlpm.p)=10,_xlfn.CONCAT("("&amp;LEFT(_xlpm.p,3)&amp;") "&amp;MID(_xlpm.p,4,3)&amp;"-"&amp;RIGHT(_xlpm.p,4),"")
       )
     )</f>
        <v>(268) 171-5159</v>
      </c>
      <c r="L583" t="str">
        <f>TRIM(Employee_dataset[[#This Row],[Performance_Score]])</f>
        <v>Average</v>
      </c>
      <c r="M583" t="str">
        <f>TRIM(Employee_dataset[[#This Row],[Remote_Work]])</f>
        <v>TRUE</v>
      </c>
    </row>
    <row r="584" spans="1:13" x14ac:dyDescent="0.3">
      <c r="A584" t="str">
        <f>TRIM(Employee_dataset[[#This Row],[Employee_ID]])</f>
        <v>EMP1582</v>
      </c>
      <c r="B584" t="str">
        <f>PROPER(TRIM(Employee_dataset[[#This Row],[First_Name]]))</f>
        <v>Grace</v>
      </c>
      <c r="C584" t="str">
        <f>PROPER(TRIM(Employee_dataset[[#This Row],[Last_Name]]))</f>
        <v>Brown</v>
      </c>
      <c r="D584" s="6" t="str">
        <f>_xlfn.LET(
     _xlpm.a, TRIM(Employee_dataset[[#This Row],[Age]]),
     IF(
        _xlpm.a="","",
        IF(
           AND(ISNUMBER(--_xlpm.a),LEN(_xlpm.a)=2),_xlpm.a,""
          )
       )
    )</f>
        <v>40</v>
      </c>
      <c r="E584" t="str">
        <f>TRIM(_xlfn.TEXTBEFORE(Employee_dataset[[#This Row],[Department_Region]],"-"))</f>
        <v>HR</v>
      </c>
      <c r="F584" t="str">
        <f>TRIM(_xlfn.TEXTAFTER(Employee_dataset[[#This Row],[Department_Region]],"-"))</f>
        <v>Texas</v>
      </c>
      <c r="G584" t="str">
        <f>TRIM(Employee_dataset[[#This Row],[Status]])</f>
        <v>Inactive</v>
      </c>
      <c r="H584" s="1">
        <f>_xlfn.LET(
     _xlpm.d, Employee_dataset[[#This Row],[Join_Date]],
     IF(
        ISNUMBER(_xlpm.d),_xlpm.d,""
       )
    )</f>
        <v>45209</v>
      </c>
      <c r="I584" s="6" t="str">
        <f>_xlfn.LET(
     _xlpm.s, TRIM(Employee_dataset[[#This Row],[Salary]]),
     IF(
        UPPER(_xlpm.s)="N/A","",
        IF(
           ISNUMBER(--_xlpm.s),ROUND(_xlfn.NUMBERVALUE(_xlpm.s),2),""
          )
       )
    )</f>
        <v/>
      </c>
      <c r="J584" t="str">
        <f>TRIM(Employee_dataset[[#This Row],[Email]])</f>
        <v>grace.brown@example.com</v>
      </c>
      <c r="K584" t="str">
        <f>_xlfn.LET(
     _xlpm.p,TRIM(SUBSTITUTE(Employee_dataset[[#This Row],[Phone]],"-","")),
     IF(
        LEN(_xlpm.p)=10,_xlfn.CONCAT("("&amp;LEFT(_xlpm.p,3)&amp;") "&amp;MID(_xlpm.p,4,3)&amp;"-"&amp;RIGHT(_xlpm.p,4),"")
       )
     )</f>
        <v>(252) 986-7075</v>
      </c>
      <c r="L584" t="str">
        <f>TRIM(Employee_dataset[[#This Row],[Performance_Score]])</f>
        <v>Good</v>
      </c>
      <c r="M584" t="str">
        <f>TRIM(Employee_dataset[[#This Row],[Remote_Work]])</f>
        <v>FALSE</v>
      </c>
    </row>
    <row r="585" spans="1:13" x14ac:dyDescent="0.3">
      <c r="A585" t="str">
        <f>TRIM(Employee_dataset[[#This Row],[Employee_ID]])</f>
        <v>EMP1583</v>
      </c>
      <c r="B585" t="str">
        <f>PROPER(TRIM(Employee_dataset[[#This Row],[First_Name]]))</f>
        <v>Bob</v>
      </c>
      <c r="C585" t="str">
        <f>PROPER(TRIM(Employee_dataset[[#This Row],[Last_Name]]))</f>
        <v>Johnson</v>
      </c>
      <c r="D585" s="6" t="str">
        <f>_xlfn.LET(
     _xlpm.a, TRIM(Employee_dataset[[#This Row],[Age]]),
     IF(
        _xlpm.a="","",
        IF(
           AND(ISNUMBER(--_xlpm.a),LEN(_xlpm.a)=2),_xlpm.a,""
          )
       )
    )</f>
        <v/>
      </c>
      <c r="E585" t="str">
        <f>TRIM(_xlfn.TEXTBEFORE(Employee_dataset[[#This Row],[Department_Region]],"-"))</f>
        <v>Cloud Tech</v>
      </c>
      <c r="F585" t="str">
        <f>TRIM(_xlfn.TEXTAFTER(Employee_dataset[[#This Row],[Department_Region]],"-"))</f>
        <v>Nevada</v>
      </c>
      <c r="G585" t="str">
        <f>TRIM(Employee_dataset[[#This Row],[Status]])</f>
        <v>Active</v>
      </c>
      <c r="H585" s="1">
        <f>_xlfn.LET(
     _xlpm.d, Employee_dataset[[#This Row],[Join_Date]],
     IF(
        ISNUMBER(_xlpm.d),_xlpm.d,""
       )
    )</f>
        <v>44563</v>
      </c>
      <c r="I585" s="6">
        <f>_xlfn.LET(
     _xlpm.s, TRIM(Employee_dataset[[#This Row],[Salary]]),
     IF(
        UPPER(_xlpm.s)="N/A","",
        IF(
           ISNUMBER(--_xlpm.s),ROUND(_xlfn.NUMBERVALUE(_xlpm.s),2),""
          )
       )
    )</f>
        <v>114963.34</v>
      </c>
      <c r="J585" t="str">
        <f>TRIM(Employee_dataset[[#This Row],[Email]])</f>
        <v>bob.johnson@example.com</v>
      </c>
      <c r="K585" t="str">
        <f>_xlfn.LET(
     _xlpm.p,TRIM(SUBSTITUTE(Employee_dataset[[#This Row],[Phone]],"-","")),
     IF(
        LEN(_xlpm.p)=10,_xlfn.CONCAT("("&amp;LEFT(_xlpm.p,3)&amp;") "&amp;MID(_xlpm.p,4,3)&amp;"-"&amp;RIGHT(_xlpm.p,4),"")
       )
     )</f>
        <v>(604) 641-9784</v>
      </c>
      <c r="L585" t="str">
        <f>TRIM(Employee_dataset[[#This Row],[Performance_Score]])</f>
        <v>Excellent</v>
      </c>
      <c r="M585" t="str">
        <f>TRIM(Employee_dataset[[#This Row],[Remote_Work]])</f>
        <v>FALSE</v>
      </c>
    </row>
    <row r="586" spans="1:13" x14ac:dyDescent="0.3">
      <c r="A586" t="str">
        <f>TRIM(Employee_dataset[[#This Row],[Employee_ID]])</f>
        <v>EMP1584</v>
      </c>
      <c r="B586" t="str">
        <f>PROPER(TRIM(Employee_dataset[[#This Row],[First_Name]]))</f>
        <v>Eva</v>
      </c>
      <c r="C586" t="str">
        <f>PROPER(TRIM(Employee_dataset[[#This Row],[Last_Name]]))</f>
        <v>Miller</v>
      </c>
      <c r="D586" s="6" t="str">
        <f>_xlfn.LET(
     _xlpm.a, TRIM(Employee_dataset[[#This Row],[Age]]),
     IF(
        _xlpm.a="","",
        IF(
           AND(ISNUMBER(--_xlpm.a),LEN(_xlpm.a)=2),_xlpm.a,""
          )
       )
    )</f>
        <v/>
      </c>
      <c r="E586" t="str">
        <f>TRIM(_xlfn.TEXTBEFORE(Employee_dataset[[#This Row],[Department_Region]],"-"))</f>
        <v>Cloud Tech</v>
      </c>
      <c r="F586" t="str">
        <f>TRIM(_xlfn.TEXTAFTER(Employee_dataset[[#This Row],[Department_Region]],"-"))</f>
        <v>California</v>
      </c>
      <c r="G586" t="str">
        <f>TRIM(Employee_dataset[[#This Row],[Status]])</f>
        <v>Inactive</v>
      </c>
      <c r="H586" s="1">
        <f>_xlfn.LET(
     _xlpm.d, Employee_dataset[[#This Row],[Join_Date]],
     IF(
        ISNUMBER(_xlpm.d),_xlpm.d,""
       )
    )</f>
        <v>44612</v>
      </c>
      <c r="I586" s="6">
        <f>_xlfn.LET(
     _xlpm.s, TRIM(Employee_dataset[[#This Row],[Salary]]),
     IF(
        UPPER(_xlpm.s)="N/A","",
        IF(
           ISNUMBER(--_xlpm.s),ROUND(_xlfn.NUMBERVALUE(_xlpm.s),2),""
          )
       )
    )</f>
        <v>77657.929999999993</v>
      </c>
      <c r="J586" t="str">
        <f>TRIM(Employee_dataset[[#This Row],[Email]])</f>
        <v>eva.miller@example.com</v>
      </c>
      <c r="K586" t="str">
        <f>_xlfn.LET(
     _xlpm.p,TRIM(SUBSTITUTE(Employee_dataset[[#This Row],[Phone]],"-","")),
     IF(
        LEN(_xlpm.p)=10,_xlfn.CONCAT("("&amp;LEFT(_xlpm.p,3)&amp;") "&amp;MID(_xlpm.p,4,3)&amp;"-"&amp;RIGHT(_xlpm.p,4),"")
       )
     )</f>
        <v>(758) 512-6860</v>
      </c>
      <c r="L586" t="str">
        <f>TRIM(Employee_dataset[[#This Row],[Performance_Score]])</f>
        <v>Poor</v>
      </c>
      <c r="M586" t="str">
        <f>TRIM(Employee_dataset[[#This Row],[Remote_Work]])</f>
        <v>FALSE</v>
      </c>
    </row>
    <row r="587" spans="1:13" x14ac:dyDescent="0.3">
      <c r="A587" t="str">
        <f>TRIM(Employee_dataset[[#This Row],[Employee_ID]])</f>
        <v>EMP1585</v>
      </c>
      <c r="B587" t="str">
        <f>PROPER(TRIM(Employee_dataset[[#This Row],[First_Name]]))</f>
        <v>Heidi</v>
      </c>
      <c r="C587" t="str">
        <f>PROPER(TRIM(Employee_dataset[[#This Row],[Last_Name]]))</f>
        <v>Davis</v>
      </c>
      <c r="D587" s="6" t="str">
        <f>_xlfn.LET(
     _xlpm.a, TRIM(Employee_dataset[[#This Row],[Age]]),
     IF(
        _xlpm.a="","",
        IF(
           AND(ISNUMBER(--_xlpm.a),LEN(_xlpm.a)=2),_xlpm.a,""
          )
       )
    )</f>
        <v>30</v>
      </c>
      <c r="E587" t="str">
        <f>TRIM(_xlfn.TEXTBEFORE(Employee_dataset[[#This Row],[Department_Region]],"-"))</f>
        <v>Sales</v>
      </c>
      <c r="F587" t="str">
        <f>TRIM(_xlfn.TEXTAFTER(Employee_dataset[[#This Row],[Department_Region]],"-"))</f>
        <v>New York</v>
      </c>
      <c r="G587" t="str">
        <f>TRIM(Employee_dataset[[#This Row],[Status]])</f>
        <v>Active</v>
      </c>
      <c r="H587" s="1">
        <f>_xlfn.LET(
     _xlpm.d, Employee_dataset[[#This Row],[Join_Date]],
     IF(
        ISNUMBER(_xlpm.d),_xlpm.d,""
       )
    )</f>
        <v>45360</v>
      </c>
      <c r="I587" s="6">
        <f>_xlfn.LET(
     _xlpm.s, TRIM(Employee_dataset[[#This Row],[Salary]]),
     IF(
        UPPER(_xlpm.s)="N/A","",
        IF(
           ISNUMBER(--_xlpm.s),ROUND(_xlfn.NUMBERVALUE(_xlpm.s),2),""
          )
       )
    )</f>
        <v>77369.48</v>
      </c>
      <c r="J587" t="str">
        <f>TRIM(Employee_dataset[[#This Row],[Email]])</f>
        <v>heidi.davis@example.com</v>
      </c>
      <c r="K587" t="str">
        <f>_xlfn.LET(
     _xlpm.p,TRIM(SUBSTITUTE(Employee_dataset[[#This Row],[Phone]],"-","")),
     IF(
        LEN(_xlpm.p)=10,_xlfn.CONCAT("("&amp;LEFT(_xlpm.p,3)&amp;") "&amp;MID(_xlpm.p,4,3)&amp;"-"&amp;RIGHT(_xlpm.p,4),"")
       )
     )</f>
        <v>(205) 943-8975</v>
      </c>
      <c r="L587" t="str">
        <f>TRIM(Employee_dataset[[#This Row],[Performance_Score]])</f>
        <v>Average</v>
      </c>
      <c r="M587" t="str">
        <f>TRIM(Employee_dataset[[#This Row],[Remote_Work]])</f>
        <v>FALSE</v>
      </c>
    </row>
    <row r="588" spans="1:13" x14ac:dyDescent="0.3">
      <c r="A588" t="str">
        <f>TRIM(Employee_dataset[[#This Row],[Employee_ID]])</f>
        <v>EMP1586</v>
      </c>
      <c r="B588" t="str">
        <f>PROPER(TRIM(Employee_dataset[[#This Row],[First_Name]]))</f>
        <v>Eva</v>
      </c>
      <c r="C588" t="str">
        <f>PROPER(TRIM(Employee_dataset[[#This Row],[Last_Name]]))</f>
        <v>Miller</v>
      </c>
      <c r="D588" s="6" t="str">
        <f>_xlfn.LET(
     _xlpm.a, TRIM(Employee_dataset[[#This Row],[Age]]),
     IF(
        _xlpm.a="","",
        IF(
           AND(ISNUMBER(--_xlpm.a),LEN(_xlpm.a)=2),_xlpm.a,""
          )
       )
    )</f>
        <v>30</v>
      </c>
      <c r="E588" t="str">
        <f>TRIM(_xlfn.TEXTBEFORE(Employee_dataset[[#This Row],[Department_Region]],"-"))</f>
        <v>HR</v>
      </c>
      <c r="F588" t="str">
        <f>TRIM(_xlfn.TEXTAFTER(Employee_dataset[[#This Row],[Department_Region]],"-"))</f>
        <v>Nevada</v>
      </c>
      <c r="G588" t="str">
        <f>TRIM(Employee_dataset[[#This Row],[Status]])</f>
        <v>Pending</v>
      </c>
      <c r="H588" s="1">
        <f>_xlfn.LET(
     _xlpm.d, Employee_dataset[[#This Row],[Join_Date]],
     IF(
        ISNUMBER(_xlpm.d),_xlpm.d,""
       )
    )</f>
        <v>45157</v>
      </c>
      <c r="I588" s="6">
        <f>_xlfn.LET(
     _xlpm.s, TRIM(Employee_dataset[[#This Row],[Salary]]),
     IF(
        UPPER(_xlpm.s)="N/A","",
        IF(
           ISNUMBER(--_xlpm.s),ROUND(_xlfn.NUMBERVALUE(_xlpm.s),2),""
          )
       )
    )</f>
        <v>76119.14</v>
      </c>
      <c r="J588" t="str">
        <f>TRIM(Employee_dataset[[#This Row],[Email]])</f>
        <v>eva.miller@example.com</v>
      </c>
      <c r="K588" t="b">
        <f>_xlfn.LET(
     _xlpm.p,TRIM(SUBSTITUTE(Employee_dataset[[#This Row],[Phone]],"-","")),
     IF(
        LEN(_xlpm.p)=10,_xlfn.CONCAT("("&amp;LEFT(_xlpm.p,3)&amp;") "&amp;MID(_xlpm.p,4,3)&amp;"-"&amp;RIGHT(_xlpm.p,4),"")
       )
     )</f>
        <v>0</v>
      </c>
      <c r="L588" t="str">
        <f>TRIM(Employee_dataset[[#This Row],[Performance_Score]])</f>
        <v>Good</v>
      </c>
      <c r="M588" t="str">
        <f>TRIM(Employee_dataset[[#This Row],[Remote_Work]])</f>
        <v>FALSE</v>
      </c>
    </row>
    <row r="589" spans="1:13" x14ac:dyDescent="0.3">
      <c r="A589" t="str">
        <f>TRIM(Employee_dataset[[#This Row],[Employee_ID]])</f>
        <v>EMP1587</v>
      </c>
      <c r="B589" t="str">
        <f>PROPER(TRIM(Employee_dataset[[#This Row],[First_Name]]))</f>
        <v>Charlie</v>
      </c>
      <c r="C589" t="str">
        <f>PROPER(TRIM(Employee_dataset[[#This Row],[Last_Name]]))</f>
        <v>Williams</v>
      </c>
      <c r="D589" s="6" t="str">
        <f>_xlfn.LET(
     _xlpm.a, TRIM(Employee_dataset[[#This Row],[Age]]),
     IF(
        _xlpm.a="","",
        IF(
           AND(ISNUMBER(--_xlpm.a),LEN(_xlpm.a)=2),_xlpm.a,""
          )
       )
    )</f>
        <v>25</v>
      </c>
      <c r="E589" t="str">
        <f>TRIM(_xlfn.TEXTBEFORE(Employee_dataset[[#This Row],[Department_Region]],"-"))</f>
        <v>Cloud Tech</v>
      </c>
      <c r="F589" t="str">
        <f>TRIM(_xlfn.TEXTAFTER(Employee_dataset[[#This Row],[Department_Region]],"-"))</f>
        <v>Texas</v>
      </c>
      <c r="G589" t="str">
        <f>TRIM(Employee_dataset[[#This Row],[Status]])</f>
        <v>Pending</v>
      </c>
      <c r="H589" s="1">
        <f>_xlfn.LET(
     _xlpm.d, Employee_dataset[[#This Row],[Join_Date]],
     IF(
        ISNUMBER(_xlpm.d),_xlpm.d,""
       )
    )</f>
        <v>45052</v>
      </c>
      <c r="I589" s="6">
        <f>_xlfn.LET(
     _xlpm.s, TRIM(Employee_dataset[[#This Row],[Salary]]),
     IF(
        UPPER(_xlpm.s)="N/A","",
        IF(
           ISNUMBER(--_xlpm.s),ROUND(_xlfn.NUMBERVALUE(_xlpm.s),2),""
          )
       )
    )</f>
        <v>77585.72</v>
      </c>
      <c r="J589" t="str">
        <f>TRIM(Employee_dataset[[#This Row],[Email]])</f>
        <v>charlie.williams@example.com</v>
      </c>
      <c r="K589" t="str">
        <f>_xlfn.LET(
     _xlpm.p,TRIM(SUBSTITUTE(Employee_dataset[[#This Row],[Phone]],"-","")),
     IF(
        LEN(_xlpm.p)=10,_xlfn.CONCAT("("&amp;LEFT(_xlpm.p,3)&amp;") "&amp;MID(_xlpm.p,4,3)&amp;"-"&amp;RIGHT(_xlpm.p,4),"")
       )
     )</f>
        <v>(546) 540-8423</v>
      </c>
      <c r="L589" t="str">
        <f>TRIM(Employee_dataset[[#This Row],[Performance_Score]])</f>
        <v>Excellent</v>
      </c>
      <c r="M589" t="str">
        <f>TRIM(Employee_dataset[[#This Row],[Remote_Work]])</f>
        <v>FALSE</v>
      </c>
    </row>
    <row r="590" spans="1:13" x14ac:dyDescent="0.3">
      <c r="A590" t="str">
        <f>TRIM(Employee_dataset[[#This Row],[Employee_ID]])</f>
        <v>EMP1588</v>
      </c>
      <c r="B590" t="str">
        <f>PROPER(TRIM(Employee_dataset[[#This Row],[First_Name]]))</f>
        <v>Bob</v>
      </c>
      <c r="C590" t="str">
        <f>PROPER(TRIM(Employee_dataset[[#This Row],[Last_Name]]))</f>
        <v>Brown</v>
      </c>
      <c r="D590" s="6" t="str">
        <f>_xlfn.LET(
     _xlpm.a, TRIM(Employee_dataset[[#This Row],[Age]]),
     IF(
        _xlpm.a="","",
        IF(
           AND(ISNUMBER(--_xlpm.a),LEN(_xlpm.a)=2),_xlpm.a,""
          )
       )
    )</f>
        <v>35</v>
      </c>
      <c r="E590" t="str">
        <f>TRIM(_xlfn.TEXTBEFORE(Employee_dataset[[#This Row],[Department_Region]],"-"))</f>
        <v>Admin</v>
      </c>
      <c r="F590" t="str">
        <f>TRIM(_xlfn.TEXTAFTER(Employee_dataset[[#This Row],[Department_Region]],"-"))</f>
        <v>Nevada</v>
      </c>
      <c r="G590" t="str">
        <f>TRIM(Employee_dataset[[#This Row],[Status]])</f>
        <v>Pending</v>
      </c>
      <c r="H590" s="1">
        <f>_xlfn.LET(
     _xlpm.d, Employee_dataset[[#This Row],[Join_Date]],
     IF(
        ISNUMBER(_xlpm.d),_xlpm.d,""
       )
    )</f>
        <v>45317</v>
      </c>
      <c r="I590" s="6">
        <f>_xlfn.LET(
     _xlpm.s, TRIM(Employee_dataset[[#This Row],[Salary]]),
     IF(
        UPPER(_xlpm.s)="N/A","",
        IF(
           ISNUMBER(--_xlpm.s),ROUND(_xlfn.NUMBERVALUE(_xlpm.s),2),""
          )
       )
    )</f>
        <v>74069.62</v>
      </c>
      <c r="J590" t="str">
        <f>TRIM(Employee_dataset[[#This Row],[Email]])</f>
        <v>bob.brown@example.com</v>
      </c>
      <c r="K590" t="str">
        <f>_xlfn.LET(
     _xlpm.p,TRIM(SUBSTITUTE(Employee_dataset[[#This Row],[Phone]],"-","")),
     IF(
        LEN(_xlpm.p)=10,_xlfn.CONCAT("("&amp;LEFT(_xlpm.p,3)&amp;") "&amp;MID(_xlpm.p,4,3)&amp;"-"&amp;RIGHT(_xlpm.p,4),"")
       )
     )</f>
        <v>(560) 754-0914</v>
      </c>
      <c r="L590" t="str">
        <f>TRIM(Employee_dataset[[#This Row],[Performance_Score]])</f>
        <v>Good</v>
      </c>
      <c r="M590" t="str">
        <f>TRIM(Employee_dataset[[#This Row],[Remote_Work]])</f>
        <v>FALSE</v>
      </c>
    </row>
    <row r="591" spans="1:13" x14ac:dyDescent="0.3">
      <c r="A591" t="str">
        <f>TRIM(Employee_dataset[[#This Row],[Employee_ID]])</f>
        <v>EMP1589</v>
      </c>
      <c r="B591" t="str">
        <f>PROPER(TRIM(Employee_dataset[[#This Row],[First_Name]]))</f>
        <v>Charlie</v>
      </c>
      <c r="C591" t="str">
        <f>PROPER(TRIM(Employee_dataset[[#This Row],[Last_Name]]))</f>
        <v>Jones</v>
      </c>
      <c r="D591" s="6" t="str">
        <f>_xlfn.LET(
     _xlpm.a, TRIM(Employee_dataset[[#This Row],[Age]]),
     IF(
        _xlpm.a="","",
        IF(
           AND(ISNUMBER(--_xlpm.a),LEN(_xlpm.a)=2),_xlpm.a,""
          )
       )
    )</f>
        <v>30</v>
      </c>
      <c r="E591" t="str">
        <f>TRIM(_xlfn.TEXTBEFORE(Employee_dataset[[#This Row],[Department_Region]],"-"))</f>
        <v>Admin</v>
      </c>
      <c r="F591" t="str">
        <f>TRIM(_xlfn.TEXTAFTER(Employee_dataset[[#This Row],[Department_Region]],"-"))</f>
        <v>New York</v>
      </c>
      <c r="G591" t="str">
        <f>TRIM(Employee_dataset[[#This Row],[Status]])</f>
        <v>Pending</v>
      </c>
      <c r="H591" s="1">
        <f>_xlfn.LET(
     _xlpm.d, Employee_dataset[[#This Row],[Join_Date]],
     IF(
        ISNUMBER(_xlpm.d),_xlpm.d,""
       )
    )</f>
        <v>45540</v>
      </c>
      <c r="I591" s="6">
        <f>_xlfn.LET(
     _xlpm.s, TRIM(Employee_dataset[[#This Row],[Salary]]),
     IF(
        UPPER(_xlpm.s)="N/A","",
        IF(
           ISNUMBER(--_xlpm.s),ROUND(_xlfn.NUMBERVALUE(_xlpm.s),2),""
          )
       )
    )</f>
        <v>67691.92</v>
      </c>
      <c r="J591" t="str">
        <f>TRIM(Employee_dataset[[#This Row],[Email]])</f>
        <v>charlie.jones@example.com</v>
      </c>
      <c r="K591" t="b">
        <f>_xlfn.LET(
     _xlpm.p,TRIM(SUBSTITUTE(Employee_dataset[[#This Row],[Phone]],"-","")),
     IF(
        LEN(_xlpm.p)=10,_xlfn.CONCAT("("&amp;LEFT(_xlpm.p,3)&amp;") "&amp;MID(_xlpm.p,4,3)&amp;"-"&amp;RIGHT(_xlpm.p,4),"")
       )
     )</f>
        <v>0</v>
      </c>
      <c r="L591" t="str">
        <f>TRIM(Employee_dataset[[#This Row],[Performance_Score]])</f>
        <v>Average</v>
      </c>
      <c r="M591" t="str">
        <f>TRIM(Employee_dataset[[#This Row],[Remote_Work]])</f>
        <v>TRUE</v>
      </c>
    </row>
    <row r="592" spans="1:13" x14ac:dyDescent="0.3">
      <c r="A592" t="str">
        <f>TRIM(Employee_dataset[[#This Row],[Employee_ID]])</f>
        <v>EMP1590</v>
      </c>
      <c r="B592" t="str">
        <f>PROPER(TRIM(Employee_dataset[[#This Row],[First_Name]]))</f>
        <v>Alice</v>
      </c>
      <c r="C592" t="str">
        <f>PROPER(TRIM(Employee_dataset[[#This Row],[Last_Name]]))</f>
        <v>Smith</v>
      </c>
      <c r="D592" s="6" t="str">
        <f>_xlfn.LET(
     _xlpm.a, TRIM(Employee_dataset[[#This Row],[Age]]),
     IF(
        _xlpm.a="","",
        IF(
           AND(ISNUMBER(--_xlpm.a),LEN(_xlpm.a)=2),_xlpm.a,""
          )
       )
    )</f>
        <v/>
      </c>
      <c r="E592" t="str">
        <f>TRIM(_xlfn.TEXTBEFORE(Employee_dataset[[#This Row],[Department_Region]],"-"))</f>
        <v>Finance</v>
      </c>
      <c r="F592" t="str">
        <f>TRIM(_xlfn.TEXTAFTER(Employee_dataset[[#This Row],[Department_Region]],"-"))</f>
        <v>Nevada</v>
      </c>
      <c r="G592" t="str">
        <f>TRIM(Employee_dataset[[#This Row],[Status]])</f>
        <v>Pending</v>
      </c>
      <c r="H592" s="1">
        <f>_xlfn.LET(
     _xlpm.d, Employee_dataset[[#This Row],[Join_Date]],
     IF(
        ISNUMBER(_xlpm.d),_xlpm.d,""
       )
    )</f>
        <v>43980</v>
      </c>
      <c r="I592" s="6">
        <f>_xlfn.LET(
     _xlpm.s, TRIM(Employee_dataset[[#This Row],[Salary]]),
     IF(
        UPPER(_xlpm.s)="N/A","",
        IF(
           ISNUMBER(--_xlpm.s),ROUND(_xlfn.NUMBERVALUE(_xlpm.s),2),""
          )
       )
    )</f>
        <v>70345.69</v>
      </c>
      <c r="J592" t="str">
        <f>TRIM(Employee_dataset[[#This Row],[Email]])</f>
        <v>alice.smith@example.com</v>
      </c>
      <c r="K592" t="str">
        <f>_xlfn.LET(
     _xlpm.p,TRIM(SUBSTITUTE(Employee_dataset[[#This Row],[Phone]],"-","")),
     IF(
        LEN(_xlpm.p)=10,_xlfn.CONCAT("("&amp;LEFT(_xlpm.p,3)&amp;") "&amp;MID(_xlpm.p,4,3)&amp;"-"&amp;RIGHT(_xlpm.p,4),"")
       )
     )</f>
        <v>(764) 579-3896</v>
      </c>
      <c r="L592" t="str">
        <f>TRIM(Employee_dataset[[#This Row],[Performance_Score]])</f>
        <v>Excellent</v>
      </c>
      <c r="M592" t="str">
        <f>TRIM(Employee_dataset[[#This Row],[Remote_Work]])</f>
        <v>TRUE</v>
      </c>
    </row>
    <row r="593" spans="1:13" x14ac:dyDescent="0.3">
      <c r="A593" t="str">
        <f>TRIM(Employee_dataset[[#This Row],[Employee_ID]])</f>
        <v>EMP1591</v>
      </c>
      <c r="B593" t="str">
        <f>PROPER(TRIM(Employee_dataset[[#This Row],[First_Name]]))</f>
        <v>Bob</v>
      </c>
      <c r="C593" t="str">
        <f>PROPER(TRIM(Employee_dataset[[#This Row],[Last_Name]]))</f>
        <v>Garcia</v>
      </c>
      <c r="D593" s="6" t="str">
        <f>_xlfn.LET(
     _xlpm.a, TRIM(Employee_dataset[[#This Row],[Age]]),
     IF(
        _xlpm.a="","",
        IF(
           AND(ISNUMBER(--_xlpm.a),LEN(_xlpm.a)=2),_xlpm.a,""
          )
       )
    )</f>
        <v>30</v>
      </c>
      <c r="E593" t="str">
        <f>TRIM(_xlfn.TEXTBEFORE(Employee_dataset[[#This Row],[Department_Region]],"-"))</f>
        <v>DevOps</v>
      </c>
      <c r="F593" t="str">
        <f>TRIM(_xlfn.TEXTAFTER(Employee_dataset[[#This Row],[Department_Region]],"-"))</f>
        <v>Illinois</v>
      </c>
      <c r="G593" t="str">
        <f>TRIM(Employee_dataset[[#This Row],[Status]])</f>
        <v>Inactive</v>
      </c>
      <c r="H593" s="1">
        <f>_xlfn.LET(
     _xlpm.d, Employee_dataset[[#This Row],[Join_Date]],
     IF(
        ISNUMBER(_xlpm.d),_xlpm.d,""
       )
    )</f>
        <v>44508</v>
      </c>
      <c r="I593" s="6">
        <f>_xlfn.LET(
     _xlpm.s, TRIM(Employee_dataset[[#This Row],[Salary]]),
     IF(
        UPPER(_xlpm.s)="N/A","",
        IF(
           ISNUMBER(--_xlpm.s),ROUND(_xlfn.NUMBERVALUE(_xlpm.s),2),""
          )
       )
    )</f>
        <v>74999.69</v>
      </c>
      <c r="J593" t="str">
        <f>TRIM(Employee_dataset[[#This Row],[Email]])</f>
        <v>bob.garcia@example.com</v>
      </c>
      <c r="K593" t="b">
        <f>_xlfn.LET(
     _xlpm.p,TRIM(SUBSTITUTE(Employee_dataset[[#This Row],[Phone]],"-","")),
     IF(
        LEN(_xlpm.p)=10,_xlfn.CONCAT("("&amp;LEFT(_xlpm.p,3)&amp;") "&amp;MID(_xlpm.p,4,3)&amp;"-"&amp;RIGHT(_xlpm.p,4),"")
       )
     )</f>
        <v>0</v>
      </c>
      <c r="L593" t="str">
        <f>TRIM(Employee_dataset[[#This Row],[Performance_Score]])</f>
        <v>Good</v>
      </c>
      <c r="M593" t="str">
        <f>TRIM(Employee_dataset[[#This Row],[Remote_Work]])</f>
        <v>TRUE</v>
      </c>
    </row>
    <row r="594" spans="1:13" x14ac:dyDescent="0.3">
      <c r="A594" t="str">
        <f>TRIM(Employee_dataset[[#This Row],[Employee_ID]])</f>
        <v>EMP1592</v>
      </c>
      <c r="B594" t="str">
        <f>PROPER(TRIM(Employee_dataset[[#This Row],[First_Name]]))</f>
        <v>David</v>
      </c>
      <c r="C594" t="str">
        <f>PROPER(TRIM(Employee_dataset[[#This Row],[Last_Name]]))</f>
        <v>Jones</v>
      </c>
      <c r="D594" s="6" t="str">
        <f>_xlfn.LET(
     _xlpm.a, TRIM(Employee_dataset[[#This Row],[Age]]),
     IF(
        _xlpm.a="","",
        IF(
           AND(ISNUMBER(--_xlpm.a),LEN(_xlpm.a)=2),_xlpm.a,""
          )
       )
    )</f>
        <v>25</v>
      </c>
      <c r="E594" t="str">
        <f>TRIM(_xlfn.TEXTBEFORE(Employee_dataset[[#This Row],[Department_Region]],"-"))</f>
        <v>HR</v>
      </c>
      <c r="F594" t="str">
        <f>TRIM(_xlfn.TEXTAFTER(Employee_dataset[[#This Row],[Department_Region]],"-"))</f>
        <v>Illinois</v>
      </c>
      <c r="G594" t="str">
        <f>TRIM(Employee_dataset[[#This Row],[Status]])</f>
        <v>Active</v>
      </c>
      <c r="H594" s="1">
        <f>_xlfn.LET(
     _xlpm.d, Employee_dataset[[#This Row],[Join_Date]],
     IF(
        ISNUMBER(_xlpm.d),_xlpm.d,""
       )
    )</f>
        <v>44227</v>
      </c>
      <c r="I594" s="6">
        <f>_xlfn.LET(
     _xlpm.s, TRIM(Employee_dataset[[#This Row],[Salary]]),
     IF(
        UPPER(_xlpm.s)="N/A","",
        IF(
           ISNUMBER(--_xlpm.s),ROUND(_xlfn.NUMBERVALUE(_xlpm.s),2),""
          )
       )
    )</f>
        <v>72245.02</v>
      </c>
      <c r="J594" t="str">
        <f>TRIM(Employee_dataset[[#This Row],[Email]])</f>
        <v>david.jones@example.com</v>
      </c>
      <c r="K594" t="str">
        <f>_xlfn.LET(
     _xlpm.p,TRIM(SUBSTITUTE(Employee_dataset[[#This Row],[Phone]],"-","")),
     IF(
        LEN(_xlpm.p)=10,_xlfn.CONCAT("("&amp;LEFT(_xlpm.p,3)&amp;") "&amp;MID(_xlpm.p,4,3)&amp;"-"&amp;RIGHT(_xlpm.p,4),"")
       )
     )</f>
        <v>(154) 660-2415</v>
      </c>
      <c r="L594" t="str">
        <f>TRIM(Employee_dataset[[#This Row],[Performance_Score]])</f>
        <v>Poor</v>
      </c>
      <c r="M594" t="str">
        <f>TRIM(Employee_dataset[[#This Row],[Remote_Work]])</f>
        <v>TRUE</v>
      </c>
    </row>
    <row r="595" spans="1:13" x14ac:dyDescent="0.3">
      <c r="A595" t="str">
        <f>TRIM(Employee_dataset[[#This Row],[Employee_ID]])</f>
        <v>EMP1593</v>
      </c>
      <c r="B595" t="str">
        <f>PROPER(TRIM(Employee_dataset[[#This Row],[First_Name]]))</f>
        <v>Eva</v>
      </c>
      <c r="C595" t="str">
        <f>PROPER(TRIM(Employee_dataset[[#This Row],[Last_Name]]))</f>
        <v>Brown</v>
      </c>
      <c r="D595" s="6" t="str">
        <f>_xlfn.LET(
     _xlpm.a, TRIM(Employee_dataset[[#This Row],[Age]]),
     IF(
        _xlpm.a="","",
        IF(
           AND(ISNUMBER(--_xlpm.a),LEN(_xlpm.a)=2),_xlpm.a,""
          )
       )
    )</f>
        <v/>
      </c>
      <c r="E595" t="str">
        <f>TRIM(_xlfn.TEXTBEFORE(Employee_dataset[[#This Row],[Department_Region]],"-"))</f>
        <v>Admin</v>
      </c>
      <c r="F595" t="str">
        <f>TRIM(_xlfn.TEXTAFTER(Employee_dataset[[#This Row],[Department_Region]],"-"))</f>
        <v>Illinois</v>
      </c>
      <c r="G595" t="str">
        <f>TRIM(Employee_dataset[[#This Row],[Status]])</f>
        <v>Pending</v>
      </c>
      <c r="H595" s="1">
        <f>_xlfn.LET(
     _xlpm.d, Employee_dataset[[#This Row],[Join_Date]],
     IF(
        ISNUMBER(_xlpm.d),_xlpm.d,""
       )
    )</f>
        <v>44577</v>
      </c>
      <c r="I595" s="6">
        <f>_xlfn.LET(
     _xlpm.s, TRIM(Employee_dataset[[#This Row],[Salary]]),
     IF(
        UPPER(_xlpm.s)="N/A","",
        IF(
           ISNUMBER(--_xlpm.s),ROUND(_xlfn.NUMBERVALUE(_xlpm.s),2),""
          )
       )
    )</f>
        <v>106538.98</v>
      </c>
      <c r="J595" t="str">
        <f>TRIM(Employee_dataset[[#This Row],[Email]])</f>
        <v>eva.brown@example.com</v>
      </c>
      <c r="K595" t="str">
        <f>_xlfn.LET(
     _xlpm.p,TRIM(SUBSTITUTE(Employee_dataset[[#This Row],[Phone]],"-","")),
     IF(
        LEN(_xlpm.p)=10,_xlfn.CONCAT("("&amp;LEFT(_xlpm.p,3)&amp;") "&amp;MID(_xlpm.p,4,3)&amp;"-"&amp;RIGHT(_xlpm.p,4),"")
       )
     )</f>
        <v>(139) 449-8829</v>
      </c>
      <c r="L595" t="str">
        <f>TRIM(Employee_dataset[[#This Row],[Performance_Score]])</f>
        <v>Excellent</v>
      </c>
      <c r="M595" t="str">
        <f>TRIM(Employee_dataset[[#This Row],[Remote_Work]])</f>
        <v>FALSE</v>
      </c>
    </row>
    <row r="596" spans="1:13" x14ac:dyDescent="0.3">
      <c r="A596" t="str">
        <f>TRIM(Employee_dataset[[#This Row],[Employee_ID]])</f>
        <v>EMP1594</v>
      </c>
      <c r="B596" t="str">
        <f>PROPER(TRIM(Employee_dataset[[#This Row],[First_Name]]))</f>
        <v>Charlie</v>
      </c>
      <c r="C596" t="str">
        <f>PROPER(TRIM(Employee_dataset[[#This Row],[Last_Name]]))</f>
        <v>Brown</v>
      </c>
      <c r="D596" s="6" t="str">
        <f>_xlfn.LET(
     _xlpm.a, TRIM(Employee_dataset[[#This Row],[Age]]),
     IF(
        _xlpm.a="","",
        IF(
           AND(ISNUMBER(--_xlpm.a),LEN(_xlpm.a)=2),_xlpm.a,""
          )
       )
    )</f>
        <v>25</v>
      </c>
      <c r="E596" t="str">
        <f>TRIM(_xlfn.TEXTBEFORE(Employee_dataset[[#This Row],[Department_Region]],"-"))</f>
        <v>HR</v>
      </c>
      <c r="F596" t="str">
        <f>TRIM(_xlfn.TEXTAFTER(Employee_dataset[[#This Row],[Department_Region]],"-"))</f>
        <v>New York</v>
      </c>
      <c r="G596" t="str">
        <f>TRIM(Employee_dataset[[#This Row],[Status]])</f>
        <v>Active</v>
      </c>
      <c r="H596" s="1">
        <f>_xlfn.LET(
     _xlpm.d, Employee_dataset[[#This Row],[Join_Date]],
     IF(
        ISNUMBER(_xlpm.d),_xlpm.d,""
       )
    )</f>
        <v>45289</v>
      </c>
      <c r="I596" s="6">
        <f>_xlfn.LET(
     _xlpm.s, TRIM(Employee_dataset[[#This Row],[Salary]]),
     IF(
        UPPER(_xlpm.s)="N/A","",
        IF(
           ISNUMBER(--_xlpm.s),ROUND(_xlfn.NUMBERVALUE(_xlpm.s),2),""
          )
       )
    )</f>
        <v>101787.14</v>
      </c>
      <c r="J596" t="str">
        <f>TRIM(Employee_dataset[[#This Row],[Email]])</f>
        <v>charlie.brown@example.com</v>
      </c>
      <c r="K596" t="str">
        <f>_xlfn.LET(
     _xlpm.p,TRIM(SUBSTITUTE(Employee_dataset[[#This Row],[Phone]],"-","")),
     IF(
        LEN(_xlpm.p)=10,_xlfn.CONCAT("("&amp;LEFT(_xlpm.p,3)&amp;") "&amp;MID(_xlpm.p,4,3)&amp;"-"&amp;RIGHT(_xlpm.p,4),"")
       )
     )</f>
        <v>(597) 364-2479</v>
      </c>
      <c r="L596" t="str">
        <f>TRIM(Employee_dataset[[#This Row],[Performance_Score]])</f>
        <v>Good</v>
      </c>
      <c r="M596" t="str">
        <f>TRIM(Employee_dataset[[#This Row],[Remote_Work]])</f>
        <v>FALSE</v>
      </c>
    </row>
    <row r="597" spans="1:13" x14ac:dyDescent="0.3">
      <c r="A597" t="str">
        <f>TRIM(Employee_dataset[[#This Row],[Employee_ID]])</f>
        <v>EMP1595</v>
      </c>
      <c r="B597" t="str">
        <f>PROPER(TRIM(Employee_dataset[[#This Row],[First_Name]]))</f>
        <v>Frank</v>
      </c>
      <c r="C597" t="str">
        <f>PROPER(TRIM(Employee_dataset[[#This Row],[Last_Name]]))</f>
        <v>Brown</v>
      </c>
      <c r="D597" s="6" t="str">
        <f>_xlfn.LET(
     _xlpm.a, TRIM(Employee_dataset[[#This Row],[Age]]),
     IF(
        _xlpm.a="","",
        IF(
           AND(ISNUMBER(--_xlpm.a),LEN(_xlpm.a)=2),_xlpm.a,""
          )
       )
    )</f>
        <v>30</v>
      </c>
      <c r="E597" t="str">
        <f>TRIM(_xlfn.TEXTBEFORE(Employee_dataset[[#This Row],[Department_Region]],"-"))</f>
        <v>DevOps</v>
      </c>
      <c r="F597" t="str">
        <f>TRIM(_xlfn.TEXTAFTER(Employee_dataset[[#This Row],[Department_Region]],"-"))</f>
        <v>Nevada</v>
      </c>
      <c r="G597" t="str">
        <f>TRIM(Employee_dataset[[#This Row],[Status]])</f>
        <v>Inactive</v>
      </c>
      <c r="H597" s="1">
        <f>_xlfn.LET(
     _xlpm.d, Employee_dataset[[#This Row],[Join_Date]],
     IF(
        ISNUMBER(_xlpm.d),_xlpm.d,""
       )
    )</f>
        <v>45628</v>
      </c>
      <c r="I597" s="6">
        <f>_xlfn.LET(
     _xlpm.s, TRIM(Employee_dataset[[#This Row],[Salary]]),
     IF(
        UPPER(_xlpm.s)="N/A","",
        IF(
           ISNUMBER(--_xlpm.s),ROUND(_xlfn.NUMBERVALUE(_xlpm.s),2),""
          )
       )
    )</f>
        <v>83596.78</v>
      </c>
      <c r="J597" t="str">
        <f>TRIM(Employee_dataset[[#This Row],[Email]])</f>
        <v>frank.brown@example.com</v>
      </c>
      <c r="K597" t="str">
        <f>_xlfn.LET(
     _xlpm.p,TRIM(SUBSTITUTE(Employee_dataset[[#This Row],[Phone]],"-","")),
     IF(
        LEN(_xlpm.p)=10,_xlfn.CONCAT("("&amp;LEFT(_xlpm.p,3)&amp;") "&amp;MID(_xlpm.p,4,3)&amp;"-"&amp;RIGHT(_xlpm.p,4),"")
       )
     )</f>
        <v>(962) 440-6305</v>
      </c>
      <c r="L597" t="str">
        <f>TRIM(Employee_dataset[[#This Row],[Performance_Score]])</f>
        <v>Average</v>
      </c>
      <c r="M597" t="str">
        <f>TRIM(Employee_dataset[[#This Row],[Remote_Work]])</f>
        <v>FALSE</v>
      </c>
    </row>
    <row r="598" spans="1:13" x14ac:dyDescent="0.3">
      <c r="A598" t="str">
        <f>TRIM(Employee_dataset[[#This Row],[Employee_ID]])</f>
        <v>EMP1596</v>
      </c>
      <c r="B598" t="str">
        <f>PROPER(TRIM(Employee_dataset[[#This Row],[First_Name]]))</f>
        <v>Eva</v>
      </c>
      <c r="C598" t="str">
        <f>PROPER(TRIM(Employee_dataset[[#This Row],[Last_Name]]))</f>
        <v>Jones</v>
      </c>
      <c r="D598" s="6" t="str">
        <f>_xlfn.LET(
     _xlpm.a, TRIM(Employee_dataset[[#This Row],[Age]]),
     IF(
        _xlpm.a="","",
        IF(
           AND(ISNUMBER(--_xlpm.a),LEN(_xlpm.a)=2),_xlpm.a,""
          )
       )
    )</f>
        <v>40</v>
      </c>
      <c r="E598" t="str">
        <f>TRIM(_xlfn.TEXTBEFORE(Employee_dataset[[#This Row],[Department_Region]],"-"))</f>
        <v>Sales</v>
      </c>
      <c r="F598" t="str">
        <f>TRIM(_xlfn.TEXTAFTER(Employee_dataset[[#This Row],[Department_Region]],"-"))</f>
        <v>Texas</v>
      </c>
      <c r="G598" t="str">
        <f>TRIM(Employee_dataset[[#This Row],[Status]])</f>
        <v>Active</v>
      </c>
      <c r="H598" s="1">
        <f>_xlfn.LET(
     _xlpm.d, Employee_dataset[[#This Row],[Join_Date]],
     IF(
        ISNUMBER(_xlpm.d),_xlpm.d,""
       )
    )</f>
        <v>45153</v>
      </c>
      <c r="I598" s="6">
        <f>_xlfn.LET(
     _xlpm.s, TRIM(Employee_dataset[[#This Row],[Salary]]),
     IF(
        UPPER(_xlpm.s)="N/A","",
        IF(
           ISNUMBER(--_xlpm.s),ROUND(_xlfn.NUMBERVALUE(_xlpm.s),2),""
          )
       )
    )</f>
        <v>92463.94</v>
      </c>
      <c r="J598" t="str">
        <f>TRIM(Employee_dataset[[#This Row],[Email]])</f>
        <v>eva.jones@example.com</v>
      </c>
      <c r="K598" t="str">
        <f>_xlfn.LET(
     _xlpm.p,TRIM(SUBSTITUTE(Employee_dataset[[#This Row],[Phone]],"-","")),
     IF(
        LEN(_xlpm.p)=10,_xlfn.CONCAT("("&amp;LEFT(_xlpm.p,3)&amp;") "&amp;MID(_xlpm.p,4,3)&amp;"-"&amp;RIGHT(_xlpm.p,4),"")
       )
     )</f>
        <v>(244) 795-1329</v>
      </c>
      <c r="L598" t="str">
        <f>TRIM(Employee_dataset[[#This Row],[Performance_Score]])</f>
        <v>Average</v>
      </c>
      <c r="M598" t="str">
        <f>TRIM(Employee_dataset[[#This Row],[Remote_Work]])</f>
        <v>TRUE</v>
      </c>
    </row>
    <row r="599" spans="1:13" x14ac:dyDescent="0.3">
      <c r="A599" t="str">
        <f>TRIM(Employee_dataset[[#This Row],[Employee_ID]])</f>
        <v>EMP1597</v>
      </c>
      <c r="B599" t="str">
        <f>PROPER(TRIM(Employee_dataset[[#This Row],[First_Name]]))</f>
        <v>Charlie</v>
      </c>
      <c r="C599" t="str">
        <f>PROPER(TRIM(Employee_dataset[[#This Row],[Last_Name]]))</f>
        <v>Davis</v>
      </c>
      <c r="D599" s="6" t="str">
        <f>_xlfn.LET(
     _xlpm.a, TRIM(Employee_dataset[[#This Row],[Age]]),
     IF(
        _xlpm.a="","",
        IF(
           AND(ISNUMBER(--_xlpm.a),LEN(_xlpm.a)=2),_xlpm.a,""
          )
       )
    )</f>
        <v/>
      </c>
      <c r="E599" t="str">
        <f>TRIM(_xlfn.TEXTBEFORE(Employee_dataset[[#This Row],[Department_Region]],"-"))</f>
        <v>Admin</v>
      </c>
      <c r="F599" t="str">
        <f>TRIM(_xlfn.TEXTAFTER(Employee_dataset[[#This Row],[Department_Region]],"-"))</f>
        <v>California</v>
      </c>
      <c r="G599" t="str">
        <f>TRIM(Employee_dataset[[#This Row],[Status]])</f>
        <v>Pending</v>
      </c>
      <c r="H599" s="1">
        <f>_xlfn.LET(
     _xlpm.d, Employee_dataset[[#This Row],[Join_Date]],
     IF(
        ISNUMBER(_xlpm.d),_xlpm.d,""
       )
    )</f>
        <v>45646</v>
      </c>
      <c r="I599" s="6">
        <f>_xlfn.LET(
     _xlpm.s, TRIM(Employee_dataset[[#This Row],[Salary]]),
     IF(
        UPPER(_xlpm.s)="N/A","",
        IF(
           ISNUMBER(--_xlpm.s),ROUND(_xlfn.NUMBERVALUE(_xlpm.s),2),""
          )
       )
    )</f>
        <v>93863.32</v>
      </c>
      <c r="J599" t="str">
        <f>TRIM(Employee_dataset[[#This Row],[Email]])</f>
        <v>charlie.davis@example.com</v>
      </c>
      <c r="K599" t="str">
        <f>_xlfn.LET(
     _xlpm.p,TRIM(SUBSTITUTE(Employee_dataset[[#This Row],[Phone]],"-","")),
     IF(
        LEN(_xlpm.p)=10,_xlfn.CONCAT("("&amp;LEFT(_xlpm.p,3)&amp;") "&amp;MID(_xlpm.p,4,3)&amp;"-"&amp;RIGHT(_xlpm.p,4),"")
       )
     )</f>
        <v>(531) 949-7968</v>
      </c>
      <c r="L599" t="str">
        <f>TRIM(Employee_dataset[[#This Row],[Performance_Score]])</f>
        <v>Excellent</v>
      </c>
      <c r="M599" t="str">
        <f>TRIM(Employee_dataset[[#This Row],[Remote_Work]])</f>
        <v>FALSE</v>
      </c>
    </row>
    <row r="600" spans="1:13" x14ac:dyDescent="0.3">
      <c r="A600" t="str">
        <f>TRIM(Employee_dataset[[#This Row],[Employee_ID]])</f>
        <v>EMP1598</v>
      </c>
      <c r="B600" t="str">
        <f>PROPER(TRIM(Employee_dataset[[#This Row],[First_Name]]))</f>
        <v>Alice</v>
      </c>
      <c r="C600" t="str">
        <f>PROPER(TRIM(Employee_dataset[[#This Row],[Last_Name]]))</f>
        <v>Brown</v>
      </c>
      <c r="D600" s="6" t="str">
        <f>_xlfn.LET(
     _xlpm.a, TRIM(Employee_dataset[[#This Row],[Age]]),
     IF(
        _xlpm.a="","",
        IF(
           AND(ISNUMBER(--_xlpm.a),LEN(_xlpm.a)=2),_xlpm.a,""
          )
       )
    )</f>
        <v/>
      </c>
      <c r="E600" t="str">
        <f>TRIM(_xlfn.TEXTBEFORE(Employee_dataset[[#This Row],[Department_Region]],"-"))</f>
        <v>DevOps</v>
      </c>
      <c r="F600" t="str">
        <f>TRIM(_xlfn.TEXTAFTER(Employee_dataset[[#This Row],[Department_Region]],"-"))</f>
        <v>Texas</v>
      </c>
      <c r="G600" t="str">
        <f>TRIM(Employee_dataset[[#This Row],[Status]])</f>
        <v>Pending</v>
      </c>
      <c r="H600" s="1">
        <f>_xlfn.LET(
     _xlpm.d, Employee_dataset[[#This Row],[Join_Date]],
     IF(
        ISNUMBER(_xlpm.d),_xlpm.d,""
       )
    )</f>
        <v>45016</v>
      </c>
      <c r="I600" s="6">
        <f>_xlfn.LET(
     _xlpm.s, TRIM(Employee_dataset[[#This Row],[Salary]]),
     IF(
        UPPER(_xlpm.s)="N/A","",
        IF(
           ISNUMBER(--_xlpm.s),ROUND(_xlfn.NUMBERVALUE(_xlpm.s),2),""
          )
       )
    )</f>
        <v>78359.41</v>
      </c>
      <c r="J600" t="str">
        <f>TRIM(Employee_dataset[[#This Row],[Email]])</f>
        <v>alice.brown@example.com</v>
      </c>
      <c r="K600" t="str">
        <f>_xlfn.LET(
     _xlpm.p,TRIM(SUBSTITUTE(Employee_dataset[[#This Row],[Phone]],"-","")),
     IF(
        LEN(_xlpm.p)=10,_xlfn.CONCAT("("&amp;LEFT(_xlpm.p,3)&amp;") "&amp;MID(_xlpm.p,4,3)&amp;"-"&amp;RIGHT(_xlpm.p,4),"")
       )
     )</f>
        <v>(586) 780-5554</v>
      </c>
      <c r="L600" t="str">
        <f>TRIM(Employee_dataset[[#This Row],[Performance_Score]])</f>
        <v>Good</v>
      </c>
      <c r="M600" t="str">
        <f>TRIM(Employee_dataset[[#This Row],[Remote_Work]])</f>
        <v>FALSE</v>
      </c>
    </row>
    <row r="601" spans="1:13" x14ac:dyDescent="0.3">
      <c r="A601" t="str">
        <f>TRIM(Employee_dataset[[#This Row],[Employee_ID]])</f>
        <v>EMP1599</v>
      </c>
      <c r="B601" t="str">
        <f>PROPER(TRIM(Employee_dataset[[#This Row],[First_Name]]))</f>
        <v>Alice</v>
      </c>
      <c r="C601" t="str">
        <f>PROPER(TRIM(Employee_dataset[[#This Row],[Last_Name]]))</f>
        <v>Miller</v>
      </c>
      <c r="D601" s="6" t="str">
        <f>_xlfn.LET(
     _xlpm.a, TRIM(Employee_dataset[[#This Row],[Age]]),
     IF(
        _xlpm.a="","",
        IF(
           AND(ISNUMBER(--_xlpm.a),LEN(_xlpm.a)=2),_xlpm.a,""
          )
       )
    )</f>
        <v/>
      </c>
      <c r="E601" t="str">
        <f>TRIM(_xlfn.TEXTBEFORE(Employee_dataset[[#This Row],[Department_Region]],"-"))</f>
        <v>HR</v>
      </c>
      <c r="F601" t="str">
        <f>TRIM(_xlfn.TEXTAFTER(Employee_dataset[[#This Row],[Department_Region]],"-"))</f>
        <v>Illinois</v>
      </c>
      <c r="G601" t="str">
        <f>TRIM(Employee_dataset[[#This Row],[Status]])</f>
        <v>Pending</v>
      </c>
      <c r="H601" s="1">
        <f>_xlfn.LET(
     _xlpm.d, Employee_dataset[[#This Row],[Join_Date]],
     IF(
        ISNUMBER(_xlpm.d),_xlpm.d,""
       )
    )</f>
        <v>44797</v>
      </c>
      <c r="I601" s="6">
        <f>_xlfn.LET(
     _xlpm.s, TRIM(Employee_dataset[[#This Row],[Salary]]),
     IF(
        UPPER(_xlpm.s)="N/A","",
        IF(
           ISNUMBER(--_xlpm.s),ROUND(_xlfn.NUMBERVALUE(_xlpm.s),2),""
          )
       )
    )</f>
        <v>95773.57</v>
      </c>
      <c r="J601" t="str">
        <f>TRIM(Employee_dataset[[#This Row],[Email]])</f>
        <v>alice.miller@example.com</v>
      </c>
      <c r="K601" t="str">
        <f>_xlfn.LET(
     _xlpm.p,TRIM(SUBSTITUTE(Employee_dataset[[#This Row],[Phone]],"-","")),
     IF(
        LEN(_xlpm.p)=10,_xlfn.CONCAT("("&amp;LEFT(_xlpm.p,3)&amp;") "&amp;MID(_xlpm.p,4,3)&amp;"-"&amp;RIGHT(_xlpm.p,4),"")
       )
     )</f>
        <v>(727) 738-2645</v>
      </c>
      <c r="L601" t="str">
        <f>TRIM(Employee_dataset[[#This Row],[Performance_Score]])</f>
        <v>Excellent</v>
      </c>
      <c r="M601" t="str">
        <f>TRIM(Employee_dataset[[#This Row],[Remote_Work]])</f>
        <v>FALSE</v>
      </c>
    </row>
    <row r="602" spans="1:13" x14ac:dyDescent="0.3">
      <c r="A602" t="str">
        <f>TRIM(Employee_dataset[[#This Row],[Employee_ID]])</f>
        <v>EMP1600</v>
      </c>
      <c r="B602" t="str">
        <f>PROPER(TRIM(Employee_dataset[[#This Row],[First_Name]]))</f>
        <v>Grace</v>
      </c>
      <c r="C602" t="str">
        <f>PROPER(TRIM(Employee_dataset[[#This Row],[Last_Name]]))</f>
        <v>Jones</v>
      </c>
      <c r="D602" s="6" t="str">
        <f>_xlfn.LET(
     _xlpm.a, TRIM(Employee_dataset[[#This Row],[Age]]),
     IF(
        _xlpm.a="","",
        IF(
           AND(ISNUMBER(--_xlpm.a),LEN(_xlpm.a)=2),_xlpm.a,""
          )
       )
    )</f>
        <v>30</v>
      </c>
      <c r="E602" t="str">
        <f>TRIM(_xlfn.TEXTBEFORE(Employee_dataset[[#This Row],[Department_Region]],"-"))</f>
        <v>Sales</v>
      </c>
      <c r="F602" t="str">
        <f>TRIM(_xlfn.TEXTAFTER(Employee_dataset[[#This Row],[Department_Region]],"-"))</f>
        <v>Nevada</v>
      </c>
      <c r="G602" t="str">
        <f>TRIM(Employee_dataset[[#This Row],[Status]])</f>
        <v>Inactive</v>
      </c>
      <c r="H602" s="1">
        <f>_xlfn.LET(
     _xlpm.d, Employee_dataset[[#This Row],[Join_Date]],
     IF(
        ISNUMBER(_xlpm.d),_xlpm.d,""
       )
    )</f>
        <v>44105</v>
      </c>
      <c r="I602" s="6">
        <f>_xlfn.LET(
     _xlpm.s, TRIM(Employee_dataset[[#This Row],[Salary]]),
     IF(
        UPPER(_xlpm.s)="N/A","",
        IF(
           ISNUMBER(--_xlpm.s),ROUND(_xlfn.NUMBERVALUE(_xlpm.s),2),""
          )
       )
    )</f>
        <v>82529.08</v>
      </c>
      <c r="J602" t="str">
        <f>TRIM(Employee_dataset[[#This Row],[Email]])</f>
        <v>grace.jones@example.com</v>
      </c>
      <c r="K602" t="b">
        <f>_xlfn.LET(
     _xlpm.p,TRIM(SUBSTITUTE(Employee_dataset[[#This Row],[Phone]],"-","")),
     IF(
        LEN(_xlpm.p)=10,_xlfn.CONCAT("("&amp;LEFT(_xlpm.p,3)&amp;") "&amp;MID(_xlpm.p,4,3)&amp;"-"&amp;RIGHT(_xlpm.p,4),"")
       )
     )</f>
        <v>0</v>
      </c>
      <c r="L602" t="str">
        <f>TRIM(Employee_dataset[[#This Row],[Performance_Score]])</f>
        <v>Excellent</v>
      </c>
      <c r="M602" t="str">
        <f>TRIM(Employee_dataset[[#This Row],[Remote_Work]])</f>
        <v>TRUE</v>
      </c>
    </row>
    <row r="603" spans="1:13" x14ac:dyDescent="0.3">
      <c r="A603" t="str">
        <f>TRIM(Employee_dataset[[#This Row],[Employee_ID]])</f>
        <v>EMP1601</v>
      </c>
      <c r="B603" t="str">
        <f>PROPER(TRIM(Employee_dataset[[#This Row],[First_Name]]))</f>
        <v>Grace</v>
      </c>
      <c r="C603" t="str">
        <f>PROPER(TRIM(Employee_dataset[[#This Row],[Last_Name]]))</f>
        <v>Garcia</v>
      </c>
      <c r="D603" s="6" t="str">
        <f>_xlfn.LET(
     _xlpm.a, TRIM(Employee_dataset[[#This Row],[Age]]),
     IF(
        _xlpm.a="","",
        IF(
           AND(ISNUMBER(--_xlpm.a),LEN(_xlpm.a)=2),_xlpm.a,""
          )
       )
    )</f>
        <v>35</v>
      </c>
      <c r="E603" t="str">
        <f>TRIM(_xlfn.TEXTBEFORE(Employee_dataset[[#This Row],[Department_Region]],"-"))</f>
        <v>Sales</v>
      </c>
      <c r="F603" t="str">
        <f>TRIM(_xlfn.TEXTAFTER(Employee_dataset[[#This Row],[Department_Region]],"-"))</f>
        <v>Texas</v>
      </c>
      <c r="G603" t="str">
        <f>TRIM(Employee_dataset[[#This Row],[Status]])</f>
        <v>Pending</v>
      </c>
      <c r="H603" s="1">
        <f>_xlfn.LET(
     _xlpm.d, Employee_dataset[[#This Row],[Join_Date]],
     IF(
        ISNUMBER(_xlpm.d),_xlpm.d,""
       )
    )</f>
        <v>44320</v>
      </c>
      <c r="I603" s="6">
        <f>_xlfn.LET(
     _xlpm.s, TRIM(Employee_dataset[[#This Row],[Salary]]),
     IF(
        UPPER(_xlpm.s)="N/A","",
        IF(
           ISNUMBER(--_xlpm.s),ROUND(_xlfn.NUMBERVALUE(_xlpm.s),2),""
          )
       )
    )</f>
        <v>109358.73</v>
      </c>
      <c r="J603" t="str">
        <f>TRIM(Employee_dataset[[#This Row],[Email]])</f>
        <v>grace.garcia@example.com</v>
      </c>
      <c r="K603" t="str">
        <f>_xlfn.LET(
     _xlpm.p,TRIM(SUBSTITUTE(Employee_dataset[[#This Row],[Phone]],"-","")),
     IF(
        LEN(_xlpm.p)=10,_xlfn.CONCAT("("&amp;LEFT(_xlpm.p,3)&amp;") "&amp;MID(_xlpm.p,4,3)&amp;"-"&amp;RIGHT(_xlpm.p,4),"")
       )
     )</f>
        <v>(445) 770-2991</v>
      </c>
      <c r="L603" t="str">
        <f>TRIM(Employee_dataset[[#This Row],[Performance_Score]])</f>
        <v>Good</v>
      </c>
      <c r="M603" t="str">
        <f>TRIM(Employee_dataset[[#This Row],[Remote_Work]])</f>
        <v>FALSE</v>
      </c>
    </row>
    <row r="604" spans="1:13" x14ac:dyDescent="0.3">
      <c r="A604" t="str">
        <f>TRIM(Employee_dataset[[#This Row],[Employee_ID]])</f>
        <v>EMP1602</v>
      </c>
      <c r="B604" t="str">
        <f>PROPER(TRIM(Employee_dataset[[#This Row],[First_Name]]))</f>
        <v>Charlie</v>
      </c>
      <c r="C604" t="str">
        <f>PROPER(TRIM(Employee_dataset[[#This Row],[Last_Name]]))</f>
        <v>Brown</v>
      </c>
      <c r="D604" s="6" t="str">
        <f>_xlfn.LET(
     _xlpm.a, TRIM(Employee_dataset[[#This Row],[Age]]),
     IF(
        _xlpm.a="","",
        IF(
           AND(ISNUMBER(--_xlpm.a),LEN(_xlpm.a)=2),_xlpm.a,""
          )
       )
    )</f>
        <v/>
      </c>
      <c r="E604" t="str">
        <f>TRIM(_xlfn.TEXTBEFORE(Employee_dataset[[#This Row],[Department_Region]],"-"))</f>
        <v>Admin</v>
      </c>
      <c r="F604" t="str">
        <f>TRIM(_xlfn.TEXTAFTER(Employee_dataset[[#This Row],[Department_Region]],"-"))</f>
        <v>Florida</v>
      </c>
      <c r="G604" t="str">
        <f>TRIM(Employee_dataset[[#This Row],[Status]])</f>
        <v>Active</v>
      </c>
      <c r="H604" s="1">
        <f>_xlfn.LET(
     _xlpm.d, Employee_dataset[[#This Row],[Join_Date]],
     IF(
        ISNUMBER(_xlpm.d),_xlpm.d,""
       )
    )</f>
        <v>44197</v>
      </c>
      <c r="I604" s="6">
        <f>_xlfn.LET(
     _xlpm.s, TRIM(Employee_dataset[[#This Row],[Salary]]),
     IF(
        UPPER(_xlpm.s)="N/A","",
        IF(
           ISNUMBER(--_xlpm.s),ROUND(_xlfn.NUMBERVALUE(_xlpm.s),2),""
          )
       )
    )</f>
        <v>89645.01</v>
      </c>
      <c r="J604" t="str">
        <f>TRIM(Employee_dataset[[#This Row],[Email]])</f>
        <v>charlie.brown@example.com</v>
      </c>
      <c r="K604" t="str">
        <f>_xlfn.LET(
     _xlpm.p,TRIM(SUBSTITUTE(Employee_dataset[[#This Row],[Phone]],"-","")),
     IF(
        LEN(_xlpm.p)=10,_xlfn.CONCAT("("&amp;LEFT(_xlpm.p,3)&amp;") "&amp;MID(_xlpm.p,4,3)&amp;"-"&amp;RIGHT(_xlpm.p,4),"")
       )
     )</f>
        <v>(959) 660-4872</v>
      </c>
      <c r="L604" t="str">
        <f>TRIM(Employee_dataset[[#This Row],[Performance_Score]])</f>
        <v>Good</v>
      </c>
      <c r="M604" t="str">
        <f>TRIM(Employee_dataset[[#This Row],[Remote_Work]])</f>
        <v>TRUE</v>
      </c>
    </row>
    <row r="605" spans="1:13" x14ac:dyDescent="0.3">
      <c r="A605" t="str">
        <f>TRIM(Employee_dataset[[#This Row],[Employee_ID]])</f>
        <v>EMP1603</v>
      </c>
      <c r="B605" t="str">
        <f>PROPER(TRIM(Employee_dataset[[#This Row],[First_Name]]))</f>
        <v>Charlie</v>
      </c>
      <c r="C605" t="str">
        <f>PROPER(TRIM(Employee_dataset[[#This Row],[Last_Name]]))</f>
        <v>Miller</v>
      </c>
      <c r="D605" s="6" t="str">
        <f>_xlfn.LET(
     _xlpm.a, TRIM(Employee_dataset[[#This Row],[Age]]),
     IF(
        _xlpm.a="","",
        IF(
           AND(ISNUMBER(--_xlpm.a),LEN(_xlpm.a)=2),_xlpm.a,""
          )
       )
    )</f>
        <v>40</v>
      </c>
      <c r="E605" t="str">
        <f>TRIM(_xlfn.TEXTBEFORE(Employee_dataset[[#This Row],[Department_Region]],"-"))</f>
        <v>HR</v>
      </c>
      <c r="F605" t="str">
        <f>TRIM(_xlfn.TEXTAFTER(Employee_dataset[[#This Row],[Department_Region]],"-"))</f>
        <v>Texas</v>
      </c>
      <c r="G605" t="str">
        <f>TRIM(Employee_dataset[[#This Row],[Status]])</f>
        <v>Active</v>
      </c>
      <c r="H605" s="1">
        <f>_xlfn.LET(
     _xlpm.d, Employee_dataset[[#This Row],[Join_Date]],
     IF(
        ISNUMBER(_xlpm.d),_xlpm.d,""
       )
    )</f>
        <v>45390</v>
      </c>
      <c r="I605" s="6">
        <f>_xlfn.LET(
     _xlpm.s, TRIM(Employee_dataset[[#This Row],[Salary]]),
     IF(
        UPPER(_xlpm.s)="N/A","",
        IF(
           ISNUMBER(--_xlpm.s),ROUND(_xlfn.NUMBERVALUE(_xlpm.s),2),""
          )
       )
    )</f>
        <v>84134.95</v>
      </c>
      <c r="J605" t="str">
        <f>TRIM(Employee_dataset[[#This Row],[Email]])</f>
        <v>charlie.miller@example.com</v>
      </c>
      <c r="K605" t="str">
        <f>_xlfn.LET(
     _xlpm.p,TRIM(SUBSTITUTE(Employee_dataset[[#This Row],[Phone]],"-","")),
     IF(
        LEN(_xlpm.p)=10,_xlfn.CONCAT("("&amp;LEFT(_xlpm.p,3)&amp;") "&amp;MID(_xlpm.p,4,3)&amp;"-"&amp;RIGHT(_xlpm.p,4),"")
       )
     )</f>
        <v>(682) 691-1632</v>
      </c>
      <c r="L605" t="str">
        <f>TRIM(Employee_dataset[[#This Row],[Performance_Score]])</f>
        <v>Poor</v>
      </c>
      <c r="M605" t="str">
        <f>TRIM(Employee_dataset[[#This Row],[Remote_Work]])</f>
        <v>TRUE</v>
      </c>
    </row>
    <row r="606" spans="1:13" x14ac:dyDescent="0.3">
      <c r="A606" t="str">
        <f>TRIM(Employee_dataset[[#This Row],[Employee_ID]])</f>
        <v>EMP1604</v>
      </c>
      <c r="B606" t="str">
        <f>PROPER(TRIM(Employee_dataset[[#This Row],[First_Name]]))</f>
        <v>Frank</v>
      </c>
      <c r="C606" t="str">
        <f>PROPER(TRIM(Employee_dataset[[#This Row],[Last_Name]]))</f>
        <v>Davis</v>
      </c>
      <c r="D606" s="6" t="str">
        <f>_xlfn.LET(
     _xlpm.a, TRIM(Employee_dataset[[#This Row],[Age]]),
     IF(
        _xlpm.a="","",
        IF(
           AND(ISNUMBER(--_xlpm.a),LEN(_xlpm.a)=2),_xlpm.a,""
          )
       )
    )</f>
        <v>30</v>
      </c>
      <c r="E606" t="str">
        <f>TRIM(_xlfn.TEXTBEFORE(Employee_dataset[[#This Row],[Department_Region]],"-"))</f>
        <v>Cloud Tech</v>
      </c>
      <c r="F606" t="str">
        <f>TRIM(_xlfn.TEXTAFTER(Employee_dataset[[#This Row],[Department_Region]],"-"))</f>
        <v>Nevada</v>
      </c>
      <c r="G606" t="str">
        <f>TRIM(Employee_dataset[[#This Row],[Status]])</f>
        <v>Active</v>
      </c>
      <c r="H606" s="1">
        <f>_xlfn.LET(
     _xlpm.d, Employee_dataset[[#This Row],[Join_Date]],
     IF(
        ISNUMBER(_xlpm.d),_xlpm.d,""
       )
    )</f>
        <v>44891</v>
      </c>
      <c r="I606" s="6">
        <f>_xlfn.LET(
     _xlpm.s, TRIM(Employee_dataset[[#This Row],[Salary]]),
     IF(
        UPPER(_xlpm.s)="N/A","",
        IF(
           ISNUMBER(--_xlpm.s),ROUND(_xlfn.NUMBERVALUE(_xlpm.s),2),""
          )
       )
    )</f>
        <v>113540.83</v>
      </c>
      <c r="J606" t="str">
        <f>TRIM(Employee_dataset[[#This Row],[Email]])</f>
        <v>frank.davis@example.com</v>
      </c>
      <c r="K606" t="str">
        <f>_xlfn.LET(
     _xlpm.p,TRIM(SUBSTITUTE(Employee_dataset[[#This Row],[Phone]],"-","")),
     IF(
        LEN(_xlpm.p)=10,_xlfn.CONCAT("("&amp;LEFT(_xlpm.p,3)&amp;") "&amp;MID(_xlpm.p,4,3)&amp;"-"&amp;RIGHT(_xlpm.p,4),"")
       )
     )</f>
        <v>(194) 226-8652</v>
      </c>
      <c r="L606" t="str">
        <f>TRIM(Employee_dataset[[#This Row],[Performance_Score]])</f>
        <v>Good</v>
      </c>
      <c r="M606" t="str">
        <f>TRIM(Employee_dataset[[#This Row],[Remote_Work]])</f>
        <v>TRUE</v>
      </c>
    </row>
    <row r="607" spans="1:13" x14ac:dyDescent="0.3">
      <c r="A607" t="str">
        <f>TRIM(Employee_dataset[[#This Row],[Employee_ID]])</f>
        <v>EMP1605</v>
      </c>
      <c r="B607" t="str">
        <f>PROPER(TRIM(Employee_dataset[[#This Row],[First_Name]]))</f>
        <v>Heidi</v>
      </c>
      <c r="C607" t="str">
        <f>PROPER(TRIM(Employee_dataset[[#This Row],[Last_Name]]))</f>
        <v>Williams</v>
      </c>
      <c r="D607" s="6" t="str">
        <f>_xlfn.LET(
     _xlpm.a, TRIM(Employee_dataset[[#This Row],[Age]]),
     IF(
        _xlpm.a="","",
        IF(
           AND(ISNUMBER(--_xlpm.a),LEN(_xlpm.a)=2),_xlpm.a,""
          )
       )
    )</f>
        <v>40</v>
      </c>
      <c r="E607" t="str">
        <f>TRIM(_xlfn.TEXTBEFORE(Employee_dataset[[#This Row],[Department_Region]],"-"))</f>
        <v>Cloud Tech</v>
      </c>
      <c r="F607" t="str">
        <f>TRIM(_xlfn.TEXTAFTER(Employee_dataset[[#This Row],[Department_Region]],"-"))</f>
        <v>Texas</v>
      </c>
      <c r="G607" t="str">
        <f>TRIM(Employee_dataset[[#This Row],[Status]])</f>
        <v>Pending</v>
      </c>
      <c r="H607" s="1">
        <f>_xlfn.LET(
     _xlpm.d, Employee_dataset[[#This Row],[Join_Date]],
     IF(
        ISNUMBER(_xlpm.d),_xlpm.d,""
       )
    )</f>
        <v>44494</v>
      </c>
      <c r="I607" s="6">
        <f>_xlfn.LET(
     _xlpm.s, TRIM(Employee_dataset[[#This Row],[Salary]]),
     IF(
        UPPER(_xlpm.s)="N/A","",
        IF(
           ISNUMBER(--_xlpm.s),ROUND(_xlfn.NUMBERVALUE(_xlpm.s),2),""
          )
       )
    )</f>
        <v>57225.75</v>
      </c>
      <c r="J607" t="str">
        <f>TRIM(Employee_dataset[[#This Row],[Email]])</f>
        <v>heidi.williams@example.com</v>
      </c>
      <c r="K607" t="str">
        <f>_xlfn.LET(
     _xlpm.p,TRIM(SUBSTITUTE(Employee_dataset[[#This Row],[Phone]],"-","")),
     IF(
        LEN(_xlpm.p)=10,_xlfn.CONCAT("("&amp;LEFT(_xlpm.p,3)&amp;") "&amp;MID(_xlpm.p,4,3)&amp;"-"&amp;RIGHT(_xlpm.p,4),"")
       )
     )</f>
        <v>(694) 551-5887</v>
      </c>
      <c r="L607" t="str">
        <f>TRIM(Employee_dataset[[#This Row],[Performance_Score]])</f>
        <v>Average</v>
      </c>
      <c r="M607" t="str">
        <f>TRIM(Employee_dataset[[#This Row],[Remote_Work]])</f>
        <v>TRUE</v>
      </c>
    </row>
    <row r="608" spans="1:13" x14ac:dyDescent="0.3">
      <c r="A608" t="str">
        <f>TRIM(Employee_dataset[[#This Row],[Employee_ID]])</f>
        <v>EMP1606</v>
      </c>
      <c r="B608" t="str">
        <f>PROPER(TRIM(Employee_dataset[[#This Row],[First_Name]]))</f>
        <v>Eva</v>
      </c>
      <c r="C608" t="str">
        <f>PROPER(TRIM(Employee_dataset[[#This Row],[Last_Name]]))</f>
        <v>Davis</v>
      </c>
      <c r="D608" s="6" t="str">
        <f>_xlfn.LET(
     _xlpm.a, TRIM(Employee_dataset[[#This Row],[Age]]),
     IF(
        _xlpm.a="","",
        IF(
           AND(ISNUMBER(--_xlpm.a),LEN(_xlpm.a)=2),_xlpm.a,""
          )
       )
    )</f>
        <v>35</v>
      </c>
      <c r="E608" t="str">
        <f>TRIM(_xlfn.TEXTBEFORE(Employee_dataset[[#This Row],[Department_Region]],"-"))</f>
        <v>Sales</v>
      </c>
      <c r="F608" t="str">
        <f>TRIM(_xlfn.TEXTAFTER(Employee_dataset[[#This Row],[Department_Region]],"-"))</f>
        <v>Illinois</v>
      </c>
      <c r="G608" t="str">
        <f>TRIM(Employee_dataset[[#This Row],[Status]])</f>
        <v>Pending</v>
      </c>
      <c r="H608" s="1">
        <f>_xlfn.LET(
     _xlpm.d, Employee_dataset[[#This Row],[Join_Date]],
     IF(
        ISNUMBER(_xlpm.d),_xlpm.d,""
       )
    )</f>
        <v>44187</v>
      </c>
      <c r="I608" s="6">
        <f>_xlfn.LET(
     _xlpm.s, TRIM(Employee_dataset[[#This Row],[Salary]]),
     IF(
        UPPER(_xlpm.s)="N/A","",
        IF(
           ISNUMBER(--_xlpm.s),ROUND(_xlfn.NUMBERVALUE(_xlpm.s),2),""
          )
       )
    )</f>
        <v>76366.17</v>
      </c>
      <c r="J608" t="str">
        <f>TRIM(Employee_dataset[[#This Row],[Email]])</f>
        <v>eva.davis@example.com</v>
      </c>
      <c r="K608" t="str">
        <f>_xlfn.LET(
     _xlpm.p,TRIM(SUBSTITUTE(Employee_dataset[[#This Row],[Phone]],"-","")),
     IF(
        LEN(_xlpm.p)=10,_xlfn.CONCAT("("&amp;LEFT(_xlpm.p,3)&amp;") "&amp;MID(_xlpm.p,4,3)&amp;"-"&amp;RIGHT(_xlpm.p,4),"")
       )
     )</f>
        <v>(636) 774-7225</v>
      </c>
      <c r="L608" t="str">
        <f>TRIM(Employee_dataset[[#This Row],[Performance_Score]])</f>
        <v>Excellent</v>
      </c>
      <c r="M608" t="str">
        <f>TRIM(Employee_dataset[[#This Row],[Remote_Work]])</f>
        <v>FALSE</v>
      </c>
    </row>
    <row r="609" spans="1:13" x14ac:dyDescent="0.3">
      <c r="A609" t="str">
        <f>TRIM(Employee_dataset[[#This Row],[Employee_ID]])</f>
        <v>EMP1607</v>
      </c>
      <c r="B609" t="str">
        <f>PROPER(TRIM(Employee_dataset[[#This Row],[First_Name]]))</f>
        <v>Bob</v>
      </c>
      <c r="C609" t="str">
        <f>PROPER(TRIM(Employee_dataset[[#This Row],[Last_Name]]))</f>
        <v>Garcia</v>
      </c>
      <c r="D609" s="6" t="str">
        <f>_xlfn.LET(
     _xlpm.a, TRIM(Employee_dataset[[#This Row],[Age]]),
     IF(
        _xlpm.a="","",
        IF(
           AND(ISNUMBER(--_xlpm.a),LEN(_xlpm.a)=2),_xlpm.a,""
          )
       )
    )</f>
        <v/>
      </c>
      <c r="E609" t="str">
        <f>TRIM(_xlfn.TEXTBEFORE(Employee_dataset[[#This Row],[Department_Region]],"-"))</f>
        <v>HR</v>
      </c>
      <c r="F609" t="str">
        <f>TRIM(_xlfn.TEXTAFTER(Employee_dataset[[#This Row],[Department_Region]],"-"))</f>
        <v>Florida</v>
      </c>
      <c r="G609" t="str">
        <f>TRIM(Employee_dataset[[#This Row],[Status]])</f>
        <v>Active</v>
      </c>
      <c r="H609" s="1">
        <f>_xlfn.LET(
     _xlpm.d, Employee_dataset[[#This Row],[Join_Date]],
     IF(
        ISNUMBER(_xlpm.d),_xlpm.d,""
       )
    )</f>
        <v>44888</v>
      </c>
      <c r="I609" s="6">
        <f>_xlfn.LET(
     _xlpm.s, TRIM(Employee_dataset[[#This Row],[Salary]]),
     IF(
        UPPER(_xlpm.s)="N/A","",
        IF(
           ISNUMBER(--_xlpm.s),ROUND(_xlfn.NUMBERVALUE(_xlpm.s),2),""
          )
       )
    )</f>
        <v>78408.95</v>
      </c>
      <c r="J609" t="str">
        <f>TRIM(Employee_dataset[[#This Row],[Email]])</f>
        <v>bob.garcia@example.com</v>
      </c>
      <c r="K609" t="str">
        <f>_xlfn.LET(
     _xlpm.p,TRIM(SUBSTITUTE(Employee_dataset[[#This Row],[Phone]],"-","")),
     IF(
        LEN(_xlpm.p)=10,_xlfn.CONCAT("("&amp;LEFT(_xlpm.p,3)&amp;") "&amp;MID(_xlpm.p,4,3)&amp;"-"&amp;RIGHT(_xlpm.p,4),"")
       )
     )</f>
        <v>(408) 572-1695</v>
      </c>
      <c r="L609" t="str">
        <f>TRIM(Employee_dataset[[#This Row],[Performance_Score]])</f>
        <v>Excellent</v>
      </c>
      <c r="M609" t="str">
        <f>TRIM(Employee_dataset[[#This Row],[Remote_Work]])</f>
        <v>TRUE</v>
      </c>
    </row>
    <row r="610" spans="1:13" x14ac:dyDescent="0.3">
      <c r="A610" t="str">
        <f>TRIM(Employee_dataset[[#This Row],[Employee_ID]])</f>
        <v>EMP1608</v>
      </c>
      <c r="B610" t="str">
        <f>PROPER(TRIM(Employee_dataset[[#This Row],[First_Name]]))</f>
        <v>Frank</v>
      </c>
      <c r="C610" t="str">
        <f>PROPER(TRIM(Employee_dataset[[#This Row],[Last_Name]]))</f>
        <v>Brown</v>
      </c>
      <c r="D610" s="6" t="str">
        <f>_xlfn.LET(
     _xlpm.a, TRIM(Employee_dataset[[#This Row],[Age]]),
     IF(
        _xlpm.a="","",
        IF(
           AND(ISNUMBER(--_xlpm.a),LEN(_xlpm.a)=2),_xlpm.a,""
          )
       )
    )</f>
        <v>40</v>
      </c>
      <c r="E610" t="str">
        <f>TRIM(_xlfn.TEXTBEFORE(Employee_dataset[[#This Row],[Department_Region]],"-"))</f>
        <v>Finance</v>
      </c>
      <c r="F610" t="str">
        <f>TRIM(_xlfn.TEXTAFTER(Employee_dataset[[#This Row],[Department_Region]],"-"))</f>
        <v>Illinois</v>
      </c>
      <c r="G610" t="str">
        <f>TRIM(Employee_dataset[[#This Row],[Status]])</f>
        <v>Active</v>
      </c>
      <c r="H610" s="1">
        <f>_xlfn.LET(
     _xlpm.d, Employee_dataset[[#This Row],[Join_Date]],
     IF(
        ISNUMBER(_xlpm.d),_xlpm.d,""
       )
    )</f>
        <v>44858</v>
      </c>
      <c r="I610" s="6">
        <f>_xlfn.LET(
     _xlpm.s, TRIM(Employee_dataset[[#This Row],[Salary]]),
     IF(
        UPPER(_xlpm.s)="N/A","",
        IF(
           ISNUMBER(--_xlpm.s),ROUND(_xlfn.NUMBERVALUE(_xlpm.s),2),""
          )
       )
    )</f>
        <v>111742.39999999999</v>
      </c>
      <c r="J610" t="str">
        <f>TRIM(Employee_dataset[[#This Row],[Email]])</f>
        <v>frank.brown@example.com</v>
      </c>
      <c r="K610" t="str">
        <f>_xlfn.LET(
     _xlpm.p,TRIM(SUBSTITUTE(Employee_dataset[[#This Row],[Phone]],"-","")),
     IF(
        LEN(_xlpm.p)=10,_xlfn.CONCAT("("&amp;LEFT(_xlpm.p,3)&amp;") "&amp;MID(_xlpm.p,4,3)&amp;"-"&amp;RIGHT(_xlpm.p,4),"")
       )
     )</f>
        <v>(663) 093-2997</v>
      </c>
      <c r="L610" t="str">
        <f>TRIM(Employee_dataset[[#This Row],[Performance_Score]])</f>
        <v>Average</v>
      </c>
      <c r="M610" t="str">
        <f>TRIM(Employee_dataset[[#This Row],[Remote_Work]])</f>
        <v>TRUE</v>
      </c>
    </row>
    <row r="611" spans="1:13" x14ac:dyDescent="0.3">
      <c r="A611" t="str">
        <f>TRIM(Employee_dataset[[#This Row],[Employee_ID]])</f>
        <v>EMP1609</v>
      </c>
      <c r="B611" t="str">
        <f>PROPER(TRIM(Employee_dataset[[#This Row],[First_Name]]))</f>
        <v>David</v>
      </c>
      <c r="C611" t="str">
        <f>PROPER(TRIM(Employee_dataset[[#This Row],[Last_Name]]))</f>
        <v>Garcia</v>
      </c>
      <c r="D611" s="6" t="str">
        <f>_xlfn.LET(
     _xlpm.a, TRIM(Employee_dataset[[#This Row],[Age]]),
     IF(
        _xlpm.a="","",
        IF(
           AND(ISNUMBER(--_xlpm.a),LEN(_xlpm.a)=2),_xlpm.a,""
          )
       )
    )</f>
        <v>25</v>
      </c>
      <c r="E611" t="str">
        <f>TRIM(_xlfn.TEXTBEFORE(Employee_dataset[[#This Row],[Department_Region]],"-"))</f>
        <v>Sales</v>
      </c>
      <c r="F611" t="str">
        <f>TRIM(_xlfn.TEXTAFTER(Employee_dataset[[#This Row],[Department_Region]],"-"))</f>
        <v>Nevada</v>
      </c>
      <c r="G611" t="str">
        <f>TRIM(Employee_dataset[[#This Row],[Status]])</f>
        <v>Inactive</v>
      </c>
      <c r="H611" s="1">
        <f>_xlfn.LET(
     _xlpm.d, Employee_dataset[[#This Row],[Join_Date]],
     IF(
        ISNUMBER(_xlpm.d),_xlpm.d,""
       )
    )</f>
        <v>44264</v>
      </c>
      <c r="I611" s="6">
        <f>_xlfn.LET(
     _xlpm.s, TRIM(Employee_dataset[[#This Row],[Salary]]),
     IF(
        UPPER(_xlpm.s)="N/A","",
        IF(
           ISNUMBER(--_xlpm.s),ROUND(_xlfn.NUMBERVALUE(_xlpm.s),2),""
          )
       )
    )</f>
        <v>60516.83</v>
      </c>
      <c r="J611" t="str">
        <f>TRIM(Employee_dataset[[#This Row],[Email]])</f>
        <v>david.garcia@example.com</v>
      </c>
      <c r="K611" t="str">
        <f>_xlfn.LET(
     _xlpm.p,TRIM(SUBSTITUTE(Employee_dataset[[#This Row],[Phone]],"-","")),
     IF(
        LEN(_xlpm.p)=10,_xlfn.CONCAT("("&amp;LEFT(_xlpm.p,3)&amp;") "&amp;MID(_xlpm.p,4,3)&amp;"-"&amp;RIGHT(_xlpm.p,4),"")
       )
     )</f>
        <v>(199) 605-9328</v>
      </c>
      <c r="L611" t="str">
        <f>TRIM(Employee_dataset[[#This Row],[Performance_Score]])</f>
        <v>Good</v>
      </c>
      <c r="M611" t="str">
        <f>TRIM(Employee_dataset[[#This Row],[Remote_Work]])</f>
        <v>FALSE</v>
      </c>
    </row>
    <row r="612" spans="1:13" x14ac:dyDescent="0.3">
      <c r="A612" t="str">
        <f>TRIM(Employee_dataset[[#This Row],[Employee_ID]])</f>
        <v>EMP1610</v>
      </c>
      <c r="B612" t="str">
        <f>PROPER(TRIM(Employee_dataset[[#This Row],[First_Name]]))</f>
        <v>Bob</v>
      </c>
      <c r="C612" t="str">
        <f>PROPER(TRIM(Employee_dataset[[#This Row],[Last_Name]]))</f>
        <v>Jones</v>
      </c>
      <c r="D612" s="6" t="str">
        <f>_xlfn.LET(
     _xlpm.a, TRIM(Employee_dataset[[#This Row],[Age]]),
     IF(
        _xlpm.a="","",
        IF(
           AND(ISNUMBER(--_xlpm.a),LEN(_xlpm.a)=2),_xlpm.a,""
          )
       )
    )</f>
        <v>30</v>
      </c>
      <c r="E612" t="str">
        <f>TRIM(_xlfn.TEXTBEFORE(Employee_dataset[[#This Row],[Department_Region]],"-"))</f>
        <v>Finance</v>
      </c>
      <c r="F612" t="str">
        <f>TRIM(_xlfn.TEXTAFTER(Employee_dataset[[#This Row],[Department_Region]],"-"))</f>
        <v>California</v>
      </c>
      <c r="G612" t="str">
        <f>TRIM(Employee_dataset[[#This Row],[Status]])</f>
        <v>Pending</v>
      </c>
      <c r="H612" s="1">
        <f>_xlfn.LET(
     _xlpm.d, Employee_dataset[[#This Row],[Join_Date]],
     IF(
        ISNUMBER(_xlpm.d),_xlpm.d,""
       )
    )</f>
        <v>44063</v>
      </c>
      <c r="I612" s="6">
        <f>_xlfn.LET(
     _xlpm.s, TRIM(Employee_dataset[[#This Row],[Salary]]),
     IF(
        UPPER(_xlpm.s)="N/A","",
        IF(
           ISNUMBER(--_xlpm.s),ROUND(_xlfn.NUMBERVALUE(_xlpm.s),2),""
          )
       )
    )</f>
        <v>83706.17</v>
      </c>
      <c r="J612" t="str">
        <f>TRIM(Employee_dataset[[#This Row],[Email]])</f>
        <v>bob.jones@example.com</v>
      </c>
      <c r="K612" t="str">
        <f>_xlfn.LET(
     _xlpm.p,TRIM(SUBSTITUTE(Employee_dataset[[#This Row],[Phone]],"-","")),
     IF(
        LEN(_xlpm.p)=10,_xlfn.CONCAT("("&amp;LEFT(_xlpm.p,3)&amp;") "&amp;MID(_xlpm.p,4,3)&amp;"-"&amp;RIGHT(_xlpm.p,4),"")
       )
     )</f>
        <v>(715) 096-8831</v>
      </c>
      <c r="L612" t="str">
        <f>TRIM(Employee_dataset[[#This Row],[Performance_Score]])</f>
        <v>Average</v>
      </c>
      <c r="M612" t="str">
        <f>TRIM(Employee_dataset[[#This Row],[Remote_Work]])</f>
        <v>FALSE</v>
      </c>
    </row>
    <row r="613" spans="1:13" x14ac:dyDescent="0.3">
      <c r="A613" t="str">
        <f>TRIM(Employee_dataset[[#This Row],[Employee_ID]])</f>
        <v>EMP1611</v>
      </c>
      <c r="B613" t="str">
        <f>PROPER(TRIM(Employee_dataset[[#This Row],[First_Name]]))</f>
        <v>David</v>
      </c>
      <c r="C613" t="str">
        <f>PROPER(TRIM(Employee_dataset[[#This Row],[Last_Name]]))</f>
        <v>Johnson</v>
      </c>
      <c r="D613" s="6" t="str">
        <f>_xlfn.LET(
     _xlpm.a, TRIM(Employee_dataset[[#This Row],[Age]]),
     IF(
        _xlpm.a="","",
        IF(
           AND(ISNUMBER(--_xlpm.a),LEN(_xlpm.a)=2),_xlpm.a,""
          )
       )
    )</f>
        <v/>
      </c>
      <c r="E613" t="str">
        <f>TRIM(_xlfn.TEXTBEFORE(Employee_dataset[[#This Row],[Department_Region]],"-"))</f>
        <v>Admin</v>
      </c>
      <c r="F613" t="str">
        <f>TRIM(_xlfn.TEXTAFTER(Employee_dataset[[#This Row],[Department_Region]],"-"))</f>
        <v>Nevada</v>
      </c>
      <c r="G613" t="str">
        <f>TRIM(Employee_dataset[[#This Row],[Status]])</f>
        <v>Inactive</v>
      </c>
      <c r="H613" s="1">
        <f>_xlfn.LET(
     _xlpm.d, Employee_dataset[[#This Row],[Join_Date]],
     IF(
        ISNUMBER(_xlpm.d),_xlpm.d,""
       )
    )</f>
        <v>43876</v>
      </c>
      <c r="I613" s="6">
        <f>_xlfn.LET(
     _xlpm.s, TRIM(Employee_dataset[[#This Row],[Salary]]),
     IF(
        UPPER(_xlpm.s)="N/A","",
        IF(
           ISNUMBER(--_xlpm.s),ROUND(_xlfn.NUMBERVALUE(_xlpm.s),2),""
          )
       )
    )</f>
        <v>67056.92</v>
      </c>
      <c r="J613" t="str">
        <f>TRIM(Employee_dataset[[#This Row],[Email]])</f>
        <v>david.johnson@example.com</v>
      </c>
      <c r="K613" t="str">
        <f>_xlfn.LET(
     _xlpm.p,TRIM(SUBSTITUTE(Employee_dataset[[#This Row],[Phone]],"-","")),
     IF(
        LEN(_xlpm.p)=10,_xlfn.CONCAT("("&amp;LEFT(_xlpm.p,3)&amp;") "&amp;MID(_xlpm.p,4,3)&amp;"-"&amp;RIGHT(_xlpm.p,4),"")
       )
     )</f>
        <v>(753) 273-5240</v>
      </c>
      <c r="L613" t="str">
        <f>TRIM(Employee_dataset[[#This Row],[Performance_Score]])</f>
        <v>Average</v>
      </c>
      <c r="M613" t="str">
        <f>TRIM(Employee_dataset[[#This Row],[Remote_Work]])</f>
        <v>TRUE</v>
      </c>
    </row>
    <row r="614" spans="1:13" x14ac:dyDescent="0.3">
      <c r="A614" t="str">
        <f>TRIM(Employee_dataset[[#This Row],[Employee_ID]])</f>
        <v>EMP1612</v>
      </c>
      <c r="B614" t="str">
        <f>PROPER(TRIM(Employee_dataset[[#This Row],[First_Name]]))</f>
        <v>Charlie</v>
      </c>
      <c r="C614" t="str">
        <f>PROPER(TRIM(Employee_dataset[[#This Row],[Last_Name]]))</f>
        <v>Brown</v>
      </c>
      <c r="D614" s="6" t="str">
        <f>_xlfn.LET(
     _xlpm.a, TRIM(Employee_dataset[[#This Row],[Age]]),
     IF(
        _xlpm.a="","",
        IF(
           AND(ISNUMBER(--_xlpm.a),LEN(_xlpm.a)=2),_xlpm.a,""
          )
       )
    )</f>
        <v>30</v>
      </c>
      <c r="E614" t="str">
        <f>TRIM(_xlfn.TEXTBEFORE(Employee_dataset[[#This Row],[Department_Region]],"-"))</f>
        <v>DevOps</v>
      </c>
      <c r="F614" t="str">
        <f>TRIM(_xlfn.TEXTAFTER(Employee_dataset[[#This Row],[Department_Region]],"-"))</f>
        <v>Illinois</v>
      </c>
      <c r="G614" t="str">
        <f>TRIM(Employee_dataset[[#This Row],[Status]])</f>
        <v>Active</v>
      </c>
      <c r="H614" s="1">
        <f>_xlfn.LET(
     _xlpm.d, Employee_dataset[[#This Row],[Join_Date]],
     IF(
        ISNUMBER(_xlpm.d),_xlpm.d,""
       )
    )</f>
        <v>45655</v>
      </c>
      <c r="I614" s="6">
        <f>_xlfn.LET(
     _xlpm.s, TRIM(Employee_dataset[[#This Row],[Salary]]),
     IF(
        UPPER(_xlpm.s)="N/A","",
        IF(
           ISNUMBER(--_xlpm.s),ROUND(_xlfn.NUMBERVALUE(_xlpm.s),2),""
          )
       )
    )</f>
        <v>90058.85</v>
      </c>
      <c r="J614" t="str">
        <f>TRIM(Employee_dataset[[#This Row],[Email]])</f>
        <v>charlie.brown@example.com</v>
      </c>
      <c r="K614" t="b">
        <f>_xlfn.LET(
     _xlpm.p,TRIM(SUBSTITUTE(Employee_dataset[[#This Row],[Phone]],"-","")),
     IF(
        LEN(_xlpm.p)=10,_xlfn.CONCAT("("&amp;LEFT(_xlpm.p,3)&amp;") "&amp;MID(_xlpm.p,4,3)&amp;"-"&amp;RIGHT(_xlpm.p,4),"")
       )
     )</f>
        <v>0</v>
      </c>
      <c r="L614" t="str">
        <f>TRIM(Employee_dataset[[#This Row],[Performance_Score]])</f>
        <v>Poor</v>
      </c>
      <c r="M614" t="str">
        <f>TRIM(Employee_dataset[[#This Row],[Remote_Work]])</f>
        <v>FALSE</v>
      </c>
    </row>
    <row r="615" spans="1:13" x14ac:dyDescent="0.3">
      <c r="A615" t="str">
        <f>TRIM(Employee_dataset[[#This Row],[Employee_ID]])</f>
        <v>EMP1613</v>
      </c>
      <c r="B615" t="str">
        <f>PROPER(TRIM(Employee_dataset[[#This Row],[First_Name]]))</f>
        <v>Eva</v>
      </c>
      <c r="C615" t="str">
        <f>PROPER(TRIM(Employee_dataset[[#This Row],[Last_Name]]))</f>
        <v>Johnson</v>
      </c>
      <c r="D615" s="6" t="str">
        <f>_xlfn.LET(
     _xlpm.a, TRIM(Employee_dataset[[#This Row],[Age]]),
     IF(
        _xlpm.a="","",
        IF(
           AND(ISNUMBER(--_xlpm.a),LEN(_xlpm.a)=2),_xlpm.a,""
          )
       )
    )</f>
        <v>30</v>
      </c>
      <c r="E615" t="str">
        <f>TRIM(_xlfn.TEXTBEFORE(Employee_dataset[[#This Row],[Department_Region]],"-"))</f>
        <v>Sales</v>
      </c>
      <c r="F615" t="str">
        <f>TRIM(_xlfn.TEXTAFTER(Employee_dataset[[#This Row],[Department_Region]],"-"))</f>
        <v>Florida</v>
      </c>
      <c r="G615" t="str">
        <f>TRIM(Employee_dataset[[#This Row],[Status]])</f>
        <v>Pending</v>
      </c>
      <c r="H615" s="1">
        <f>_xlfn.LET(
     _xlpm.d, Employee_dataset[[#This Row],[Join_Date]],
     IF(
        ISNUMBER(_xlpm.d),_xlpm.d,""
       )
    )</f>
        <v>44985</v>
      </c>
      <c r="I615" s="6">
        <f>_xlfn.LET(
     _xlpm.s, TRIM(Employee_dataset[[#This Row],[Salary]]),
     IF(
        UPPER(_xlpm.s)="N/A","",
        IF(
           ISNUMBER(--_xlpm.s),ROUND(_xlfn.NUMBERVALUE(_xlpm.s),2),""
          )
       )
    )</f>
        <v>94633.59</v>
      </c>
      <c r="J615" t="str">
        <f>TRIM(Employee_dataset[[#This Row],[Email]])</f>
        <v>eva.johnson@example.com</v>
      </c>
      <c r="K615" t="str">
        <f>_xlfn.LET(
     _xlpm.p,TRIM(SUBSTITUTE(Employee_dataset[[#This Row],[Phone]],"-","")),
     IF(
        LEN(_xlpm.p)=10,_xlfn.CONCAT("("&amp;LEFT(_xlpm.p,3)&amp;") "&amp;MID(_xlpm.p,4,3)&amp;"-"&amp;RIGHT(_xlpm.p,4),"")
       )
     )</f>
        <v>(781) 952-3709</v>
      </c>
      <c r="L615" t="str">
        <f>TRIM(Employee_dataset[[#This Row],[Performance_Score]])</f>
        <v>Average</v>
      </c>
      <c r="M615" t="str">
        <f>TRIM(Employee_dataset[[#This Row],[Remote_Work]])</f>
        <v>TRUE</v>
      </c>
    </row>
    <row r="616" spans="1:13" x14ac:dyDescent="0.3">
      <c r="A616" t="str">
        <f>TRIM(Employee_dataset[[#This Row],[Employee_ID]])</f>
        <v>EMP1614</v>
      </c>
      <c r="B616" t="str">
        <f>PROPER(TRIM(Employee_dataset[[#This Row],[First_Name]]))</f>
        <v>Eva</v>
      </c>
      <c r="C616" t="str">
        <f>PROPER(TRIM(Employee_dataset[[#This Row],[Last_Name]]))</f>
        <v>Miller</v>
      </c>
      <c r="D616" s="6" t="str">
        <f>_xlfn.LET(
     _xlpm.a, TRIM(Employee_dataset[[#This Row],[Age]]),
     IF(
        _xlpm.a="","",
        IF(
           AND(ISNUMBER(--_xlpm.a),LEN(_xlpm.a)=2),_xlpm.a,""
          )
       )
    )</f>
        <v>25</v>
      </c>
      <c r="E616" t="str">
        <f>TRIM(_xlfn.TEXTBEFORE(Employee_dataset[[#This Row],[Department_Region]],"-"))</f>
        <v>Admin</v>
      </c>
      <c r="F616" t="str">
        <f>TRIM(_xlfn.TEXTAFTER(Employee_dataset[[#This Row],[Department_Region]],"-"))</f>
        <v>Florida</v>
      </c>
      <c r="G616" t="str">
        <f>TRIM(Employee_dataset[[#This Row],[Status]])</f>
        <v>Pending</v>
      </c>
      <c r="H616" s="1">
        <f>_xlfn.LET(
     _xlpm.d, Employee_dataset[[#This Row],[Join_Date]],
     IF(
        ISNUMBER(_xlpm.d),_xlpm.d,""
       )
    )</f>
        <v>44796</v>
      </c>
      <c r="I616" s="6">
        <f>_xlfn.LET(
     _xlpm.s, TRIM(Employee_dataset[[#This Row],[Salary]]),
     IF(
        UPPER(_xlpm.s)="N/A","",
        IF(
           ISNUMBER(--_xlpm.s),ROUND(_xlfn.NUMBERVALUE(_xlpm.s),2),""
          )
       )
    )</f>
        <v>110711.17</v>
      </c>
      <c r="J616" t="str">
        <f>TRIM(Employee_dataset[[#This Row],[Email]])</f>
        <v>eva.miller@example.com</v>
      </c>
      <c r="K616" t="b">
        <f>_xlfn.LET(
     _xlpm.p,TRIM(SUBSTITUTE(Employee_dataset[[#This Row],[Phone]],"-","")),
     IF(
        LEN(_xlpm.p)=10,_xlfn.CONCAT("("&amp;LEFT(_xlpm.p,3)&amp;") "&amp;MID(_xlpm.p,4,3)&amp;"-"&amp;RIGHT(_xlpm.p,4),"")
       )
     )</f>
        <v>0</v>
      </c>
      <c r="L616" t="str">
        <f>TRIM(Employee_dataset[[#This Row],[Performance_Score]])</f>
        <v>Excellent</v>
      </c>
      <c r="M616" t="str">
        <f>TRIM(Employee_dataset[[#This Row],[Remote_Work]])</f>
        <v>TRUE</v>
      </c>
    </row>
    <row r="617" spans="1:13" x14ac:dyDescent="0.3">
      <c r="A617" t="str">
        <f>TRIM(Employee_dataset[[#This Row],[Employee_ID]])</f>
        <v>EMP1615</v>
      </c>
      <c r="B617" t="str">
        <f>PROPER(TRIM(Employee_dataset[[#This Row],[First_Name]]))</f>
        <v>Grace</v>
      </c>
      <c r="C617" t="str">
        <f>PROPER(TRIM(Employee_dataset[[#This Row],[Last_Name]]))</f>
        <v>Williams</v>
      </c>
      <c r="D617" s="6" t="str">
        <f>_xlfn.LET(
     _xlpm.a, TRIM(Employee_dataset[[#This Row],[Age]]),
     IF(
        _xlpm.a="","",
        IF(
           AND(ISNUMBER(--_xlpm.a),LEN(_xlpm.a)=2),_xlpm.a,""
          )
       )
    )</f>
        <v/>
      </c>
      <c r="E617" t="str">
        <f>TRIM(_xlfn.TEXTBEFORE(Employee_dataset[[#This Row],[Department_Region]],"-"))</f>
        <v>Admin</v>
      </c>
      <c r="F617" t="str">
        <f>TRIM(_xlfn.TEXTAFTER(Employee_dataset[[#This Row],[Department_Region]],"-"))</f>
        <v>Illinois</v>
      </c>
      <c r="G617" t="str">
        <f>TRIM(Employee_dataset[[#This Row],[Status]])</f>
        <v>Active</v>
      </c>
      <c r="H617" s="1">
        <f>_xlfn.LET(
     _xlpm.d, Employee_dataset[[#This Row],[Join_Date]],
     IF(
        ISNUMBER(_xlpm.d),_xlpm.d,""
       )
    )</f>
        <v>45107</v>
      </c>
      <c r="I617" s="6">
        <f>_xlfn.LET(
     _xlpm.s, TRIM(Employee_dataset[[#This Row],[Salary]]),
     IF(
        UPPER(_xlpm.s)="N/A","",
        IF(
           ISNUMBER(--_xlpm.s),ROUND(_xlfn.NUMBERVALUE(_xlpm.s),2),""
          )
       )
    )</f>
        <v>96175.41</v>
      </c>
      <c r="J617" t="str">
        <f>TRIM(Employee_dataset[[#This Row],[Email]])</f>
        <v>grace.williams@example.com</v>
      </c>
      <c r="K617" t="str">
        <f>_xlfn.LET(
     _xlpm.p,TRIM(SUBSTITUTE(Employee_dataset[[#This Row],[Phone]],"-","")),
     IF(
        LEN(_xlpm.p)=10,_xlfn.CONCAT("("&amp;LEFT(_xlpm.p,3)&amp;") "&amp;MID(_xlpm.p,4,3)&amp;"-"&amp;RIGHT(_xlpm.p,4),"")
       )
     )</f>
        <v>(980) 770-4604</v>
      </c>
      <c r="L617" t="str">
        <f>TRIM(Employee_dataset[[#This Row],[Performance_Score]])</f>
        <v>Average</v>
      </c>
      <c r="M617" t="str">
        <f>TRIM(Employee_dataset[[#This Row],[Remote_Work]])</f>
        <v>TRUE</v>
      </c>
    </row>
    <row r="618" spans="1:13" x14ac:dyDescent="0.3">
      <c r="A618" t="str">
        <f>TRIM(Employee_dataset[[#This Row],[Employee_ID]])</f>
        <v>EMP1616</v>
      </c>
      <c r="B618" t="str">
        <f>PROPER(TRIM(Employee_dataset[[#This Row],[First_Name]]))</f>
        <v>Frank</v>
      </c>
      <c r="C618" t="str">
        <f>PROPER(TRIM(Employee_dataset[[#This Row],[Last_Name]]))</f>
        <v>Smith</v>
      </c>
      <c r="D618" s="6" t="str">
        <f>_xlfn.LET(
     _xlpm.a, TRIM(Employee_dataset[[#This Row],[Age]]),
     IF(
        _xlpm.a="","",
        IF(
           AND(ISNUMBER(--_xlpm.a),LEN(_xlpm.a)=2),_xlpm.a,""
          )
       )
    )</f>
        <v>40</v>
      </c>
      <c r="E618" t="str">
        <f>TRIM(_xlfn.TEXTBEFORE(Employee_dataset[[#This Row],[Department_Region]],"-"))</f>
        <v>Sales</v>
      </c>
      <c r="F618" t="str">
        <f>TRIM(_xlfn.TEXTAFTER(Employee_dataset[[#This Row],[Department_Region]],"-"))</f>
        <v>Illinois</v>
      </c>
      <c r="G618" t="str">
        <f>TRIM(Employee_dataset[[#This Row],[Status]])</f>
        <v>Active</v>
      </c>
      <c r="H618" s="1">
        <f>_xlfn.LET(
     _xlpm.d, Employee_dataset[[#This Row],[Join_Date]],
     IF(
        ISNUMBER(_xlpm.d),_xlpm.d,""
       )
    )</f>
        <v>44301</v>
      </c>
      <c r="I618" s="6">
        <f>_xlfn.LET(
     _xlpm.s, TRIM(Employee_dataset[[#This Row],[Salary]]),
     IF(
        UPPER(_xlpm.s)="N/A","",
        IF(
           ISNUMBER(--_xlpm.s),ROUND(_xlfn.NUMBERVALUE(_xlpm.s),2),""
          )
       )
    )</f>
        <v>76474.789999999994</v>
      </c>
      <c r="J618" t="str">
        <f>TRIM(Employee_dataset[[#This Row],[Email]])</f>
        <v>frank.smith@example.com</v>
      </c>
      <c r="K618" t="str">
        <f>_xlfn.LET(
     _xlpm.p,TRIM(SUBSTITUTE(Employee_dataset[[#This Row],[Phone]],"-","")),
     IF(
        LEN(_xlpm.p)=10,_xlfn.CONCAT("("&amp;LEFT(_xlpm.p,3)&amp;") "&amp;MID(_xlpm.p,4,3)&amp;"-"&amp;RIGHT(_xlpm.p,4),"")
       )
     )</f>
        <v>(687) 611-2490</v>
      </c>
      <c r="L618" t="str">
        <f>TRIM(Employee_dataset[[#This Row],[Performance_Score]])</f>
        <v>Excellent</v>
      </c>
      <c r="M618" t="str">
        <f>TRIM(Employee_dataset[[#This Row],[Remote_Work]])</f>
        <v>TRUE</v>
      </c>
    </row>
    <row r="619" spans="1:13" x14ac:dyDescent="0.3">
      <c r="A619" t="str">
        <f>TRIM(Employee_dataset[[#This Row],[Employee_ID]])</f>
        <v>EMP1617</v>
      </c>
      <c r="B619" t="str">
        <f>PROPER(TRIM(Employee_dataset[[#This Row],[First_Name]]))</f>
        <v>Alice</v>
      </c>
      <c r="C619" t="str">
        <f>PROPER(TRIM(Employee_dataset[[#This Row],[Last_Name]]))</f>
        <v>Garcia</v>
      </c>
      <c r="D619" s="6" t="str">
        <f>_xlfn.LET(
     _xlpm.a, TRIM(Employee_dataset[[#This Row],[Age]]),
     IF(
        _xlpm.a="","",
        IF(
           AND(ISNUMBER(--_xlpm.a),LEN(_xlpm.a)=2),_xlpm.a,""
          )
       )
    )</f>
        <v>30</v>
      </c>
      <c r="E619" t="str">
        <f>TRIM(_xlfn.TEXTBEFORE(Employee_dataset[[#This Row],[Department_Region]],"-"))</f>
        <v>Sales</v>
      </c>
      <c r="F619" t="str">
        <f>TRIM(_xlfn.TEXTAFTER(Employee_dataset[[#This Row],[Department_Region]],"-"))</f>
        <v>Illinois</v>
      </c>
      <c r="G619" t="str">
        <f>TRIM(Employee_dataset[[#This Row],[Status]])</f>
        <v>Pending</v>
      </c>
      <c r="H619" s="1">
        <f>_xlfn.LET(
     _xlpm.d, Employee_dataset[[#This Row],[Join_Date]],
     IF(
        ISNUMBER(_xlpm.d),_xlpm.d,""
       )
    )</f>
        <v>44690</v>
      </c>
      <c r="I619" s="6">
        <f>_xlfn.LET(
     _xlpm.s, TRIM(Employee_dataset[[#This Row],[Salary]]),
     IF(
        UPPER(_xlpm.s)="N/A","",
        IF(
           ISNUMBER(--_xlpm.s),ROUND(_xlfn.NUMBERVALUE(_xlpm.s),2),""
          )
       )
    )</f>
        <v>107855.99</v>
      </c>
      <c r="J619" t="str">
        <f>TRIM(Employee_dataset[[#This Row],[Email]])</f>
        <v>alice.garcia@example.com</v>
      </c>
      <c r="K619" t="str">
        <f>_xlfn.LET(
     _xlpm.p,TRIM(SUBSTITUTE(Employee_dataset[[#This Row],[Phone]],"-","")),
     IF(
        LEN(_xlpm.p)=10,_xlfn.CONCAT("("&amp;LEFT(_xlpm.p,3)&amp;") "&amp;MID(_xlpm.p,4,3)&amp;"-"&amp;RIGHT(_xlpm.p,4),"")
       )
     )</f>
        <v>(256) 523-7340</v>
      </c>
      <c r="L619" t="str">
        <f>TRIM(Employee_dataset[[#This Row],[Performance_Score]])</f>
        <v>Excellent</v>
      </c>
      <c r="M619" t="str">
        <f>TRIM(Employee_dataset[[#This Row],[Remote_Work]])</f>
        <v>FALSE</v>
      </c>
    </row>
    <row r="620" spans="1:13" x14ac:dyDescent="0.3">
      <c r="A620" t="str">
        <f>TRIM(Employee_dataset[[#This Row],[Employee_ID]])</f>
        <v>EMP1618</v>
      </c>
      <c r="B620" t="str">
        <f>PROPER(TRIM(Employee_dataset[[#This Row],[First_Name]]))</f>
        <v>Charlie</v>
      </c>
      <c r="C620" t="str">
        <f>PROPER(TRIM(Employee_dataset[[#This Row],[Last_Name]]))</f>
        <v>Davis</v>
      </c>
      <c r="D620" s="6" t="str">
        <f>_xlfn.LET(
     _xlpm.a, TRIM(Employee_dataset[[#This Row],[Age]]),
     IF(
        _xlpm.a="","",
        IF(
           AND(ISNUMBER(--_xlpm.a),LEN(_xlpm.a)=2),_xlpm.a,""
          )
       )
    )</f>
        <v>40</v>
      </c>
      <c r="E620" t="str">
        <f>TRIM(_xlfn.TEXTBEFORE(Employee_dataset[[#This Row],[Department_Region]],"-"))</f>
        <v>Sales</v>
      </c>
      <c r="F620" t="str">
        <f>TRIM(_xlfn.TEXTAFTER(Employee_dataset[[#This Row],[Department_Region]],"-"))</f>
        <v>Illinois</v>
      </c>
      <c r="G620" t="str">
        <f>TRIM(Employee_dataset[[#This Row],[Status]])</f>
        <v>Active</v>
      </c>
      <c r="H620" s="1">
        <f>_xlfn.LET(
     _xlpm.d, Employee_dataset[[#This Row],[Join_Date]],
     IF(
        ISNUMBER(_xlpm.d),_xlpm.d,""
       )
    )</f>
        <v>45628</v>
      </c>
      <c r="I620" s="6">
        <f>_xlfn.LET(
     _xlpm.s, TRIM(Employee_dataset[[#This Row],[Salary]]),
     IF(
        UPPER(_xlpm.s)="N/A","",
        IF(
           ISNUMBER(--_xlpm.s),ROUND(_xlfn.NUMBERVALUE(_xlpm.s),2),""
          )
       )
    )</f>
        <v>104870.78</v>
      </c>
      <c r="J620" t="str">
        <f>TRIM(Employee_dataset[[#This Row],[Email]])</f>
        <v>charlie.davis@example.com</v>
      </c>
      <c r="K620" t="str">
        <f>_xlfn.LET(
     _xlpm.p,TRIM(SUBSTITUTE(Employee_dataset[[#This Row],[Phone]],"-","")),
     IF(
        LEN(_xlpm.p)=10,_xlfn.CONCAT("("&amp;LEFT(_xlpm.p,3)&amp;") "&amp;MID(_xlpm.p,4,3)&amp;"-"&amp;RIGHT(_xlpm.p,4),"")
       )
     )</f>
        <v>(517) 734-5474</v>
      </c>
      <c r="L620" t="str">
        <f>TRIM(Employee_dataset[[#This Row],[Performance_Score]])</f>
        <v>Excellent</v>
      </c>
      <c r="M620" t="str">
        <f>TRIM(Employee_dataset[[#This Row],[Remote_Work]])</f>
        <v>TRUE</v>
      </c>
    </row>
    <row r="621" spans="1:13" x14ac:dyDescent="0.3">
      <c r="A621" t="str">
        <f>TRIM(Employee_dataset[[#This Row],[Employee_ID]])</f>
        <v>EMP1619</v>
      </c>
      <c r="B621" t="str">
        <f>PROPER(TRIM(Employee_dataset[[#This Row],[First_Name]]))</f>
        <v>Bob</v>
      </c>
      <c r="C621" t="str">
        <f>PROPER(TRIM(Employee_dataset[[#This Row],[Last_Name]]))</f>
        <v>Williams</v>
      </c>
      <c r="D621" s="6" t="str">
        <f>_xlfn.LET(
     _xlpm.a, TRIM(Employee_dataset[[#This Row],[Age]]),
     IF(
        _xlpm.a="","",
        IF(
           AND(ISNUMBER(--_xlpm.a),LEN(_xlpm.a)=2),_xlpm.a,""
          )
       )
    )</f>
        <v>25</v>
      </c>
      <c r="E621" t="str">
        <f>TRIM(_xlfn.TEXTBEFORE(Employee_dataset[[#This Row],[Department_Region]],"-"))</f>
        <v>Finance</v>
      </c>
      <c r="F621" t="str">
        <f>TRIM(_xlfn.TEXTAFTER(Employee_dataset[[#This Row],[Department_Region]],"-"))</f>
        <v>Nevada</v>
      </c>
      <c r="G621" t="str">
        <f>TRIM(Employee_dataset[[#This Row],[Status]])</f>
        <v>Active</v>
      </c>
      <c r="H621" s="1">
        <f>_xlfn.LET(
     _xlpm.d, Employee_dataset[[#This Row],[Join_Date]],
     IF(
        ISNUMBER(_xlpm.d),_xlpm.d,""
       )
    )</f>
        <v>45066</v>
      </c>
      <c r="I621" s="6" t="str">
        <f>_xlfn.LET(
     _xlpm.s, TRIM(Employee_dataset[[#This Row],[Salary]]),
     IF(
        UPPER(_xlpm.s)="N/A","",
        IF(
           ISNUMBER(--_xlpm.s),ROUND(_xlfn.NUMBERVALUE(_xlpm.s),2),""
          )
       )
    )</f>
        <v/>
      </c>
      <c r="J621" t="str">
        <f>TRIM(Employee_dataset[[#This Row],[Email]])</f>
        <v>bob.williams@example.com</v>
      </c>
      <c r="K621" t="str">
        <f>_xlfn.LET(
     _xlpm.p,TRIM(SUBSTITUTE(Employee_dataset[[#This Row],[Phone]],"-","")),
     IF(
        LEN(_xlpm.p)=10,_xlfn.CONCAT("("&amp;LEFT(_xlpm.p,3)&amp;") "&amp;MID(_xlpm.p,4,3)&amp;"-"&amp;RIGHT(_xlpm.p,4),"")
       )
     )</f>
        <v>(749) 490-2283</v>
      </c>
      <c r="L621" t="str">
        <f>TRIM(Employee_dataset[[#This Row],[Performance_Score]])</f>
        <v>Good</v>
      </c>
      <c r="M621" t="str">
        <f>TRIM(Employee_dataset[[#This Row],[Remote_Work]])</f>
        <v>FALSE</v>
      </c>
    </row>
    <row r="622" spans="1:13" x14ac:dyDescent="0.3">
      <c r="A622" t="str">
        <f>TRIM(Employee_dataset[[#This Row],[Employee_ID]])</f>
        <v>EMP1620</v>
      </c>
      <c r="B622" t="str">
        <f>PROPER(TRIM(Employee_dataset[[#This Row],[First_Name]]))</f>
        <v>Grace</v>
      </c>
      <c r="C622" t="str">
        <f>PROPER(TRIM(Employee_dataset[[#This Row],[Last_Name]]))</f>
        <v>Brown</v>
      </c>
      <c r="D622" s="6" t="str">
        <f>_xlfn.LET(
     _xlpm.a, TRIM(Employee_dataset[[#This Row],[Age]]),
     IF(
        _xlpm.a="","",
        IF(
           AND(ISNUMBER(--_xlpm.a),LEN(_xlpm.a)=2),_xlpm.a,""
          )
       )
    )</f>
        <v/>
      </c>
      <c r="E622" t="str">
        <f>TRIM(_xlfn.TEXTBEFORE(Employee_dataset[[#This Row],[Department_Region]],"-"))</f>
        <v>Finance</v>
      </c>
      <c r="F622" t="str">
        <f>TRIM(_xlfn.TEXTAFTER(Employee_dataset[[#This Row],[Department_Region]],"-"))</f>
        <v>California</v>
      </c>
      <c r="G622" t="str">
        <f>TRIM(Employee_dataset[[#This Row],[Status]])</f>
        <v>Active</v>
      </c>
      <c r="H622" s="1">
        <f>_xlfn.LET(
     _xlpm.d, Employee_dataset[[#This Row],[Join_Date]],
     IF(
        ISNUMBER(_xlpm.d),_xlpm.d,""
       )
    )</f>
        <v>45259</v>
      </c>
      <c r="I622" s="6">
        <f>_xlfn.LET(
     _xlpm.s, TRIM(Employee_dataset[[#This Row],[Salary]]),
     IF(
        UPPER(_xlpm.s)="N/A","",
        IF(
           ISNUMBER(--_xlpm.s),ROUND(_xlfn.NUMBERVALUE(_xlpm.s),2),""
          )
       )
    )</f>
        <v>87087.16</v>
      </c>
      <c r="J622" t="str">
        <f>TRIM(Employee_dataset[[#This Row],[Email]])</f>
        <v>grace.brown@example.com</v>
      </c>
      <c r="K622" t="b">
        <f>_xlfn.LET(
     _xlpm.p,TRIM(SUBSTITUTE(Employee_dataset[[#This Row],[Phone]],"-","")),
     IF(
        LEN(_xlpm.p)=10,_xlfn.CONCAT("("&amp;LEFT(_xlpm.p,3)&amp;") "&amp;MID(_xlpm.p,4,3)&amp;"-"&amp;RIGHT(_xlpm.p,4),"")
       )
     )</f>
        <v>0</v>
      </c>
      <c r="L622" t="str">
        <f>TRIM(Employee_dataset[[#This Row],[Performance_Score]])</f>
        <v>Poor</v>
      </c>
      <c r="M622" t="str">
        <f>TRIM(Employee_dataset[[#This Row],[Remote_Work]])</f>
        <v>FALSE</v>
      </c>
    </row>
    <row r="623" spans="1:13" x14ac:dyDescent="0.3">
      <c r="A623" t="str">
        <f>TRIM(Employee_dataset[[#This Row],[Employee_ID]])</f>
        <v>EMP1621</v>
      </c>
      <c r="B623" t="str">
        <f>PROPER(TRIM(Employee_dataset[[#This Row],[First_Name]]))</f>
        <v>Heidi</v>
      </c>
      <c r="C623" t="str">
        <f>PROPER(TRIM(Employee_dataset[[#This Row],[Last_Name]]))</f>
        <v>Johnson</v>
      </c>
      <c r="D623" s="6" t="str">
        <f>_xlfn.LET(
     _xlpm.a, TRIM(Employee_dataset[[#This Row],[Age]]),
     IF(
        _xlpm.a="","",
        IF(
           AND(ISNUMBER(--_xlpm.a),LEN(_xlpm.a)=2),_xlpm.a,""
          )
       )
    )</f>
        <v>40</v>
      </c>
      <c r="E623" t="str">
        <f>TRIM(_xlfn.TEXTBEFORE(Employee_dataset[[#This Row],[Department_Region]],"-"))</f>
        <v>HR</v>
      </c>
      <c r="F623" t="str">
        <f>TRIM(_xlfn.TEXTAFTER(Employee_dataset[[#This Row],[Department_Region]],"-"))</f>
        <v>Illinois</v>
      </c>
      <c r="G623" t="str">
        <f>TRIM(Employee_dataset[[#This Row],[Status]])</f>
        <v>Pending</v>
      </c>
      <c r="H623" s="1">
        <f>_xlfn.LET(
     _xlpm.d, Employee_dataset[[#This Row],[Join_Date]],
     IF(
        ISNUMBER(_xlpm.d),_xlpm.d,""
       )
    )</f>
        <v>45390</v>
      </c>
      <c r="I623" s="6">
        <f>_xlfn.LET(
     _xlpm.s, TRIM(Employee_dataset[[#This Row],[Salary]]),
     IF(
        UPPER(_xlpm.s)="N/A","",
        IF(
           ISNUMBER(--_xlpm.s),ROUND(_xlfn.NUMBERVALUE(_xlpm.s),2),""
          )
       )
    )</f>
        <v>108603.34</v>
      </c>
      <c r="J623" t="str">
        <f>TRIM(Employee_dataset[[#This Row],[Email]])</f>
        <v>heidi.johnson@example.com</v>
      </c>
      <c r="K623" t="str">
        <f>_xlfn.LET(
     _xlpm.p,TRIM(SUBSTITUTE(Employee_dataset[[#This Row],[Phone]],"-","")),
     IF(
        LEN(_xlpm.p)=10,_xlfn.CONCAT("("&amp;LEFT(_xlpm.p,3)&amp;") "&amp;MID(_xlpm.p,4,3)&amp;"-"&amp;RIGHT(_xlpm.p,4),"")
       )
     )</f>
        <v>(774) 222-9463</v>
      </c>
      <c r="L623" t="str">
        <f>TRIM(Employee_dataset[[#This Row],[Performance_Score]])</f>
        <v>Excellent</v>
      </c>
      <c r="M623" t="str">
        <f>TRIM(Employee_dataset[[#This Row],[Remote_Work]])</f>
        <v>FALSE</v>
      </c>
    </row>
    <row r="624" spans="1:13" x14ac:dyDescent="0.3">
      <c r="A624" t="str">
        <f>TRIM(Employee_dataset[[#This Row],[Employee_ID]])</f>
        <v>EMP1622</v>
      </c>
      <c r="B624" t="str">
        <f>PROPER(TRIM(Employee_dataset[[#This Row],[First_Name]]))</f>
        <v>Grace</v>
      </c>
      <c r="C624" t="str">
        <f>PROPER(TRIM(Employee_dataset[[#This Row],[Last_Name]]))</f>
        <v>Davis</v>
      </c>
      <c r="D624" s="6" t="str">
        <f>_xlfn.LET(
     _xlpm.a, TRIM(Employee_dataset[[#This Row],[Age]]),
     IF(
        _xlpm.a="","",
        IF(
           AND(ISNUMBER(--_xlpm.a),LEN(_xlpm.a)=2),_xlpm.a,""
          )
       )
    )</f>
        <v>30</v>
      </c>
      <c r="E624" t="str">
        <f>TRIM(_xlfn.TEXTBEFORE(Employee_dataset[[#This Row],[Department_Region]],"-"))</f>
        <v>HR</v>
      </c>
      <c r="F624" t="str">
        <f>TRIM(_xlfn.TEXTAFTER(Employee_dataset[[#This Row],[Department_Region]],"-"))</f>
        <v>Florida</v>
      </c>
      <c r="G624" t="str">
        <f>TRIM(Employee_dataset[[#This Row],[Status]])</f>
        <v>Active</v>
      </c>
      <c r="H624" s="1">
        <f>_xlfn.LET(
     _xlpm.d, Employee_dataset[[#This Row],[Join_Date]],
     IF(
        ISNUMBER(_xlpm.d),_xlpm.d,""
       )
    )</f>
        <v>45590</v>
      </c>
      <c r="I624" s="6">
        <f>_xlfn.LET(
     _xlpm.s, TRIM(Employee_dataset[[#This Row],[Salary]]),
     IF(
        UPPER(_xlpm.s)="N/A","",
        IF(
           ISNUMBER(--_xlpm.s),ROUND(_xlfn.NUMBERVALUE(_xlpm.s),2),""
          )
       )
    )</f>
        <v>55867.23</v>
      </c>
      <c r="J624" t="str">
        <f>TRIM(Employee_dataset[[#This Row],[Email]])</f>
        <v>grace.davis@example.com</v>
      </c>
      <c r="K624" t="str">
        <f>_xlfn.LET(
     _xlpm.p,TRIM(SUBSTITUTE(Employee_dataset[[#This Row],[Phone]],"-","")),
     IF(
        LEN(_xlpm.p)=10,_xlfn.CONCAT("("&amp;LEFT(_xlpm.p,3)&amp;") "&amp;MID(_xlpm.p,4,3)&amp;"-"&amp;RIGHT(_xlpm.p,4),"")
       )
     )</f>
        <v>(303) 942-9044</v>
      </c>
      <c r="L624" t="str">
        <f>TRIM(Employee_dataset[[#This Row],[Performance_Score]])</f>
        <v>Excellent</v>
      </c>
      <c r="M624" t="str">
        <f>TRIM(Employee_dataset[[#This Row],[Remote_Work]])</f>
        <v>FALSE</v>
      </c>
    </row>
    <row r="625" spans="1:13" x14ac:dyDescent="0.3">
      <c r="A625" t="str">
        <f>TRIM(Employee_dataset[[#This Row],[Employee_ID]])</f>
        <v>EMP1623</v>
      </c>
      <c r="B625" t="str">
        <f>PROPER(TRIM(Employee_dataset[[#This Row],[First_Name]]))</f>
        <v>Grace</v>
      </c>
      <c r="C625" t="str">
        <f>PROPER(TRIM(Employee_dataset[[#This Row],[Last_Name]]))</f>
        <v>Johnson</v>
      </c>
      <c r="D625" s="6" t="str">
        <f>_xlfn.LET(
     _xlpm.a, TRIM(Employee_dataset[[#This Row],[Age]]),
     IF(
        _xlpm.a="","",
        IF(
           AND(ISNUMBER(--_xlpm.a),LEN(_xlpm.a)=2),_xlpm.a,""
          )
       )
    )</f>
        <v>35</v>
      </c>
      <c r="E625" t="str">
        <f>TRIM(_xlfn.TEXTBEFORE(Employee_dataset[[#This Row],[Department_Region]],"-"))</f>
        <v>Admin</v>
      </c>
      <c r="F625" t="str">
        <f>TRIM(_xlfn.TEXTAFTER(Employee_dataset[[#This Row],[Department_Region]],"-"))</f>
        <v>Texas</v>
      </c>
      <c r="G625" t="str">
        <f>TRIM(Employee_dataset[[#This Row],[Status]])</f>
        <v>Pending</v>
      </c>
      <c r="H625" s="1">
        <f>_xlfn.LET(
     _xlpm.d, Employee_dataset[[#This Row],[Join_Date]],
     IF(
        ISNUMBER(_xlpm.d),_xlpm.d,""
       )
    )</f>
        <v>45353</v>
      </c>
      <c r="I625" s="6">
        <f>_xlfn.LET(
     _xlpm.s, TRIM(Employee_dataset[[#This Row],[Salary]]),
     IF(
        UPPER(_xlpm.s)="N/A","",
        IF(
           ISNUMBER(--_xlpm.s),ROUND(_xlfn.NUMBERVALUE(_xlpm.s),2),""
          )
       )
    )</f>
        <v>105259.57</v>
      </c>
      <c r="J625" t="str">
        <f>TRIM(Employee_dataset[[#This Row],[Email]])</f>
        <v>grace.johnson@example.com</v>
      </c>
      <c r="K625" t="str">
        <f>_xlfn.LET(
     _xlpm.p,TRIM(SUBSTITUTE(Employee_dataset[[#This Row],[Phone]],"-","")),
     IF(
        LEN(_xlpm.p)=10,_xlfn.CONCAT("("&amp;LEFT(_xlpm.p,3)&amp;") "&amp;MID(_xlpm.p,4,3)&amp;"-"&amp;RIGHT(_xlpm.p,4),"")
       )
     )</f>
        <v>(886) 792-5297</v>
      </c>
      <c r="L625" t="str">
        <f>TRIM(Employee_dataset[[#This Row],[Performance_Score]])</f>
        <v>Good</v>
      </c>
      <c r="M625" t="str">
        <f>TRIM(Employee_dataset[[#This Row],[Remote_Work]])</f>
        <v>TRUE</v>
      </c>
    </row>
    <row r="626" spans="1:13" x14ac:dyDescent="0.3">
      <c r="A626" t="str">
        <f>TRIM(Employee_dataset[[#This Row],[Employee_ID]])</f>
        <v>EMP1624</v>
      </c>
      <c r="B626" t="str">
        <f>PROPER(TRIM(Employee_dataset[[#This Row],[First_Name]]))</f>
        <v>Bob</v>
      </c>
      <c r="C626" t="str">
        <f>PROPER(TRIM(Employee_dataset[[#This Row],[Last_Name]]))</f>
        <v>Jones</v>
      </c>
      <c r="D626" s="6" t="str">
        <f>_xlfn.LET(
     _xlpm.a, TRIM(Employee_dataset[[#This Row],[Age]]),
     IF(
        _xlpm.a="","",
        IF(
           AND(ISNUMBER(--_xlpm.a),LEN(_xlpm.a)=2),_xlpm.a,""
          )
       )
    )</f>
        <v/>
      </c>
      <c r="E626" t="str">
        <f>TRIM(_xlfn.TEXTBEFORE(Employee_dataset[[#This Row],[Department_Region]],"-"))</f>
        <v>Cloud Tech</v>
      </c>
      <c r="F626" t="str">
        <f>TRIM(_xlfn.TEXTAFTER(Employee_dataset[[#This Row],[Department_Region]],"-"))</f>
        <v>Florida</v>
      </c>
      <c r="G626" t="str">
        <f>TRIM(Employee_dataset[[#This Row],[Status]])</f>
        <v>Pending</v>
      </c>
      <c r="H626" s="1">
        <f>_xlfn.LET(
     _xlpm.d, Employee_dataset[[#This Row],[Join_Date]],
     IF(
        ISNUMBER(_xlpm.d),_xlpm.d,""
       )
    )</f>
        <v>44251</v>
      </c>
      <c r="I626" s="6">
        <f>_xlfn.LET(
     _xlpm.s, TRIM(Employee_dataset[[#This Row],[Salary]]),
     IF(
        UPPER(_xlpm.s)="N/A","",
        IF(
           ISNUMBER(--_xlpm.s),ROUND(_xlfn.NUMBERVALUE(_xlpm.s),2),""
          )
       )
    )</f>
        <v>98143.67</v>
      </c>
      <c r="J626" t="str">
        <f>TRIM(Employee_dataset[[#This Row],[Email]])</f>
        <v>bob.jones@example.com</v>
      </c>
      <c r="K626" t="str">
        <f>_xlfn.LET(
     _xlpm.p,TRIM(SUBSTITUTE(Employee_dataset[[#This Row],[Phone]],"-","")),
     IF(
        LEN(_xlpm.p)=10,_xlfn.CONCAT("("&amp;LEFT(_xlpm.p,3)&amp;") "&amp;MID(_xlpm.p,4,3)&amp;"-"&amp;RIGHT(_xlpm.p,4),"")
       )
     )</f>
        <v>(585) 672-8726</v>
      </c>
      <c r="L626" t="str">
        <f>TRIM(Employee_dataset[[#This Row],[Performance_Score]])</f>
        <v>Excellent</v>
      </c>
      <c r="M626" t="str">
        <f>TRIM(Employee_dataset[[#This Row],[Remote_Work]])</f>
        <v>FALSE</v>
      </c>
    </row>
    <row r="627" spans="1:13" x14ac:dyDescent="0.3">
      <c r="A627" t="str">
        <f>TRIM(Employee_dataset[[#This Row],[Employee_ID]])</f>
        <v>EMP1625</v>
      </c>
      <c r="B627" t="str">
        <f>PROPER(TRIM(Employee_dataset[[#This Row],[First_Name]]))</f>
        <v>Frank</v>
      </c>
      <c r="C627" t="str">
        <f>PROPER(TRIM(Employee_dataset[[#This Row],[Last_Name]]))</f>
        <v>Johnson</v>
      </c>
      <c r="D627" s="6" t="str">
        <f>_xlfn.LET(
     _xlpm.a, TRIM(Employee_dataset[[#This Row],[Age]]),
     IF(
        _xlpm.a="","",
        IF(
           AND(ISNUMBER(--_xlpm.a),LEN(_xlpm.a)=2),_xlpm.a,""
          )
       )
    )</f>
        <v>25</v>
      </c>
      <c r="E627" t="str">
        <f>TRIM(_xlfn.TEXTBEFORE(Employee_dataset[[#This Row],[Department_Region]],"-"))</f>
        <v>Admin</v>
      </c>
      <c r="F627" t="str">
        <f>TRIM(_xlfn.TEXTAFTER(Employee_dataset[[#This Row],[Department_Region]],"-"))</f>
        <v>Florida</v>
      </c>
      <c r="G627" t="str">
        <f>TRIM(Employee_dataset[[#This Row],[Status]])</f>
        <v>Pending</v>
      </c>
      <c r="H627" s="1">
        <f>_xlfn.LET(
     _xlpm.d, Employee_dataset[[#This Row],[Join_Date]],
     IF(
        ISNUMBER(_xlpm.d),_xlpm.d,""
       )
    )</f>
        <v>45029</v>
      </c>
      <c r="I627" s="6">
        <f>_xlfn.LET(
     _xlpm.s, TRIM(Employee_dataset[[#This Row],[Salary]]),
     IF(
        UPPER(_xlpm.s)="N/A","",
        IF(
           ISNUMBER(--_xlpm.s),ROUND(_xlfn.NUMBERVALUE(_xlpm.s),2),""
          )
       )
    )</f>
        <v>67754.289999999994</v>
      </c>
      <c r="J627" t="str">
        <f>TRIM(Employee_dataset[[#This Row],[Email]])</f>
        <v>frank.johnson@example.com</v>
      </c>
      <c r="K627" t="str">
        <f>_xlfn.LET(
     _xlpm.p,TRIM(SUBSTITUTE(Employee_dataset[[#This Row],[Phone]],"-","")),
     IF(
        LEN(_xlpm.p)=10,_xlfn.CONCAT("("&amp;LEFT(_xlpm.p,3)&amp;") "&amp;MID(_xlpm.p,4,3)&amp;"-"&amp;RIGHT(_xlpm.p,4),"")
       )
     )</f>
        <v>(601) 534-3323</v>
      </c>
      <c r="L627" t="str">
        <f>TRIM(Employee_dataset[[#This Row],[Performance_Score]])</f>
        <v>Average</v>
      </c>
      <c r="M627" t="str">
        <f>TRIM(Employee_dataset[[#This Row],[Remote_Work]])</f>
        <v>TRUE</v>
      </c>
    </row>
    <row r="628" spans="1:13" x14ac:dyDescent="0.3">
      <c r="A628" t="str">
        <f>TRIM(Employee_dataset[[#This Row],[Employee_ID]])</f>
        <v>EMP1626</v>
      </c>
      <c r="B628" t="str">
        <f>PROPER(TRIM(Employee_dataset[[#This Row],[First_Name]]))</f>
        <v>Grace</v>
      </c>
      <c r="C628" t="str">
        <f>PROPER(TRIM(Employee_dataset[[#This Row],[Last_Name]]))</f>
        <v>Jones</v>
      </c>
      <c r="D628" s="6" t="str">
        <f>_xlfn.LET(
     _xlpm.a, TRIM(Employee_dataset[[#This Row],[Age]]),
     IF(
        _xlpm.a="","",
        IF(
           AND(ISNUMBER(--_xlpm.a),LEN(_xlpm.a)=2),_xlpm.a,""
          )
       )
    )</f>
        <v/>
      </c>
      <c r="E628" t="str">
        <f>TRIM(_xlfn.TEXTBEFORE(Employee_dataset[[#This Row],[Department_Region]],"-"))</f>
        <v>HR</v>
      </c>
      <c r="F628" t="str">
        <f>TRIM(_xlfn.TEXTAFTER(Employee_dataset[[#This Row],[Department_Region]],"-"))</f>
        <v>Illinois</v>
      </c>
      <c r="G628" t="str">
        <f>TRIM(Employee_dataset[[#This Row],[Status]])</f>
        <v>Inactive</v>
      </c>
      <c r="H628" s="1">
        <f>_xlfn.LET(
     _xlpm.d, Employee_dataset[[#This Row],[Join_Date]],
     IF(
        ISNUMBER(_xlpm.d),_xlpm.d,""
       )
    )</f>
        <v>45224</v>
      </c>
      <c r="I628" s="6">
        <f>_xlfn.LET(
     _xlpm.s, TRIM(Employee_dataset[[#This Row],[Salary]]),
     IF(
        UPPER(_xlpm.s)="N/A","",
        IF(
           ISNUMBER(--_xlpm.s),ROUND(_xlfn.NUMBERVALUE(_xlpm.s),2),""
          )
       )
    )</f>
        <v>77821.789999999994</v>
      </c>
      <c r="J628" t="str">
        <f>TRIM(Employee_dataset[[#This Row],[Email]])</f>
        <v>grace.jones@example.com</v>
      </c>
      <c r="K628" t="str">
        <f>_xlfn.LET(
     _xlpm.p,TRIM(SUBSTITUTE(Employee_dataset[[#This Row],[Phone]],"-","")),
     IF(
        LEN(_xlpm.p)=10,_xlfn.CONCAT("("&amp;LEFT(_xlpm.p,3)&amp;") "&amp;MID(_xlpm.p,4,3)&amp;"-"&amp;RIGHT(_xlpm.p,4),"")
       )
     )</f>
        <v>(913) 577-9082</v>
      </c>
      <c r="L628" t="str">
        <f>TRIM(Employee_dataset[[#This Row],[Performance_Score]])</f>
        <v>Average</v>
      </c>
      <c r="M628" t="str">
        <f>TRIM(Employee_dataset[[#This Row],[Remote_Work]])</f>
        <v>FALSE</v>
      </c>
    </row>
    <row r="629" spans="1:13" x14ac:dyDescent="0.3">
      <c r="A629" t="str">
        <f>TRIM(Employee_dataset[[#This Row],[Employee_ID]])</f>
        <v>EMP1627</v>
      </c>
      <c r="B629" t="str">
        <f>PROPER(TRIM(Employee_dataset[[#This Row],[First_Name]]))</f>
        <v>Heidi</v>
      </c>
      <c r="C629" t="str">
        <f>PROPER(TRIM(Employee_dataset[[#This Row],[Last_Name]]))</f>
        <v>Miller</v>
      </c>
      <c r="D629" s="6" t="str">
        <f>_xlfn.LET(
     _xlpm.a, TRIM(Employee_dataset[[#This Row],[Age]]),
     IF(
        _xlpm.a="","",
        IF(
           AND(ISNUMBER(--_xlpm.a),LEN(_xlpm.a)=2),_xlpm.a,""
          )
       )
    )</f>
        <v>30</v>
      </c>
      <c r="E629" t="str">
        <f>TRIM(_xlfn.TEXTBEFORE(Employee_dataset[[#This Row],[Department_Region]],"-"))</f>
        <v>HR</v>
      </c>
      <c r="F629" t="str">
        <f>TRIM(_xlfn.TEXTAFTER(Employee_dataset[[#This Row],[Department_Region]],"-"))</f>
        <v>Illinois</v>
      </c>
      <c r="G629" t="str">
        <f>TRIM(Employee_dataset[[#This Row],[Status]])</f>
        <v>Pending</v>
      </c>
      <c r="H629" s="1">
        <f>_xlfn.LET(
     _xlpm.d, Employee_dataset[[#This Row],[Join_Date]],
     IF(
        ISNUMBER(_xlpm.d),_xlpm.d,""
       )
    )</f>
        <v>44821</v>
      </c>
      <c r="I629" s="6">
        <f>_xlfn.LET(
     _xlpm.s, TRIM(Employee_dataset[[#This Row],[Salary]]),
     IF(
        UPPER(_xlpm.s)="N/A","",
        IF(
           ISNUMBER(--_xlpm.s),ROUND(_xlfn.NUMBERVALUE(_xlpm.s),2),""
          )
       )
    )</f>
        <v>67764.44</v>
      </c>
      <c r="J629" t="str">
        <f>TRIM(Employee_dataset[[#This Row],[Email]])</f>
        <v>heidi.miller@example.com</v>
      </c>
      <c r="K629" t="str">
        <f>_xlfn.LET(
     _xlpm.p,TRIM(SUBSTITUTE(Employee_dataset[[#This Row],[Phone]],"-","")),
     IF(
        LEN(_xlpm.p)=10,_xlfn.CONCAT("("&amp;LEFT(_xlpm.p,3)&amp;") "&amp;MID(_xlpm.p,4,3)&amp;"-"&amp;RIGHT(_xlpm.p,4),"")
       )
     )</f>
        <v>(350) 615-8147</v>
      </c>
      <c r="L629" t="str">
        <f>TRIM(Employee_dataset[[#This Row],[Performance_Score]])</f>
        <v>Poor</v>
      </c>
      <c r="M629" t="str">
        <f>TRIM(Employee_dataset[[#This Row],[Remote_Work]])</f>
        <v>FALSE</v>
      </c>
    </row>
    <row r="630" spans="1:13" x14ac:dyDescent="0.3">
      <c r="A630" t="str">
        <f>TRIM(Employee_dataset[[#This Row],[Employee_ID]])</f>
        <v>EMP1628</v>
      </c>
      <c r="B630" t="str">
        <f>PROPER(TRIM(Employee_dataset[[#This Row],[First_Name]]))</f>
        <v>Frank</v>
      </c>
      <c r="C630" t="str">
        <f>PROPER(TRIM(Employee_dataset[[#This Row],[Last_Name]]))</f>
        <v>Davis</v>
      </c>
      <c r="D630" s="6" t="str">
        <f>_xlfn.LET(
     _xlpm.a, TRIM(Employee_dataset[[#This Row],[Age]]),
     IF(
        _xlpm.a="","",
        IF(
           AND(ISNUMBER(--_xlpm.a),LEN(_xlpm.a)=2),_xlpm.a,""
          )
       )
    )</f>
        <v>40</v>
      </c>
      <c r="E630" t="str">
        <f>TRIM(_xlfn.TEXTBEFORE(Employee_dataset[[#This Row],[Department_Region]],"-"))</f>
        <v>DevOps</v>
      </c>
      <c r="F630" t="str">
        <f>TRIM(_xlfn.TEXTAFTER(Employee_dataset[[#This Row],[Department_Region]],"-"))</f>
        <v>New York</v>
      </c>
      <c r="G630" t="str">
        <f>TRIM(Employee_dataset[[#This Row],[Status]])</f>
        <v>Pending</v>
      </c>
      <c r="H630" s="1">
        <f>_xlfn.LET(
     _xlpm.d, Employee_dataset[[#This Row],[Join_Date]],
     IF(
        ISNUMBER(_xlpm.d),_xlpm.d,""
       )
    )</f>
        <v>44074</v>
      </c>
      <c r="I630" s="6">
        <f>_xlfn.LET(
     _xlpm.s, TRIM(Employee_dataset[[#This Row],[Salary]]),
     IF(
        UPPER(_xlpm.s)="N/A","",
        IF(
           ISNUMBER(--_xlpm.s),ROUND(_xlfn.NUMBERVALUE(_xlpm.s),2),""
          )
       )
    )</f>
        <v>102346.99</v>
      </c>
      <c r="J630" t="str">
        <f>TRIM(Employee_dataset[[#This Row],[Email]])</f>
        <v>frank.davis@example.com</v>
      </c>
      <c r="K630" t="str">
        <f>_xlfn.LET(
     _xlpm.p,TRIM(SUBSTITUTE(Employee_dataset[[#This Row],[Phone]],"-","")),
     IF(
        LEN(_xlpm.p)=10,_xlfn.CONCAT("("&amp;LEFT(_xlpm.p,3)&amp;") "&amp;MID(_xlpm.p,4,3)&amp;"-"&amp;RIGHT(_xlpm.p,4),"")
       )
     )</f>
        <v>(881) 079-8333</v>
      </c>
      <c r="L630" t="str">
        <f>TRIM(Employee_dataset[[#This Row],[Performance_Score]])</f>
        <v>Excellent</v>
      </c>
      <c r="M630" t="str">
        <f>TRIM(Employee_dataset[[#This Row],[Remote_Work]])</f>
        <v>TRUE</v>
      </c>
    </row>
    <row r="631" spans="1:13" x14ac:dyDescent="0.3">
      <c r="A631" t="str">
        <f>TRIM(Employee_dataset[[#This Row],[Employee_ID]])</f>
        <v>EMP1629</v>
      </c>
      <c r="B631" t="str">
        <f>PROPER(TRIM(Employee_dataset[[#This Row],[First_Name]]))</f>
        <v>Charlie</v>
      </c>
      <c r="C631" t="str">
        <f>PROPER(TRIM(Employee_dataset[[#This Row],[Last_Name]]))</f>
        <v>Davis</v>
      </c>
      <c r="D631" s="6" t="str">
        <f>_xlfn.LET(
     _xlpm.a, TRIM(Employee_dataset[[#This Row],[Age]]),
     IF(
        _xlpm.a="","",
        IF(
           AND(ISNUMBER(--_xlpm.a),LEN(_xlpm.a)=2),_xlpm.a,""
          )
       )
    )</f>
        <v>25</v>
      </c>
      <c r="E631" t="str">
        <f>TRIM(_xlfn.TEXTBEFORE(Employee_dataset[[#This Row],[Department_Region]],"-"))</f>
        <v>Admin</v>
      </c>
      <c r="F631" t="str">
        <f>TRIM(_xlfn.TEXTAFTER(Employee_dataset[[#This Row],[Department_Region]],"-"))</f>
        <v>Illinois</v>
      </c>
      <c r="G631" t="str">
        <f>TRIM(Employee_dataset[[#This Row],[Status]])</f>
        <v>Inactive</v>
      </c>
      <c r="H631" s="1">
        <f>_xlfn.LET(
     _xlpm.d, Employee_dataset[[#This Row],[Join_Date]],
     IF(
        ISNUMBER(_xlpm.d),_xlpm.d,""
       )
    )</f>
        <v>45440</v>
      </c>
      <c r="I631" s="6">
        <f>_xlfn.LET(
     _xlpm.s, TRIM(Employee_dataset[[#This Row],[Salary]]),
     IF(
        UPPER(_xlpm.s)="N/A","",
        IF(
           ISNUMBER(--_xlpm.s),ROUND(_xlfn.NUMBERVALUE(_xlpm.s),2),""
          )
       )
    )</f>
        <v>73690.649999999994</v>
      </c>
      <c r="J631" t="str">
        <f>TRIM(Employee_dataset[[#This Row],[Email]])</f>
        <v>charlie.davis@example.com</v>
      </c>
      <c r="K631" t="str">
        <f>_xlfn.LET(
     _xlpm.p,TRIM(SUBSTITUTE(Employee_dataset[[#This Row],[Phone]],"-","")),
     IF(
        LEN(_xlpm.p)=10,_xlfn.CONCAT("("&amp;LEFT(_xlpm.p,3)&amp;") "&amp;MID(_xlpm.p,4,3)&amp;"-"&amp;RIGHT(_xlpm.p,4),"")
       )
     )</f>
        <v>(233) 720-9483</v>
      </c>
      <c r="L631" t="str">
        <f>TRIM(Employee_dataset[[#This Row],[Performance_Score]])</f>
        <v>Good</v>
      </c>
      <c r="M631" t="str">
        <f>TRIM(Employee_dataset[[#This Row],[Remote_Work]])</f>
        <v>TRUE</v>
      </c>
    </row>
    <row r="632" spans="1:13" x14ac:dyDescent="0.3">
      <c r="A632" t="str">
        <f>TRIM(Employee_dataset[[#This Row],[Employee_ID]])</f>
        <v>EMP1630</v>
      </c>
      <c r="B632" t="str">
        <f>PROPER(TRIM(Employee_dataset[[#This Row],[First_Name]]))</f>
        <v>Alice</v>
      </c>
      <c r="C632" t="str">
        <f>PROPER(TRIM(Employee_dataset[[#This Row],[Last_Name]]))</f>
        <v>Smith</v>
      </c>
      <c r="D632" s="6" t="str">
        <f>_xlfn.LET(
     _xlpm.a, TRIM(Employee_dataset[[#This Row],[Age]]),
     IF(
        _xlpm.a="","",
        IF(
           AND(ISNUMBER(--_xlpm.a),LEN(_xlpm.a)=2),_xlpm.a,""
          )
       )
    )</f>
        <v>30</v>
      </c>
      <c r="E632" t="str">
        <f>TRIM(_xlfn.TEXTBEFORE(Employee_dataset[[#This Row],[Department_Region]],"-"))</f>
        <v>Finance</v>
      </c>
      <c r="F632" t="str">
        <f>TRIM(_xlfn.TEXTAFTER(Employee_dataset[[#This Row],[Department_Region]],"-"))</f>
        <v>Nevada</v>
      </c>
      <c r="G632" t="str">
        <f>TRIM(Employee_dataset[[#This Row],[Status]])</f>
        <v>Active</v>
      </c>
      <c r="H632" s="1">
        <f>_xlfn.LET(
     _xlpm.d, Employee_dataset[[#This Row],[Join_Date]],
     IF(
        ISNUMBER(_xlpm.d),_xlpm.d,""
       )
    )</f>
        <v>45478</v>
      </c>
      <c r="I632" s="6">
        <f>_xlfn.LET(
     _xlpm.s, TRIM(Employee_dataset[[#This Row],[Salary]]),
     IF(
        UPPER(_xlpm.s)="N/A","",
        IF(
           ISNUMBER(--_xlpm.s),ROUND(_xlfn.NUMBERVALUE(_xlpm.s),2),""
          )
       )
    )</f>
        <v>56376.2</v>
      </c>
      <c r="J632" t="str">
        <f>TRIM(Employee_dataset[[#This Row],[Email]])</f>
        <v>alice.smith@example.com</v>
      </c>
      <c r="K632" t="str">
        <f>_xlfn.LET(
     _xlpm.p,TRIM(SUBSTITUTE(Employee_dataset[[#This Row],[Phone]],"-","")),
     IF(
        LEN(_xlpm.p)=10,_xlfn.CONCAT("("&amp;LEFT(_xlpm.p,3)&amp;") "&amp;MID(_xlpm.p,4,3)&amp;"-"&amp;RIGHT(_xlpm.p,4),"")
       )
     )</f>
        <v>(131) 284-0332</v>
      </c>
      <c r="L632" t="str">
        <f>TRIM(Employee_dataset[[#This Row],[Performance_Score]])</f>
        <v>Average</v>
      </c>
      <c r="M632" t="str">
        <f>TRIM(Employee_dataset[[#This Row],[Remote_Work]])</f>
        <v>TRUE</v>
      </c>
    </row>
    <row r="633" spans="1:13" x14ac:dyDescent="0.3">
      <c r="A633" t="str">
        <f>TRIM(Employee_dataset[[#This Row],[Employee_ID]])</f>
        <v>EMP1631</v>
      </c>
      <c r="B633" t="str">
        <f>PROPER(TRIM(Employee_dataset[[#This Row],[First_Name]]))</f>
        <v>Grace</v>
      </c>
      <c r="C633" t="str">
        <f>PROPER(TRIM(Employee_dataset[[#This Row],[Last_Name]]))</f>
        <v>Brown</v>
      </c>
      <c r="D633" s="6" t="str">
        <f>_xlfn.LET(
     _xlpm.a, TRIM(Employee_dataset[[#This Row],[Age]]),
     IF(
        _xlpm.a="","",
        IF(
           AND(ISNUMBER(--_xlpm.a),LEN(_xlpm.a)=2),_xlpm.a,""
          )
       )
    )</f>
        <v>25</v>
      </c>
      <c r="E633" t="str">
        <f>TRIM(_xlfn.TEXTBEFORE(Employee_dataset[[#This Row],[Department_Region]],"-"))</f>
        <v>Cloud Tech</v>
      </c>
      <c r="F633" t="str">
        <f>TRIM(_xlfn.TEXTAFTER(Employee_dataset[[#This Row],[Department_Region]],"-"))</f>
        <v>California</v>
      </c>
      <c r="G633" t="str">
        <f>TRIM(Employee_dataset[[#This Row],[Status]])</f>
        <v>Active</v>
      </c>
      <c r="H633" s="1">
        <f>_xlfn.LET(
     _xlpm.d, Employee_dataset[[#This Row],[Join_Date]],
     IF(
        ISNUMBER(_xlpm.d),_xlpm.d,""
       )
    )</f>
        <v>44590</v>
      </c>
      <c r="I633" s="6">
        <f>_xlfn.LET(
     _xlpm.s, TRIM(Employee_dataset[[#This Row],[Salary]]),
     IF(
        UPPER(_xlpm.s)="N/A","",
        IF(
           ISNUMBER(--_xlpm.s),ROUND(_xlfn.NUMBERVALUE(_xlpm.s),2),""
          )
       )
    )</f>
        <v>55602.78</v>
      </c>
      <c r="J633" t="str">
        <f>TRIM(Employee_dataset[[#This Row],[Email]])</f>
        <v>grace.brown@example.com</v>
      </c>
      <c r="K633" t="str">
        <f>_xlfn.LET(
     _xlpm.p,TRIM(SUBSTITUTE(Employee_dataset[[#This Row],[Phone]],"-","")),
     IF(
        LEN(_xlpm.p)=10,_xlfn.CONCAT("("&amp;LEFT(_xlpm.p,3)&amp;") "&amp;MID(_xlpm.p,4,3)&amp;"-"&amp;RIGHT(_xlpm.p,4),"")
       )
     )</f>
        <v>(997) 718-0512</v>
      </c>
      <c r="L633" t="str">
        <f>TRIM(Employee_dataset[[#This Row],[Performance_Score]])</f>
        <v>Good</v>
      </c>
      <c r="M633" t="str">
        <f>TRIM(Employee_dataset[[#This Row],[Remote_Work]])</f>
        <v>FALSE</v>
      </c>
    </row>
    <row r="634" spans="1:13" x14ac:dyDescent="0.3">
      <c r="A634" t="str">
        <f>TRIM(Employee_dataset[[#This Row],[Employee_ID]])</f>
        <v>EMP1632</v>
      </c>
      <c r="B634" t="str">
        <f>PROPER(TRIM(Employee_dataset[[#This Row],[First_Name]]))</f>
        <v>Grace</v>
      </c>
      <c r="C634" t="str">
        <f>PROPER(TRIM(Employee_dataset[[#This Row],[Last_Name]]))</f>
        <v>Jones</v>
      </c>
      <c r="D634" s="6" t="str">
        <f>_xlfn.LET(
     _xlpm.a, TRIM(Employee_dataset[[#This Row],[Age]]),
     IF(
        _xlpm.a="","",
        IF(
           AND(ISNUMBER(--_xlpm.a),LEN(_xlpm.a)=2),_xlpm.a,""
          )
       )
    )</f>
        <v>40</v>
      </c>
      <c r="E634" t="str">
        <f>TRIM(_xlfn.TEXTBEFORE(Employee_dataset[[#This Row],[Department_Region]],"-"))</f>
        <v>Sales</v>
      </c>
      <c r="F634" t="str">
        <f>TRIM(_xlfn.TEXTAFTER(Employee_dataset[[#This Row],[Department_Region]],"-"))</f>
        <v>Nevada</v>
      </c>
      <c r="G634" t="str">
        <f>TRIM(Employee_dataset[[#This Row],[Status]])</f>
        <v>Pending</v>
      </c>
      <c r="H634" s="1">
        <f>_xlfn.LET(
     _xlpm.d, Employee_dataset[[#This Row],[Join_Date]],
     IF(
        ISNUMBER(_xlpm.d),_xlpm.d,""
       )
    )</f>
        <v>44417</v>
      </c>
      <c r="I634" s="6">
        <f>_xlfn.LET(
     _xlpm.s, TRIM(Employee_dataset[[#This Row],[Salary]]),
     IF(
        UPPER(_xlpm.s)="N/A","",
        IF(
           ISNUMBER(--_xlpm.s),ROUND(_xlfn.NUMBERVALUE(_xlpm.s),2),""
          )
       )
    )</f>
        <v>99812.41</v>
      </c>
      <c r="J634" t="str">
        <f>TRIM(Employee_dataset[[#This Row],[Email]])</f>
        <v>grace.jones@example.com</v>
      </c>
      <c r="K634" t="str">
        <f>_xlfn.LET(
     _xlpm.p,TRIM(SUBSTITUTE(Employee_dataset[[#This Row],[Phone]],"-","")),
     IF(
        LEN(_xlpm.p)=10,_xlfn.CONCAT("("&amp;LEFT(_xlpm.p,3)&amp;") "&amp;MID(_xlpm.p,4,3)&amp;"-"&amp;RIGHT(_xlpm.p,4),"")
       )
     )</f>
        <v>(717) 173-1892</v>
      </c>
      <c r="L634" t="str">
        <f>TRIM(Employee_dataset[[#This Row],[Performance_Score]])</f>
        <v>Good</v>
      </c>
      <c r="M634" t="str">
        <f>TRIM(Employee_dataset[[#This Row],[Remote_Work]])</f>
        <v>FALSE</v>
      </c>
    </row>
    <row r="635" spans="1:13" x14ac:dyDescent="0.3">
      <c r="A635" t="str">
        <f>TRIM(Employee_dataset[[#This Row],[Employee_ID]])</f>
        <v>EMP1633</v>
      </c>
      <c r="B635" t="str">
        <f>PROPER(TRIM(Employee_dataset[[#This Row],[First_Name]]))</f>
        <v>Charlie</v>
      </c>
      <c r="C635" t="str">
        <f>PROPER(TRIM(Employee_dataset[[#This Row],[Last_Name]]))</f>
        <v>Smith</v>
      </c>
      <c r="D635" s="6" t="str">
        <f>_xlfn.LET(
     _xlpm.a, TRIM(Employee_dataset[[#This Row],[Age]]),
     IF(
        _xlpm.a="","",
        IF(
           AND(ISNUMBER(--_xlpm.a),LEN(_xlpm.a)=2),_xlpm.a,""
          )
       )
    )</f>
        <v>40</v>
      </c>
      <c r="E635" t="str">
        <f>TRIM(_xlfn.TEXTBEFORE(Employee_dataset[[#This Row],[Department_Region]],"-"))</f>
        <v>Finance</v>
      </c>
      <c r="F635" t="str">
        <f>TRIM(_xlfn.TEXTAFTER(Employee_dataset[[#This Row],[Department_Region]],"-"))</f>
        <v>Texas</v>
      </c>
      <c r="G635" t="str">
        <f>TRIM(Employee_dataset[[#This Row],[Status]])</f>
        <v>Active</v>
      </c>
      <c r="H635" s="1">
        <f>_xlfn.LET(
     _xlpm.d, Employee_dataset[[#This Row],[Join_Date]],
     IF(
        ISNUMBER(_xlpm.d),_xlpm.d,""
       )
    )</f>
        <v>45572</v>
      </c>
      <c r="I635" s="6">
        <f>_xlfn.LET(
     _xlpm.s, TRIM(Employee_dataset[[#This Row],[Salary]]),
     IF(
        UPPER(_xlpm.s)="N/A","",
        IF(
           ISNUMBER(--_xlpm.s),ROUND(_xlfn.NUMBERVALUE(_xlpm.s),2),""
          )
       )
    )</f>
        <v>95981.9</v>
      </c>
      <c r="J635" t="str">
        <f>TRIM(Employee_dataset[[#This Row],[Email]])</f>
        <v>charlie.smith@example.com</v>
      </c>
      <c r="K635" t="str">
        <f>_xlfn.LET(
     _xlpm.p,TRIM(SUBSTITUTE(Employee_dataset[[#This Row],[Phone]],"-","")),
     IF(
        LEN(_xlpm.p)=10,_xlfn.CONCAT("("&amp;LEFT(_xlpm.p,3)&amp;") "&amp;MID(_xlpm.p,4,3)&amp;"-"&amp;RIGHT(_xlpm.p,4),"")
       )
     )</f>
        <v>(974) 909-6172</v>
      </c>
      <c r="L635" t="str">
        <f>TRIM(Employee_dataset[[#This Row],[Performance_Score]])</f>
        <v>Average</v>
      </c>
      <c r="M635" t="str">
        <f>TRIM(Employee_dataset[[#This Row],[Remote_Work]])</f>
        <v>TRUE</v>
      </c>
    </row>
    <row r="636" spans="1:13" x14ac:dyDescent="0.3">
      <c r="A636" t="str">
        <f>TRIM(Employee_dataset[[#This Row],[Employee_ID]])</f>
        <v>EMP1634</v>
      </c>
      <c r="B636" t="str">
        <f>PROPER(TRIM(Employee_dataset[[#This Row],[First_Name]]))</f>
        <v>Eva</v>
      </c>
      <c r="C636" t="str">
        <f>PROPER(TRIM(Employee_dataset[[#This Row],[Last_Name]]))</f>
        <v>Johnson</v>
      </c>
      <c r="D636" s="6" t="str">
        <f>_xlfn.LET(
     _xlpm.a, TRIM(Employee_dataset[[#This Row],[Age]]),
     IF(
        _xlpm.a="","",
        IF(
           AND(ISNUMBER(--_xlpm.a),LEN(_xlpm.a)=2),_xlpm.a,""
          )
       )
    )</f>
        <v>30</v>
      </c>
      <c r="E636" t="str">
        <f>TRIM(_xlfn.TEXTBEFORE(Employee_dataset[[#This Row],[Department_Region]],"-"))</f>
        <v>Cloud Tech</v>
      </c>
      <c r="F636" t="str">
        <f>TRIM(_xlfn.TEXTAFTER(Employee_dataset[[#This Row],[Department_Region]],"-"))</f>
        <v>Illinois</v>
      </c>
      <c r="G636" t="str">
        <f>TRIM(Employee_dataset[[#This Row],[Status]])</f>
        <v>Pending</v>
      </c>
      <c r="H636" s="1">
        <f>_xlfn.LET(
     _xlpm.d, Employee_dataset[[#This Row],[Join_Date]],
     IF(
        ISNUMBER(_xlpm.d),_xlpm.d,""
       )
    )</f>
        <v>44887</v>
      </c>
      <c r="I636" s="6">
        <f>_xlfn.LET(
     _xlpm.s, TRIM(Employee_dataset[[#This Row],[Salary]]),
     IF(
        UPPER(_xlpm.s)="N/A","",
        IF(
           ISNUMBER(--_xlpm.s),ROUND(_xlfn.NUMBERVALUE(_xlpm.s),2),""
          )
       )
    )</f>
        <v>98891.48</v>
      </c>
      <c r="J636" t="str">
        <f>TRIM(Employee_dataset[[#This Row],[Email]])</f>
        <v>eva.johnson@example.com</v>
      </c>
      <c r="K636" t="str">
        <f>_xlfn.LET(
     _xlpm.p,TRIM(SUBSTITUTE(Employee_dataset[[#This Row],[Phone]],"-","")),
     IF(
        LEN(_xlpm.p)=10,_xlfn.CONCAT("("&amp;LEFT(_xlpm.p,3)&amp;") "&amp;MID(_xlpm.p,4,3)&amp;"-"&amp;RIGHT(_xlpm.p,4),"")
       )
     )</f>
        <v>(997) 046-9471</v>
      </c>
      <c r="L636" t="str">
        <f>TRIM(Employee_dataset[[#This Row],[Performance_Score]])</f>
        <v>Good</v>
      </c>
      <c r="M636" t="str">
        <f>TRIM(Employee_dataset[[#This Row],[Remote_Work]])</f>
        <v>TRUE</v>
      </c>
    </row>
    <row r="637" spans="1:13" x14ac:dyDescent="0.3">
      <c r="A637" t="str">
        <f>TRIM(Employee_dataset[[#This Row],[Employee_ID]])</f>
        <v>EMP1635</v>
      </c>
      <c r="B637" t="str">
        <f>PROPER(TRIM(Employee_dataset[[#This Row],[First_Name]]))</f>
        <v>Alice</v>
      </c>
      <c r="C637" t="str">
        <f>PROPER(TRIM(Employee_dataset[[#This Row],[Last_Name]]))</f>
        <v>Johnson</v>
      </c>
      <c r="D637" s="6" t="str">
        <f>_xlfn.LET(
     _xlpm.a, TRIM(Employee_dataset[[#This Row],[Age]]),
     IF(
        _xlpm.a="","",
        IF(
           AND(ISNUMBER(--_xlpm.a),LEN(_xlpm.a)=2),_xlpm.a,""
          )
       )
    )</f>
        <v>35</v>
      </c>
      <c r="E637" t="str">
        <f>TRIM(_xlfn.TEXTBEFORE(Employee_dataset[[#This Row],[Department_Region]],"-"))</f>
        <v>Admin</v>
      </c>
      <c r="F637" t="str">
        <f>TRIM(_xlfn.TEXTAFTER(Employee_dataset[[#This Row],[Department_Region]],"-"))</f>
        <v>Nevada</v>
      </c>
      <c r="G637" t="str">
        <f>TRIM(Employee_dataset[[#This Row],[Status]])</f>
        <v>Active</v>
      </c>
      <c r="H637" s="1">
        <f>_xlfn.LET(
     _xlpm.d, Employee_dataset[[#This Row],[Join_Date]],
     IF(
        ISNUMBER(_xlpm.d),_xlpm.d,""
       )
    )</f>
        <v>44153</v>
      </c>
      <c r="I637" s="6">
        <f>_xlfn.LET(
     _xlpm.s, TRIM(Employee_dataset[[#This Row],[Salary]]),
     IF(
        UPPER(_xlpm.s)="N/A","",
        IF(
           ISNUMBER(--_xlpm.s),ROUND(_xlfn.NUMBERVALUE(_xlpm.s),2),""
          )
       )
    )</f>
        <v>56079</v>
      </c>
      <c r="J637" t="str">
        <f>TRIM(Employee_dataset[[#This Row],[Email]])</f>
        <v>alice.johnson@example.com</v>
      </c>
      <c r="K637" t="str">
        <f>_xlfn.LET(
     _xlpm.p,TRIM(SUBSTITUTE(Employee_dataset[[#This Row],[Phone]],"-","")),
     IF(
        LEN(_xlpm.p)=10,_xlfn.CONCAT("("&amp;LEFT(_xlpm.p,3)&amp;") "&amp;MID(_xlpm.p,4,3)&amp;"-"&amp;RIGHT(_xlpm.p,4),"")
       )
     )</f>
        <v>(587) 844-4834</v>
      </c>
      <c r="L637" t="str">
        <f>TRIM(Employee_dataset[[#This Row],[Performance_Score]])</f>
        <v>Average</v>
      </c>
      <c r="M637" t="str">
        <f>TRIM(Employee_dataset[[#This Row],[Remote_Work]])</f>
        <v>TRUE</v>
      </c>
    </row>
    <row r="638" spans="1:13" x14ac:dyDescent="0.3">
      <c r="A638" t="str">
        <f>TRIM(Employee_dataset[[#This Row],[Employee_ID]])</f>
        <v>EMP1636</v>
      </c>
      <c r="B638" t="str">
        <f>PROPER(TRIM(Employee_dataset[[#This Row],[First_Name]]))</f>
        <v>Grace</v>
      </c>
      <c r="C638" t="str">
        <f>PROPER(TRIM(Employee_dataset[[#This Row],[Last_Name]]))</f>
        <v>Smith</v>
      </c>
      <c r="D638" s="6" t="str">
        <f>_xlfn.LET(
     _xlpm.a, TRIM(Employee_dataset[[#This Row],[Age]]),
     IF(
        _xlpm.a="","",
        IF(
           AND(ISNUMBER(--_xlpm.a),LEN(_xlpm.a)=2),_xlpm.a,""
          )
       )
    )</f>
        <v>35</v>
      </c>
      <c r="E638" t="str">
        <f>TRIM(_xlfn.TEXTBEFORE(Employee_dataset[[#This Row],[Department_Region]],"-"))</f>
        <v>DevOps</v>
      </c>
      <c r="F638" t="str">
        <f>TRIM(_xlfn.TEXTAFTER(Employee_dataset[[#This Row],[Department_Region]],"-"))</f>
        <v>Florida</v>
      </c>
      <c r="G638" t="str">
        <f>TRIM(Employee_dataset[[#This Row],[Status]])</f>
        <v>Inactive</v>
      </c>
      <c r="H638" s="1">
        <f>_xlfn.LET(
     _xlpm.d, Employee_dataset[[#This Row],[Join_Date]],
     IF(
        ISNUMBER(_xlpm.d),_xlpm.d,""
       )
    )</f>
        <v>45031</v>
      </c>
      <c r="I638" s="6" t="str">
        <f>_xlfn.LET(
     _xlpm.s, TRIM(Employee_dataset[[#This Row],[Salary]]),
     IF(
        UPPER(_xlpm.s)="N/A","",
        IF(
           ISNUMBER(--_xlpm.s),ROUND(_xlfn.NUMBERVALUE(_xlpm.s),2),""
          )
       )
    )</f>
        <v/>
      </c>
      <c r="J638" t="str">
        <f>TRIM(Employee_dataset[[#This Row],[Email]])</f>
        <v>grace.smith@example.com</v>
      </c>
      <c r="K638" t="str">
        <f>_xlfn.LET(
     _xlpm.p,TRIM(SUBSTITUTE(Employee_dataset[[#This Row],[Phone]],"-","")),
     IF(
        LEN(_xlpm.p)=10,_xlfn.CONCAT("("&amp;LEFT(_xlpm.p,3)&amp;") "&amp;MID(_xlpm.p,4,3)&amp;"-"&amp;RIGHT(_xlpm.p,4),"")
       )
     )</f>
        <v>(488) 471-2704</v>
      </c>
      <c r="L638" t="str">
        <f>TRIM(Employee_dataset[[#This Row],[Performance_Score]])</f>
        <v>Good</v>
      </c>
      <c r="M638" t="str">
        <f>TRIM(Employee_dataset[[#This Row],[Remote_Work]])</f>
        <v>TRUE</v>
      </c>
    </row>
    <row r="639" spans="1:13" x14ac:dyDescent="0.3">
      <c r="A639" t="str">
        <f>TRIM(Employee_dataset[[#This Row],[Employee_ID]])</f>
        <v>EMP1637</v>
      </c>
      <c r="B639" t="str">
        <f>PROPER(TRIM(Employee_dataset[[#This Row],[First_Name]]))</f>
        <v>Bob</v>
      </c>
      <c r="C639" t="str">
        <f>PROPER(TRIM(Employee_dataset[[#This Row],[Last_Name]]))</f>
        <v>Davis</v>
      </c>
      <c r="D639" s="6" t="str">
        <f>_xlfn.LET(
     _xlpm.a, TRIM(Employee_dataset[[#This Row],[Age]]),
     IF(
        _xlpm.a="","",
        IF(
           AND(ISNUMBER(--_xlpm.a),LEN(_xlpm.a)=2),_xlpm.a,""
          )
       )
    )</f>
        <v>25</v>
      </c>
      <c r="E639" t="str">
        <f>TRIM(_xlfn.TEXTBEFORE(Employee_dataset[[#This Row],[Department_Region]],"-"))</f>
        <v>Sales</v>
      </c>
      <c r="F639" t="str">
        <f>TRIM(_xlfn.TEXTAFTER(Employee_dataset[[#This Row],[Department_Region]],"-"))</f>
        <v>California</v>
      </c>
      <c r="G639" t="str">
        <f>TRIM(Employee_dataset[[#This Row],[Status]])</f>
        <v>Pending</v>
      </c>
      <c r="H639" s="1">
        <f>_xlfn.LET(
     _xlpm.d, Employee_dataset[[#This Row],[Join_Date]],
     IF(
        ISNUMBER(_xlpm.d),_xlpm.d,""
       )
    )</f>
        <v>45530</v>
      </c>
      <c r="I639" s="6">
        <f>_xlfn.LET(
     _xlpm.s, TRIM(Employee_dataset[[#This Row],[Salary]]),
     IF(
        UPPER(_xlpm.s)="N/A","",
        IF(
           ISNUMBER(--_xlpm.s),ROUND(_xlfn.NUMBERVALUE(_xlpm.s),2),""
          )
       )
    )</f>
        <v>89137.97</v>
      </c>
      <c r="J639" t="str">
        <f>TRIM(Employee_dataset[[#This Row],[Email]])</f>
        <v>bob.davis@example.com</v>
      </c>
      <c r="K639" t="str">
        <f>_xlfn.LET(
     _xlpm.p,TRIM(SUBSTITUTE(Employee_dataset[[#This Row],[Phone]],"-","")),
     IF(
        LEN(_xlpm.p)=10,_xlfn.CONCAT("("&amp;LEFT(_xlpm.p,3)&amp;") "&amp;MID(_xlpm.p,4,3)&amp;"-"&amp;RIGHT(_xlpm.p,4),"")
       )
     )</f>
        <v>(877) 221-6416</v>
      </c>
      <c r="L639" t="str">
        <f>TRIM(Employee_dataset[[#This Row],[Performance_Score]])</f>
        <v>Average</v>
      </c>
      <c r="M639" t="str">
        <f>TRIM(Employee_dataset[[#This Row],[Remote_Work]])</f>
        <v>FALSE</v>
      </c>
    </row>
    <row r="640" spans="1:13" x14ac:dyDescent="0.3">
      <c r="A640" t="str">
        <f>TRIM(Employee_dataset[[#This Row],[Employee_ID]])</f>
        <v>EMP1638</v>
      </c>
      <c r="B640" t="str">
        <f>PROPER(TRIM(Employee_dataset[[#This Row],[First_Name]]))</f>
        <v>Frank</v>
      </c>
      <c r="C640" t="str">
        <f>PROPER(TRIM(Employee_dataset[[#This Row],[Last_Name]]))</f>
        <v>Johnson</v>
      </c>
      <c r="D640" s="6" t="str">
        <f>_xlfn.LET(
     _xlpm.a, TRIM(Employee_dataset[[#This Row],[Age]]),
     IF(
        _xlpm.a="","",
        IF(
           AND(ISNUMBER(--_xlpm.a),LEN(_xlpm.a)=2),_xlpm.a,""
          )
       )
    )</f>
        <v>35</v>
      </c>
      <c r="E640" t="str">
        <f>TRIM(_xlfn.TEXTBEFORE(Employee_dataset[[#This Row],[Department_Region]],"-"))</f>
        <v>Admin</v>
      </c>
      <c r="F640" t="str">
        <f>TRIM(_xlfn.TEXTAFTER(Employee_dataset[[#This Row],[Department_Region]],"-"))</f>
        <v>Illinois</v>
      </c>
      <c r="G640" t="str">
        <f>TRIM(Employee_dataset[[#This Row],[Status]])</f>
        <v>Active</v>
      </c>
      <c r="H640" s="1">
        <f>_xlfn.LET(
     _xlpm.d, Employee_dataset[[#This Row],[Join_Date]],
     IF(
        ISNUMBER(_xlpm.d),_xlpm.d,""
       )
    )</f>
        <v>44762</v>
      </c>
      <c r="I640" s="6">
        <f>_xlfn.LET(
     _xlpm.s, TRIM(Employee_dataset[[#This Row],[Salary]]),
     IF(
        UPPER(_xlpm.s)="N/A","",
        IF(
           ISNUMBER(--_xlpm.s),ROUND(_xlfn.NUMBERVALUE(_xlpm.s),2),""
          )
       )
    )</f>
        <v>115079.97</v>
      </c>
      <c r="J640" t="str">
        <f>TRIM(Employee_dataset[[#This Row],[Email]])</f>
        <v>frank.johnson@example.com</v>
      </c>
      <c r="K640" t="str">
        <f>_xlfn.LET(
     _xlpm.p,TRIM(SUBSTITUTE(Employee_dataset[[#This Row],[Phone]],"-","")),
     IF(
        LEN(_xlpm.p)=10,_xlfn.CONCAT("("&amp;LEFT(_xlpm.p,3)&amp;") "&amp;MID(_xlpm.p,4,3)&amp;"-"&amp;RIGHT(_xlpm.p,4),"")
       )
     )</f>
        <v>(582) 313-3483</v>
      </c>
      <c r="L640" t="str">
        <f>TRIM(Employee_dataset[[#This Row],[Performance_Score]])</f>
        <v>Excellent</v>
      </c>
      <c r="M640" t="str">
        <f>TRIM(Employee_dataset[[#This Row],[Remote_Work]])</f>
        <v>TRUE</v>
      </c>
    </row>
    <row r="641" spans="1:13" x14ac:dyDescent="0.3">
      <c r="A641" t="str">
        <f>TRIM(Employee_dataset[[#This Row],[Employee_ID]])</f>
        <v>EMP1639</v>
      </c>
      <c r="B641" t="str">
        <f>PROPER(TRIM(Employee_dataset[[#This Row],[First_Name]]))</f>
        <v>Eva</v>
      </c>
      <c r="C641" t="str">
        <f>PROPER(TRIM(Employee_dataset[[#This Row],[Last_Name]]))</f>
        <v>Garcia</v>
      </c>
      <c r="D641" s="6" t="str">
        <f>_xlfn.LET(
     _xlpm.a, TRIM(Employee_dataset[[#This Row],[Age]]),
     IF(
        _xlpm.a="","",
        IF(
           AND(ISNUMBER(--_xlpm.a),LEN(_xlpm.a)=2),_xlpm.a,""
          )
       )
    )</f>
        <v>30</v>
      </c>
      <c r="E641" t="str">
        <f>TRIM(_xlfn.TEXTBEFORE(Employee_dataset[[#This Row],[Department_Region]],"-"))</f>
        <v>Finance</v>
      </c>
      <c r="F641" t="str">
        <f>TRIM(_xlfn.TEXTAFTER(Employee_dataset[[#This Row],[Department_Region]],"-"))</f>
        <v>Illinois</v>
      </c>
      <c r="G641" t="str">
        <f>TRIM(Employee_dataset[[#This Row],[Status]])</f>
        <v>Active</v>
      </c>
      <c r="H641" s="1">
        <f>_xlfn.LET(
     _xlpm.d, Employee_dataset[[#This Row],[Join_Date]],
     IF(
        ISNUMBER(_xlpm.d),_xlpm.d,""
       )
    )</f>
        <v>44975</v>
      </c>
      <c r="I641" s="6">
        <f>_xlfn.LET(
     _xlpm.s, TRIM(Employee_dataset[[#This Row],[Salary]]),
     IF(
        UPPER(_xlpm.s)="N/A","",
        IF(
           ISNUMBER(--_xlpm.s),ROUND(_xlfn.NUMBERVALUE(_xlpm.s),2),""
          )
       )
    )</f>
        <v>55067.02</v>
      </c>
      <c r="J641" t="str">
        <f>TRIM(Employee_dataset[[#This Row],[Email]])</f>
        <v>eva.garcia@example.com</v>
      </c>
      <c r="K641" t="str">
        <f>_xlfn.LET(
     _xlpm.p,TRIM(SUBSTITUTE(Employee_dataset[[#This Row],[Phone]],"-","")),
     IF(
        LEN(_xlpm.p)=10,_xlfn.CONCAT("("&amp;LEFT(_xlpm.p,3)&amp;") "&amp;MID(_xlpm.p,4,3)&amp;"-"&amp;RIGHT(_xlpm.p,4),"")
       )
     )</f>
        <v>(587) 149-3924</v>
      </c>
      <c r="L641" t="str">
        <f>TRIM(Employee_dataset[[#This Row],[Performance_Score]])</f>
        <v>Poor</v>
      </c>
      <c r="M641" t="str">
        <f>TRIM(Employee_dataset[[#This Row],[Remote_Work]])</f>
        <v>TRUE</v>
      </c>
    </row>
    <row r="642" spans="1:13" x14ac:dyDescent="0.3">
      <c r="A642" t="str">
        <f>TRIM(Employee_dataset[[#This Row],[Employee_ID]])</f>
        <v>EMP1640</v>
      </c>
      <c r="B642" t="str">
        <f>PROPER(TRIM(Employee_dataset[[#This Row],[First_Name]]))</f>
        <v>Bob</v>
      </c>
      <c r="C642" t="str">
        <f>PROPER(TRIM(Employee_dataset[[#This Row],[Last_Name]]))</f>
        <v>Miller</v>
      </c>
      <c r="D642" s="6" t="str">
        <f>_xlfn.LET(
     _xlpm.a, TRIM(Employee_dataset[[#This Row],[Age]]),
     IF(
        _xlpm.a="","",
        IF(
           AND(ISNUMBER(--_xlpm.a),LEN(_xlpm.a)=2),_xlpm.a,""
          )
       )
    )</f>
        <v/>
      </c>
      <c r="E642" t="str">
        <f>TRIM(_xlfn.TEXTBEFORE(Employee_dataset[[#This Row],[Department_Region]],"-"))</f>
        <v>HR</v>
      </c>
      <c r="F642" t="str">
        <f>TRIM(_xlfn.TEXTAFTER(Employee_dataset[[#This Row],[Department_Region]],"-"))</f>
        <v>Illinois</v>
      </c>
      <c r="G642" t="str">
        <f>TRIM(Employee_dataset[[#This Row],[Status]])</f>
        <v>Pending</v>
      </c>
      <c r="H642" s="1">
        <f>_xlfn.LET(
     _xlpm.d, Employee_dataset[[#This Row],[Join_Date]],
     IF(
        ISNUMBER(_xlpm.d),_xlpm.d,""
       )
    )</f>
        <v>44343</v>
      </c>
      <c r="I642" s="6">
        <f>_xlfn.LET(
     _xlpm.s, TRIM(Employee_dataset[[#This Row],[Salary]]),
     IF(
        UPPER(_xlpm.s)="N/A","",
        IF(
           ISNUMBER(--_xlpm.s),ROUND(_xlfn.NUMBERVALUE(_xlpm.s),2),""
          )
       )
    )</f>
        <v>98593.43</v>
      </c>
      <c r="J642" t="str">
        <f>TRIM(Employee_dataset[[#This Row],[Email]])</f>
        <v>bob.miller@example.com</v>
      </c>
      <c r="K642" t="str">
        <f>_xlfn.LET(
     _xlpm.p,TRIM(SUBSTITUTE(Employee_dataset[[#This Row],[Phone]],"-","")),
     IF(
        LEN(_xlpm.p)=10,_xlfn.CONCAT("("&amp;LEFT(_xlpm.p,3)&amp;") "&amp;MID(_xlpm.p,4,3)&amp;"-"&amp;RIGHT(_xlpm.p,4),"")
       )
     )</f>
        <v>(236) 229-2586</v>
      </c>
      <c r="L642" t="str">
        <f>TRIM(Employee_dataset[[#This Row],[Performance_Score]])</f>
        <v>Average</v>
      </c>
      <c r="M642" t="str">
        <f>TRIM(Employee_dataset[[#This Row],[Remote_Work]])</f>
        <v>TRUE</v>
      </c>
    </row>
    <row r="643" spans="1:13" x14ac:dyDescent="0.3">
      <c r="A643" t="str">
        <f>TRIM(Employee_dataset[[#This Row],[Employee_ID]])</f>
        <v>EMP1641</v>
      </c>
      <c r="B643" t="str">
        <f>PROPER(TRIM(Employee_dataset[[#This Row],[First_Name]]))</f>
        <v>Heidi</v>
      </c>
      <c r="C643" t="str">
        <f>PROPER(TRIM(Employee_dataset[[#This Row],[Last_Name]]))</f>
        <v>Miller</v>
      </c>
      <c r="D643" s="6" t="str">
        <f>_xlfn.LET(
     _xlpm.a, TRIM(Employee_dataset[[#This Row],[Age]]),
     IF(
        _xlpm.a="","",
        IF(
           AND(ISNUMBER(--_xlpm.a),LEN(_xlpm.a)=2),_xlpm.a,""
          )
       )
    )</f>
        <v>30</v>
      </c>
      <c r="E643" t="str">
        <f>TRIM(_xlfn.TEXTBEFORE(Employee_dataset[[#This Row],[Department_Region]],"-"))</f>
        <v>HR</v>
      </c>
      <c r="F643" t="str">
        <f>TRIM(_xlfn.TEXTAFTER(Employee_dataset[[#This Row],[Department_Region]],"-"))</f>
        <v>Florida</v>
      </c>
      <c r="G643" t="str">
        <f>TRIM(Employee_dataset[[#This Row],[Status]])</f>
        <v>Pending</v>
      </c>
      <c r="H643" s="1">
        <f>_xlfn.LET(
     _xlpm.d, Employee_dataset[[#This Row],[Join_Date]],
     IF(
        ISNUMBER(_xlpm.d),_xlpm.d,""
       )
    )</f>
        <v>44774</v>
      </c>
      <c r="I643" s="6">
        <f>_xlfn.LET(
     _xlpm.s, TRIM(Employee_dataset[[#This Row],[Salary]]),
     IF(
        UPPER(_xlpm.s)="N/A","",
        IF(
           ISNUMBER(--_xlpm.s),ROUND(_xlfn.NUMBERVALUE(_xlpm.s),2),""
          )
       )
    )</f>
        <v>112756.67</v>
      </c>
      <c r="J643" t="str">
        <f>TRIM(Employee_dataset[[#This Row],[Email]])</f>
        <v>heidi.miller@example.com</v>
      </c>
      <c r="K643" t="str">
        <f>_xlfn.LET(
     _xlpm.p,TRIM(SUBSTITUTE(Employee_dataset[[#This Row],[Phone]],"-","")),
     IF(
        LEN(_xlpm.p)=10,_xlfn.CONCAT("("&amp;LEFT(_xlpm.p,3)&amp;") "&amp;MID(_xlpm.p,4,3)&amp;"-"&amp;RIGHT(_xlpm.p,4),"")
       )
     )</f>
        <v>(964) 347-4523</v>
      </c>
      <c r="L643" t="str">
        <f>TRIM(Employee_dataset[[#This Row],[Performance_Score]])</f>
        <v>Average</v>
      </c>
      <c r="M643" t="str">
        <f>TRIM(Employee_dataset[[#This Row],[Remote_Work]])</f>
        <v>TRUE</v>
      </c>
    </row>
    <row r="644" spans="1:13" x14ac:dyDescent="0.3">
      <c r="A644" t="str">
        <f>TRIM(Employee_dataset[[#This Row],[Employee_ID]])</f>
        <v>EMP1642</v>
      </c>
      <c r="B644" t="str">
        <f>PROPER(TRIM(Employee_dataset[[#This Row],[First_Name]]))</f>
        <v>Heidi</v>
      </c>
      <c r="C644" t="str">
        <f>PROPER(TRIM(Employee_dataset[[#This Row],[Last_Name]]))</f>
        <v>Garcia</v>
      </c>
      <c r="D644" s="6" t="str">
        <f>_xlfn.LET(
     _xlpm.a, TRIM(Employee_dataset[[#This Row],[Age]]),
     IF(
        _xlpm.a="","",
        IF(
           AND(ISNUMBER(--_xlpm.a),LEN(_xlpm.a)=2),_xlpm.a,""
          )
       )
    )</f>
        <v>25</v>
      </c>
      <c r="E644" t="str">
        <f>TRIM(_xlfn.TEXTBEFORE(Employee_dataset[[#This Row],[Department_Region]],"-"))</f>
        <v>HR</v>
      </c>
      <c r="F644" t="str">
        <f>TRIM(_xlfn.TEXTAFTER(Employee_dataset[[#This Row],[Department_Region]],"-"))</f>
        <v>Texas</v>
      </c>
      <c r="G644" t="str">
        <f>TRIM(Employee_dataset[[#This Row],[Status]])</f>
        <v>Inactive</v>
      </c>
      <c r="H644" s="1">
        <f>_xlfn.LET(
     _xlpm.d, Employee_dataset[[#This Row],[Join_Date]],
     IF(
        ISNUMBER(_xlpm.d),_xlpm.d,""
       )
    )</f>
        <v>45128</v>
      </c>
      <c r="I644" s="6">
        <f>_xlfn.LET(
     _xlpm.s, TRIM(Employee_dataset[[#This Row],[Salary]]),
     IF(
        UPPER(_xlpm.s)="N/A","",
        IF(
           ISNUMBER(--_xlpm.s),ROUND(_xlfn.NUMBERVALUE(_xlpm.s),2),""
          )
       )
    )</f>
        <v>105205.92</v>
      </c>
      <c r="J644" t="str">
        <f>TRIM(Employee_dataset[[#This Row],[Email]])</f>
        <v>heidi.garcia@example.com</v>
      </c>
      <c r="K644" t="str">
        <f>_xlfn.LET(
     _xlpm.p,TRIM(SUBSTITUTE(Employee_dataset[[#This Row],[Phone]],"-","")),
     IF(
        LEN(_xlpm.p)=10,_xlfn.CONCAT("("&amp;LEFT(_xlpm.p,3)&amp;") "&amp;MID(_xlpm.p,4,3)&amp;"-"&amp;RIGHT(_xlpm.p,4),"")
       )
     )</f>
        <v>(555) 746-9659</v>
      </c>
      <c r="L644" t="str">
        <f>TRIM(Employee_dataset[[#This Row],[Performance_Score]])</f>
        <v>Poor</v>
      </c>
      <c r="M644" t="str">
        <f>TRIM(Employee_dataset[[#This Row],[Remote_Work]])</f>
        <v>FALSE</v>
      </c>
    </row>
    <row r="645" spans="1:13" x14ac:dyDescent="0.3">
      <c r="A645" t="str">
        <f>TRIM(Employee_dataset[[#This Row],[Employee_ID]])</f>
        <v>EMP1643</v>
      </c>
      <c r="B645" t="str">
        <f>PROPER(TRIM(Employee_dataset[[#This Row],[First_Name]]))</f>
        <v>David</v>
      </c>
      <c r="C645" t="str">
        <f>PROPER(TRIM(Employee_dataset[[#This Row],[Last_Name]]))</f>
        <v>Smith</v>
      </c>
      <c r="D645" s="6" t="str">
        <f>_xlfn.LET(
     _xlpm.a, TRIM(Employee_dataset[[#This Row],[Age]]),
     IF(
        _xlpm.a="","",
        IF(
           AND(ISNUMBER(--_xlpm.a),LEN(_xlpm.a)=2),_xlpm.a,""
          )
       )
    )</f>
        <v>35</v>
      </c>
      <c r="E645" t="str">
        <f>TRIM(_xlfn.TEXTBEFORE(Employee_dataset[[#This Row],[Department_Region]],"-"))</f>
        <v>Finance</v>
      </c>
      <c r="F645" t="str">
        <f>TRIM(_xlfn.TEXTAFTER(Employee_dataset[[#This Row],[Department_Region]],"-"))</f>
        <v>California</v>
      </c>
      <c r="G645" t="str">
        <f>TRIM(Employee_dataset[[#This Row],[Status]])</f>
        <v>Pending</v>
      </c>
      <c r="H645" s="1">
        <f>_xlfn.LET(
     _xlpm.d, Employee_dataset[[#This Row],[Join_Date]],
     IF(
        ISNUMBER(_xlpm.d),_xlpm.d,""
       )
    )</f>
        <v>44928</v>
      </c>
      <c r="I645" s="6">
        <f>_xlfn.LET(
     _xlpm.s, TRIM(Employee_dataset[[#This Row],[Salary]]),
     IF(
        UPPER(_xlpm.s)="N/A","",
        IF(
           ISNUMBER(--_xlpm.s),ROUND(_xlfn.NUMBERVALUE(_xlpm.s),2),""
          )
       )
    )</f>
        <v>50680.62</v>
      </c>
      <c r="J645" t="str">
        <f>TRIM(Employee_dataset[[#This Row],[Email]])</f>
        <v>david.smith@example.com</v>
      </c>
      <c r="K645" t="str">
        <f>_xlfn.LET(
     _xlpm.p,TRIM(SUBSTITUTE(Employee_dataset[[#This Row],[Phone]],"-","")),
     IF(
        LEN(_xlpm.p)=10,_xlfn.CONCAT("("&amp;LEFT(_xlpm.p,3)&amp;") "&amp;MID(_xlpm.p,4,3)&amp;"-"&amp;RIGHT(_xlpm.p,4),"")
       )
     )</f>
        <v>(606) 527-4032</v>
      </c>
      <c r="L645" t="str">
        <f>TRIM(Employee_dataset[[#This Row],[Performance_Score]])</f>
        <v>Average</v>
      </c>
      <c r="M645" t="str">
        <f>TRIM(Employee_dataset[[#This Row],[Remote_Work]])</f>
        <v>TRUE</v>
      </c>
    </row>
    <row r="646" spans="1:13" x14ac:dyDescent="0.3">
      <c r="A646" t="str">
        <f>TRIM(Employee_dataset[[#This Row],[Employee_ID]])</f>
        <v>EMP1644</v>
      </c>
      <c r="B646" t="str">
        <f>PROPER(TRIM(Employee_dataset[[#This Row],[First_Name]]))</f>
        <v>David</v>
      </c>
      <c r="C646" t="str">
        <f>PROPER(TRIM(Employee_dataset[[#This Row],[Last_Name]]))</f>
        <v>Garcia</v>
      </c>
      <c r="D646" s="6" t="str">
        <f>_xlfn.LET(
     _xlpm.a, TRIM(Employee_dataset[[#This Row],[Age]]),
     IF(
        _xlpm.a="","",
        IF(
           AND(ISNUMBER(--_xlpm.a),LEN(_xlpm.a)=2),_xlpm.a,""
          )
       )
    )</f>
        <v>35</v>
      </c>
      <c r="E646" t="str">
        <f>TRIM(_xlfn.TEXTBEFORE(Employee_dataset[[#This Row],[Department_Region]],"-"))</f>
        <v>Cloud Tech</v>
      </c>
      <c r="F646" t="str">
        <f>TRIM(_xlfn.TEXTAFTER(Employee_dataset[[#This Row],[Department_Region]],"-"))</f>
        <v>Florida</v>
      </c>
      <c r="G646" t="str">
        <f>TRIM(Employee_dataset[[#This Row],[Status]])</f>
        <v>Pending</v>
      </c>
      <c r="H646" s="1">
        <f>_xlfn.LET(
     _xlpm.d, Employee_dataset[[#This Row],[Join_Date]],
     IF(
        ISNUMBER(_xlpm.d),_xlpm.d,""
       )
    )</f>
        <v>45364</v>
      </c>
      <c r="I646" s="6">
        <f>_xlfn.LET(
     _xlpm.s, TRIM(Employee_dataset[[#This Row],[Salary]]),
     IF(
        UPPER(_xlpm.s)="N/A","",
        IF(
           ISNUMBER(--_xlpm.s),ROUND(_xlfn.NUMBERVALUE(_xlpm.s),2),""
          )
       )
    )</f>
        <v>107475.23</v>
      </c>
      <c r="J646" t="str">
        <f>TRIM(Employee_dataset[[#This Row],[Email]])</f>
        <v>david.garcia@example.com</v>
      </c>
      <c r="K646" t="str">
        <f>_xlfn.LET(
     _xlpm.p,TRIM(SUBSTITUTE(Employee_dataset[[#This Row],[Phone]],"-","")),
     IF(
        LEN(_xlpm.p)=10,_xlfn.CONCAT("("&amp;LEFT(_xlpm.p,3)&amp;") "&amp;MID(_xlpm.p,4,3)&amp;"-"&amp;RIGHT(_xlpm.p,4),"")
       )
     )</f>
        <v>(445) 056-6587</v>
      </c>
      <c r="L646" t="str">
        <f>TRIM(Employee_dataset[[#This Row],[Performance_Score]])</f>
        <v>Average</v>
      </c>
      <c r="M646" t="str">
        <f>TRIM(Employee_dataset[[#This Row],[Remote_Work]])</f>
        <v>FALSE</v>
      </c>
    </row>
    <row r="647" spans="1:13" x14ac:dyDescent="0.3">
      <c r="A647" t="str">
        <f>TRIM(Employee_dataset[[#This Row],[Employee_ID]])</f>
        <v>EMP1645</v>
      </c>
      <c r="B647" t="str">
        <f>PROPER(TRIM(Employee_dataset[[#This Row],[First_Name]]))</f>
        <v>Charlie</v>
      </c>
      <c r="C647" t="str">
        <f>PROPER(TRIM(Employee_dataset[[#This Row],[Last_Name]]))</f>
        <v>Jones</v>
      </c>
      <c r="D647" s="6" t="str">
        <f>_xlfn.LET(
     _xlpm.a, TRIM(Employee_dataset[[#This Row],[Age]]),
     IF(
        _xlpm.a="","",
        IF(
           AND(ISNUMBER(--_xlpm.a),LEN(_xlpm.a)=2),_xlpm.a,""
          )
       )
    )</f>
        <v>40</v>
      </c>
      <c r="E647" t="str">
        <f>TRIM(_xlfn.TEXTBEFORE(Employee_dataset[[#This Row],[Department_Region]],"-"))</f>
        <v>HR</v>
      </c>
      <c r="F647" t="str">
        <f>TRIM(_xlfn.TEXTAFTER(Employee_dataset[[#This Row],[Department_Region]],"-"))</f>
        <v>California</v>
      </c>
      <c r="G647" t="str">
        <f>TRIM(Employee_dataset[[#This Row],[Status]])</f>
        <v>Active</v>
      </c>
      <c r="H647" s="1">
        <f>_xlfn.LET(
     _xlpm.d, Employee_dataset[[#This Row],[Join_Date]],
     IF(
        ISNUMBER(_xlpm.d),_xlpm.d,""
       )
    )</f>
        <v>45005</v>
      </c>
      <c r="I647" s="6">
        <f>_xlfn.LET(
     _xlpm.s, TRIM(Employee_dataset[[#This Row],[Salary]]),
     IF(
        UPPER(_xlpm.s)="N/A","",
        IF(
           ISNUMBER(--_xlpm.s),ROUND(_xlfn.NUMBERVALUE(_xlpm.s),2),""
          )
       )
    )</f>
        <v>68835.3</v>
      </c>
      <c r="J647" t="str">
        <f>TRIM(Employee_dataset[[#This Row],[Email]])</f>
        <v>charlie.jones@example.com</v>
      </c>
      <c r="K647" t="str">
        <f>_xlfn.LET(
     _xlpm.p,TRIM(SUBSTITUTE(Employee_dataset[[#This Row],[Phone]],"-","")),
     IF(
        LEN(_xlpm.p)=10,_xlfn.CONCAT("("&amp;LEFT(_xlpm.p,3)&amp;") "&amp;MID(_xlpm.p,4,3)&amp;"-"&amp;RIGHT(_xlpm.p,4),"")
       )
     )</f>
        <v>(339) 874-1131</v>
      </c>
      <c r="L647" t="str">
        <f>TRIM(Employee_dataset[[#This Row],[Performance_Score]])</f>
        <v>Good</v>
      </c>
      <c r="M647" t="str">
        <f>TRIM(Employee_dataset[[#This Row],[Remote_Work]])</f>
        <v>TRUE</v>
      </c>
    </row>
    <row r="648" spans="1:13" x14ac:dyDescent="0.3">
      <c r="A648" t="str">
        <f>TRIM(Employee_dataset[[#This Row],[Employee_ID]])</f>
        <v>EMP1646</v>
      </c>
      <c r="B648" t="str">
        <f>PROPER(TRIM(Employee_dataset[[#This Row],[First_Name]]))</f>
        <v>David</v>
      </c>
      <c r="C648" t="str">
        <f>PROPER(TRIM(Employee_dataset[[#This Row],[Last_Name]]))</f>
        <v>Jones</v>
      </c>
      <c r="D648" s="6" t="str">
        <f>_xlfn.LET(
     _xlpm.a, TRIM(Employee_dataset[[#This Row],[Age]]),
     IF(
        _xlpm.a="","",
        IF(
           AND(ISNUMBER(--_xlpm.a),LEN(_xlpm.a)=2),_xlpm.a,""
          )
       )
    )</f>
        <v>40</v>
      </c>
      <c r="E648" t="str">
        <f>TRIM(_xlfn.TEXTBEFORE(Employee_dataset[[#This Row],[Department_Region]],"-"))</f>
        <v>DevOps</v>
      </c>
      <c r="F648" t="str">
        <f>TRIM(_xlfn.TEXTAFTER(Employee_dataset[[#This Row],[Department_Region]],"-"))</f>
        <v>New York</v>
      </c>
      <c r="G648" t="str">
        <f>TRIM(Employee_dataset[[#This Row],[Status]])</f>
        <v>Active</v>
      </c>
      <c r="H648" s="1">
        <f>_xlfn.LET(
     _xlpm.d, Employee_dataset[[#This Row],[Join_Date]],
     IF(
        ISNUMBER(_xlpm.d),_xlpm.d,""
       )
    )</f>
        <v>45337</v>
      </c>
      <c r="I648" s="6">
        <f>_xlfn.LET(
     _xlpm.s, TRIM(Employee_dataset[[#This Row],[Salary]]),
     IF(
        UPPER(_xlpm.s)="N/A","",
        IF(
           ISNUMBER(--_xlpm.s),ROUND(_xlfn.NUMBERVALUE(_xlpm.s),2),""
          )
       )
    )</f>
        <v>66943.960000000006</v>
      </c>
      <c r="J648" t="str">
        <f>TRIM(Employee_dataset[[#This Row],[Email]])</f>
        <v>david.jones@example.com</v>
      </c>
      <c r="K648" t="str">
        <f>_xlfn.LET(
     _xlpm.p,TRIM(SUBSTITUTE(Employee_dataset[[#This Row],[Phone]],"-","")),
     IF(
        LEN(_xlpm.p)=10,_xlfn.CONCAT("("&amp;LEFT(_xlpm.p,3)&amp;") "&amp;MID(_xlpm.p,4,3)&amp;"-"&amp;RIGHT(_xlpm.p,4),"")
       )
     )</f>
        <v>(579) 706-7348</v>
      </c>
      <c r="L648" t="str">
        <f>TRIM(Employee_dataset[[#This Row],[Performance_Score]])</f>
        <v>Poor</v>
      </c>
      <c r="M648" t="str">
        <f>TRIM(Employee_dataset[[#This Row],[Remote_Work]])</f>
        <v>TRUE</v>
      </c>
    </row>
    <row r="649" spans="1:13" x14ac:dyDescent="0.3">
      <c r="A649" t="str">
        <f>TRIM(Employee_dataset[[#This Row],[Employee_ID]])</f>
        <v>EMP1647</v>
      </c>
      <c r="B649" t="str">
        <f>PROPER(TRIM(Employee_dataset[[#This Row],[First_Name]]))</f>
        <v>David</v>
      </c>
      <c r="C649" t="str">
        <f>PROPER(TRIM(Employee_dataset[[#This Row],[Last_Name]]))</f>
        <v>Smith</v>
      </c>
      <c r="D649" s="6" t="str">
        <f>_xlfn.LET(
     _xlpm.a, TRIM(Employee_dataset[[#This Row],[Age]]),
     IF(
        _xlpm.a="","",
        IF(
           AND(ISNUMBER(--_xlpm.a),LEN(_xlpm.a)=2),_xlpm.a,""
          )
       )
    )</f>
        <v>30</v>
      </c>
      <c r="E649" t="str">
        <f>TRIM(_xlfn.TEXTBEFORE(Employee_dataset[[#This Row],[Department_Region]],"-"))</f>
        <v>Admin</v>
      </c>
      <c r="F649" t="str">
        <f>TRIM(_xlfn.TEXTAFTER(Employee_dataset[[#This Row],[Department_Region]],"-"))</f>
        <v>Illinois</v>
      </c>
      <c r="G649" t="str">
        <f>TRIM(Employee_dataset[[#This Row],[Status]])</f>
        <v>Inactive</v>
      </c>
      <c r="H649" s="1">
        <f>_xlfn.LET(
     _xlpm.d, Employee_dataset[[#This Row],[Join_Date]],
     IF(
        ISNUMBER(_xlpm.d),_xlpm.d,""
       )
    )</f>
        <v>44150</v>
      </c>
      <c r="I649" s="6">
        <f>_xlfn.LET(
     _xlpm.s, TRIM(Employee_dataset[[#This Row],[Salary]]),
     IF(
        UPPER(_xlpm.s)="N/A","",
        IF(
           ISNUMBER(--_xlpm.s),ROUND(_xlfn.NUMBERVALUE(_xlpm.s),2),""
          )
       )
    )</f>
        <v>104525.69</v>
      </c>
      <c r="J649" t="str">
        <f>TRIM(Employee_dataset[[#This Row],[Email]])</f>
        <v>david.smith@example.com</v>
      </c>
      <c r="K649" t="str">
        <f>_xlfn.LET(
     _xlpm.p,TRIM(SUBSTITUTE(Employee_dataset[[#This Row],[Phone]],"-","")),
     IF(
        LEN(_xlpm.p)=10,_xlfn.CONCAT("("&amp;LEFT(_xlpm.p,3)&amp;") "&amp;MID(_xlpm.p,4,3)&amp;"-"&amp;RIGHT(_xlpm.p,4),"")
       )
     )</f>
        <v>(960) 105-4856</v>
      </c>
      <c r="L649" t="str">
        <f>TRIM(Employee_dataset[[#This Row],[Performance_Score]])</f>
        <v>Excellent</v>
      </c>
      <c r="M649" t="str">
        <f>TRIM(Employee_dataset[[#This Row],[Remote_Work]])</f>
        <v>FALSE</v>
      </c>
    </row>
    <row r="650" spans="1:13" x14ac:dyDescent="0.3">
      <c r="A650" t="str">
        <f>TRIM(Employee_dataset[[#This Row],[Employee_ID]])</f>
        <v>EMP1648</v>
      </c>
      <c r="B650" t="str">
        <f>PROPER(TRIM(Employee_dataset[[#This Row],[First_Name]]))</f>
        <v>Bob</v>
      </c>
      <c r="C650" t="str">
        <f>PROPER(TRIM(Employee_dataset[[#This Row],[Last_Name]]))</f>
        <v>Garcia</v>
      </c>
      <c r="D650" s="6" t="str">
        <f>_xlfn.LET(
     _xlpm.a, TRIM(Employee_dataset[[#This Row],[Age]]),
     IF(
        _xlpm.a="","",
        IF(
           AND(ISNUMBER(--_xlpm.a),LEN(_xlpm.a)=2),_xlpm.a,""
          )
       )
    )</f>
        <v>40</v>
      </c>
      <c r="E650" t="str">
        <f>TRIM(_xlfn.TEXTBEFORE(Employee_dataset[[#This Row],[Department_Region]],"-"))</f>
        <v>Sales</v>
      </c>
      <c r="F650" t="str">
        <f>TRIM(_xlfn.TEXTAFTER(Employee_dataset[[#This Row],[Department_Region]],"-"))</f>
        <v>Texas</v>
      </c>
      <c r="G650" t="str">
        <f>TRIM(Employee_dataset[[#This Row],[Status]])</f>
        <v>Pending</v>
      </c>
      <c r="H650" s="1">
        <f>_xlfn.LET(
     _xlpm.d, Employee_dataset[[#This Row],[Join_Date]],
     IF(
        ISNUMBER(_xlpm.d),_xlpm.d,""
       )
    )</f>
        <v>43917</v>
      </c>
      <c r="I650" s="6">
        <f>_xlfn.LET(
     _xlpm.s, TRIM(Employee_dataset[[#This Row],[Salary]]),
     IF(
        UPPER(_xlpm.s)="N/A","",
        IF(
           ISNUMBER(--_xlpm.s),ROUND(_xlfn.NUMBERVALUE(_xlpm.s),2),""
          )
       )
    )</f>
        <v>109360.74</v>
      </c>
      <c r="J650" t="str">
        <f>TRIM(Employee_dataset[[#This Row],[Email]])</f>
        <v>bob.garcia@example.com</v>
      </c>
      <c r="K650" t="str">
        <f>_xlfn.LET(
     _xlpm.p,TRIM(SUBSTITUTE(Employee_dataset[[#This Row],[Phone]],"-","")),
     IF(
        LEN(_xlpm.p)=10,_xlfn.CONCAT("("&amp;LEFT(_xlpm.p,3)&amp;") "&amp;MID(_xlpm.p,4,3)&amp;"-"&amp;RIGHT(_xlpm.p,4),"")
       )
     )</f>
        <v>(417) 215-6228</v>
      </c>
      <c r="L650" t="str">
        <f>TRIM(Employee_dataset[[#This Row],[Performance_Score]])</f>
        <v>Average</v>
      </c>
      <c r="M650" t="str">
        <f>TRIM(Employee_dataset[[#This Row],[Remote_Work]])</f>
        <v>TRUE</v>
      </c>
    </row>
    <row r="651" spans="1:13" x14ac:dyDescent="0.3">
      <c r="A651" t="str">
        <f>TRIM(Employee_dataset[[#This Row],[Employee_ID]])</f>
        <v>EMP1649</v>
      </c>
      <c r="B651" t="str">
        <f>PROPER(TRIM(Employee_dataset[[#This Row],[First_Name]]))</f>
        <v>Frank</v>
      </c>
      <c r="C651" t="str">
        <f>PROPER(TRIM(Employee_dataset[[#This Row],[Last_Name]]))</f>
        <v>Jones</v>
      </c>
      <c r="D651" s="6" t="str">
        <f>_xlfn.LET(
     _xlpm.a, TRIM(Employee_dataset[[#This Row],[Age]]),
     IF(
        _xlpm.a="","",
        IF(
           AND(ISNUMBER(--_xlpm.a),LEN(_xlpm.a)=2),_xlpm.a,""
          )
       )
    )</f>
        <v>40</v>
      </c>
      <c r="E651" t="str">
        <f>TRIM(_xlfn.TEXTBEFORE(Employee_dataset[[#This Row],[Department_Region]],"-"))</f>
        <v>Sales</v>
      </c>
      <c r="F651" t="str">
        <f>TRIM(_xlfn.TEXTAFTER(Employee_dataset[[#This Row],[Department_Region]],"-"))</f>
        <v>California</v>
      </c>
      <c r="G651" t="str">
        <f>TRIM(Employee_dataset[[#This Row],[Status]])</f>
        <v>Inactive</v>
      </c>
      <c r="H651" s="1">
        <f>_xlfn.LET(
     _xlpm.d, Employee_dataset[[#This Row],[Join_Date]],
     IF(
        ISNUMBER(_xlpm.d),_xlpm.d,""
       )
    )</f>
        <v>44205</v>
      </c>
      <c r="I651" s="6">
        <f>_xlfn.LET(
     _xlpm.s, TRIM(Employee_dataset[[#This Row],[Salary]]),
     IF(
        UPPER(_xlpm.s)="N/A","",
        IF(
           ISNUMBER(--_xlpm.s),ROUND(_xlfn.NUMBERVALUE(_xlpm.s),2),""
          )
       )
    )</f>
        <v>118907.63</v>
      </c>
      <c r="J651" t="str">
        <f>TRIM(Employee_dataset[[#This Row],[Email]])</f>
        <v>frank.jones@example.com</v>
      </c>
      <c r="K651" t="str">
        <f>_xlfn.LET(
     _xlpm.p,TRIM(SUBSTITUTE(Employee_dataset[[#This Row],[Phone]],"-","")),
     IF(
        LEN(_xlpm.p)=10,_xlfn.CONCAT("("&amp;LEFT(_xlpm.p,3)&amp;") "&amp;MID(_xlpm.p,4,3)&amp;"-"&amp;RIGHT(_xlpm.p,4),"")
       )
     )</f>
        <v>(493) 817-3597</v>
      </c>
      <c r="L651" t="str">
        <f>TRIM(Employee_dataset[[#This Row],[Performance_Score]])</f>
        <v>Poor</v>
      </c>
      <c r="M651" t="str">
        <f>TRIM(Employee_dataset[[#This Row],[Remote_Work]])</f>
        <v>FALSE</v>
      </c>
    </row>
    <row r="652" spans="1:13" x14ac:dyDescent="0.3">
      <c r="A652" t="str">
        <f>TRIM(Employee_dataset[[#This Row],[Employee_ID]])</f>
        <v>EMP1650</v>
      </c>
      <c r="B652" t="str">
        <f>PROPER(TRIM(Employee_dataset[[#This Row],[First_Name]]))</f>
        <v>Eva</v>
      </c>
      <c r="C652" t="str">
        <f>PROPER(TRIM(Employee_dataset[[#This Row],[Last_Name]]))</f>
        <v>Davis</v>
      </c>
      <c r="D652" s="6" t="str">
        <f>_xlfn.LET(
     _xlpm.a, TRIM(Employee_dataset[[#This Row],[Age]]),
     IF(
        _xlpm.a="","",
        IF(
           AND(ISNUMBER(--_xlpm.a),LEN(_xlpm.a)=2),_xlpm.a,""
          )
       )
    )</f>
        <v>40</v>
      </c>
      <c r="E652" t="str">
        <f>TRIM(_xlfn.TEXTBEFORE(Employee_dataset[[#This Row],[Department_Region]],"-"))</f>
        <v>Admin</v>
      </c>
      <c r="F652" t="str">
        <f>TRIM(_xlfn.TEXTAFTER(Employee_dataset[[#This Row],[Department_Region]],"-"))</f>
        <v>Illinois</v>
      </c>
      <c r="G652" t="str">
        <f>TRIM(Employee_dataset[[#This Row],[Status]])</f>
        <v>Active</v>
      </c>
      <c r="H652" s="1">
        <f>_xlfn.LET(
     _xlpm.d, Employee_dataset[[#This Row],[Join_Date]],
     IF(
        ISNUMBER(_xlpm.d),_xlpm.d,""
       )
    )</f>
        <v>43941</v>
      </c>
      <c r="I652" s="6">
        <f>_xlfn.LET(
     _xlpm.s, TRIM(Employee_dataset[[#This Row],[Salary]]),
     IF(
        UPPER(_xlpm.s)="N/A","",
        IF(
           ISNUMBER(--_xlpm.s),ROUND(_xlfn.NUMBERVALUE(_xlpm.s),2),""
          )
       )
    )</f>
        <v>86801.48</v>
      </c>
      <c r="J652" t="str">
        <f>TRIM(Employee_dataset[[#This Row],[Email]])</f>
        <v>eva.davis@example.com</v>
      </c>
      <c r="K652" t="str">
        <f>_xlfn.LET(
     _xlpm.p,TRIM(SUBSTITUTE(Employee_dataset[[#This Row],[Phone]],"-","")),
     IF(
        LEN(_xlpm.p)=10,_xlfn.CONCAT("("&amp;LEFT(_xlpm.p,3)&amp;") "&amp;MID(_xlpm.p,4,3)&amp;"-"&amp;RIGHT(_xlpm.p,4),"")
       )
     )</f>
        <v>(488) 402-1556</v>
      </c>
      <c r="L652" t="str">
        <f>TRIM(Employee_dataset[[#This Row],[Performance_Score]])</f>
        <v>Good</v>
      </c>
      <c r="M652" t="str">
        <f>TRIM(Employee_dataset[[#This Row],[Remote_Work]])</f>
        <v>FALSE</v>
      </c>
    </row>
    <row r="653" spans="1:13" x14ac:dyDescent="0.3">
      <c r="A653" t="str">
        <f>TRIM(Employee_dataset[[#This Row],[Employee_ID]])</f>
        <v>EMP1651</v>
      </c>
      <c r="B653" t="str">
        <f>PROPER(TRIM(Employee_dataset[[#This Row],[First_Name]]))</f>
        <v>Alice</v>
      </c>
      <c r="C653" t="str">
        <f>PROPER(TRIM(Employee_dataset[[#This Row],[Last_Name]]))</f>
        <v>Garcia</v>
      </c>
      <c r="D653" s="6" t="str">
        <f>_xlfn.LET(
     _xlpm.a, TRIM(Employee_dataset[[#This Row],[Age]]),
     IF(
        _xlpm.a="","",
        IF(
           AND(ISNUMBER(--_xlpm.a),LEN(_xlpm.a)=2),_xlpm.a,""
          )
       )
    )</f>
        <v/>
      </c>
      <c r="E653" t="str">
        <f>TRIM(_xlfn.TEXTBEFORE(Employee_dataset[[#This Row],[Department_Region]],"-"))</f>
        <v>HR</v>
      </c>
      <c r="F653" t="str">
        <f>TRIM(_xlfn.TEXTAFTER(Employee_dataset[[#This Row],[Department_Region]],"-"))</f>
        <v>Florida</v>
      </c>
      <c r="G653" t="str">
        <f>TRIM(Employee_dataset[[#This Row],[Status]])</f>
        <v>Pending</v>
      </c>
      <c r="H653" s="1">
        <f>_xlfn.LET(
     _xlpm.d, Employee_dataset[[#This Row],[Join_Date]],
     IF(
        ISNUMBER(_xlpm.d),_xlpm.d,""
       )
    )</f>
        <v>45420</v>
      </c>
      <c r="I653" s="6">
        <f>_xlfn.LET(
     _xlpm.s, TRIM(Employee_dataset[[#This Row],[Salary]]),
     IF(
        UPPER(_xlpm.s)="N/A","",
        IF(
           ISNUMBER(--_xlpm.s),ROUND(_xlfn.NUMBERVALUE(_xlpm.s),2),""
          )
       )
    )</f>
        <v>62236.03</v>
      </c>
      <c r="J653" t="str">
        <f>TRIM(Employee_dataset[[#This Row],[Email]])</f>
        <v>alice.garcia@example.com</v>
      </c>
      <c r="K653" t="str">
        <f>_xlfn.LET(
     _xlpm.p,TRIM(SUBSTITUTE(Employee_dataset[[#This Row],[Phone]],"-","")),
     IF(
        LEN(_xlpm.p)=10,_xlfn.CONCAT("("&amp;LEFT(_xlpm.p,3)&amp;") "&amp;MID(_xlpm.p,4,3)&amp;"-"&amp;RIGHT(_xlpm.p,4),"")
       )
     )</f>
        <v>(325) 737-5533</v>
      </c>
      <c r="L653" t="str">
        <f>TRIM(Employee_dataset[[#This Row],[Performance_Score]])</f>
        <v>Excellent</v>
      </c>
      <c r="M653" t="str">
        <f>TRIM(Employee_dataset[[#This Row],[Remote_Work]])</f>
        <v>TRUE</v>
      </c>
    </row>
    <row r="654" spans="1:13" x14ac:dyDescent="0.3">
      <c r="A654" t="str">
        <f>TRIM(Employee_dataset[[#This Row],[Employee_ID]])</f>
        <v>EMP1652</v>
      </c>
      <c r="B654" t="str">
        <f>PROPER(TRIM(Employee_dataset[[#This Row],[First_Name]]))</f>
        <v>Heidi</v>
      </c>
      <c r="C654" t="str">
        <f>PROPER(TRIM(Employee_dataset[[#This Row],[Last_Name]]))</f>
        <v>Davis</v>
      </c>
      <c r="D654" s="6" t="str">
        <f>_xlfn.LET(
     _xlpm.a, TRIM(Employee_dataset[[#This Row],[Age]]),
     IF(
        _xlpm.a="","",
        IF(
           AND(ISNUMBER(--_xlpm.a),LEN(_xlpm.a)=2),_xlpm.a,""
          )
       )
    )</f>
        <v>35</v>
      </c>
      <c r="E654" t="str">
        <f>TRIM(_xlfn.TEXTBEFORE(Employee_dataset[[#This Row],[Department_Region]],"-"))</f>
        <v>DevOps</v>
      </c>
      <c r="F654" t="str">
        <f>TRIM(_xlfn.TEXTAFTER(Employee_dataset[[#This Row],[Department_Region]],"-"))</f>
        <v>Texas</v>
      </c>
      <c r="G654" t="str">
        <f>TRIM(Employee_dataset[[#This Row],[Status]])</f>
        <v>Active</v>
      </c>
      <c r="H654" s="1">
        <f>_xlfn.LET(
     _xlpm.d, Employee_dataset[[#This Row],[Join_Date]],
     IF(
        ISNUMBER(_xlpm.d),_xlpm.d,""
       )
    )</f>
        <v>45211</v>
      </c>
      <c r="I654" s="6">
        <f>_xlfn.LET(
     _xlpm.s, TRIM(Employee_dataset[[#This Row],[Salary]]),
     IF(
        UPPER(_xlpm.s)="N/A","",
        IF(
           ISNUMBER(--_xlpm.s),ROUND(_xlfn.NUMBERVALUE(_xlpm.s),2),""
          )
       )
    )</f>
        <v>64752.67</v>
      </c>
      <c r="J654" t="str">
        <f>TRIM(Employee_dataset[[#This Row],[Email]])</f>
        <v>heidi.davis@example.com</v>
      </c>
      <c r="K654" t="str">
        <f>_xlfn.LET(
     _xlpm.p,TRIM(SUBSTITUTE(Employee_dataset[[#This Row],[Phone]],"-","")),
     IF(
        LEN(_xlpm.p)=10,_xlfn.CONCAT("("&amp;LEFT(_xlpm.p,3)&amp;") "&amp;MID(_xlpm.p,4,3)&amp;"-"&amp;RIGHT(_xlpm.p,4),"")
       )
     )</f>
        <v>(490) 216-6669</v>
      </c>
      <c r="L654" t="str">
        <f>TRIM(Employee_dataset[[#This Row],[Performance_Score]])</f>
        <v>Poor</v>
      </c>
      <c r="M654" t="str">
        <f>TRIM(Employee_dataset[[#This Row],[Remote_Work]])</f>
        <v>FALSE</v>
      </c>
    </row>
    <row r="655" spans="1:13" x14ac:dyDescent="0.3">
      <c r="A655" t="str">
        <f>TRIM(Employee_dataset[[#This Row],[Employee_ID]])</f>
        <v>EMP1653</v>
      </c>
      <c r="B655" t="str">
        <f>PROPER(TRIM(Employee_dataset[[#This Row],[First_Name]]))</f>
        <v>Frank</v>
      </c>
      <c r="C655" t="str">
        <f>PROPER(TRIM(Employee_dataset[[#This Row],[Last_Name]]))</f>
        <v>Jones</v>
      </c>
      <c r="D655" s="6" t="str">
        <f>_xlfn.LET(
     _xlpm.a, TRIM(Employee_dataset[[#This Row],[Age]]),
     IF(
        _xlpm.a="","",
        IF(
           AND(ISNUMBER(--_xlpm.a),LEN(_xlpm.a)=2),_xlpm.a,""
          )
       )
    )</f>
        <v>35</v>
      </c>
      <c r="E655" t="str">
        <f>TRIM(_xlfn.TEXTBEFORE(Employee_dataset[[#This Row],[Department_Region]],"-"))</f>
        <v>Sales</v>
      </c>
      <c r="F655" t="str">
        <f>TRIM(_xlfn.TEXTAFTER(Employee_dataset[[#This Row],[Department_Region]],"-"))</f>
        <v>California</v>
      </c>
      <c r="G655" t="str">
        <f>TRIM(Employee_dataset[[#This Row],[Status]])</f>
        <v>Active</v>
      </c>
      <c r="H655" s="1">
        <f>_xlfn.LET(
     _xlpm.d, Employee_dataset[[#This Row],[Join_Date]],
     IF(
        ISNUMBER(_xlpm.d),_xlpm.d,""
       )
    )</f>
        <v>44954</v>
      </c>
      <c r="I655" s="6">
        <f>_xlfn.LET(
     _xlpm.s, TRIM(Employee_dataset[[#This Row],[Salary]]),
     IF(
        UPPER(_xlpm.s)="N/A","",
        IF(
           ISNUMBER(--_xlpm.s),ROUND(_xlfn.NUMBERVALUE(_xlpm.s),2),""
          )
       )
    )</f>
        <v>68399.429999999993</v>
      </c>
      <c r="J655" t="str">
        <f>TRIM(Employee_dataset[[#This Row],[Email]])</f>
        <v>frank.jones@example.com</v>
      </c>
      <c r="K655" t="str">
        <f>_xlfn.LET(
     _xlpm.p,TRIM(SUBSTITUTE(Employee_dataset[[#This Row],[Phone]],"-","")),
     IF(
        LEN(_xlpm.p)=10,_xlfn.CONCAT("("&amp;LEFT(_xlpm.p,3)&amp;") "&amp;MID(_xlpm.p,4,3)&amp;"-"&amp;RIGHT(_xlpm.p,4),"")
       )
     )</f>
        <v>(808) 509-6084</v>
      </c>
      <c r="L655" t="str">
        <f>TRIM(Employee_dataset[[#This Row],[Performance_Score]])</f>
        <v>Excellent</v>
      </c>
      <c r="M655" t="str">
        <f>TRIM(Employee_dataset[[#This Row],[Remote_Work]])</f>
        <v>FALSE</v>
      </c>
    </row>
    <row r="656" spans="1:13" x14ac:dyDescent="0.3">
      <c r="A656" t="str">
        <f>TRIM(Employee_dataset[[#This Row],[Employee_ID]])</f>
        <v>EMP1654</v>
      </c>
      <c r="B656" t="str">
        <f>PROPER(TRIM(Employee_dataset[[#This Row],[First_Name]]))</f>
        <v>Frank</v>
      </c>
      <c r="C656" t="str">
        <f>PROPER(TRIM(Employee_dataset[[#This Row],[Last_Name]]))</f>
        <v>Miller</v>
      </c>
      <c r="D656" s="6" t="str">
        <f>_xlfn.LET(
     _xlpm.a, TRIM(Employee_dataset[[#This Row],[Age]]),
     IF(
        _xlpm.a="","",
        IF(
           AND(ISNUMBER(--_xlpm.a),LEN(_xlpm.a)=2),_xlpm.a,""
          )
       )
    )</f>
        <v>35</v>
      </c>
      <c r="E656" t="str">
        <f>TRIM(_xlfn.TEXTBEFORE(Employee_dataset[[#This Row],[Department_Region]],"-"))</f>
        <v>Admin</v>
      </c>
      <c r="F656" t="str">
        <f>TRIM(_xlfn.TEXTAFTER(Employee_dataset[[#This Row],[Department_Region]],"-"))</f>
        <v>Florida</v>
      </c>
      <c r="G656" t="str">
        <f>TRIM(Employee_dataset[[#This Row],[Status]])</f>
        <v>Inactive</v>
      </c>
      <c r="H656" s="1">
        <f>_xlfn.LET(
     _xlpm.d, Employee_dataset[[#This Row],[Join_Date]],
     IF(
        ISNUMBER(_xlpm.d),_xlpm.d,""
       )
    )</f>
        <v>44262</v>
      </c>
      <c r="I656" s="6">
        <f>_xlfn.LET(
     _xlpm.s, TRIM(Employee_dataset[[#This Row],[Salary]]),
     IF(
        UPPER(_xlpm.s)="N/A","",
        IF(
           ISNUMBER(--_xlpm.s),ROUND(_xlfn.NUMBERVALUE(_xlpm.s),2),""
          )
       )
    )</f>
        <v>79336.509999999995</v>
      </c>
      <c r="J656" t="str">
        <f>TRIM(Employee_dataset[[#This Row],[Email]])</f>
        <v>frank.miller@example.com</v>
      </c>
      <c r="K656" t="str">
        <f>_xlfn.LET(
     _xlpm.p,TRIM(SUBSTITUTE(Employee_dataset[[#This Row],[Phone]],"-","")),
     IF(
        LEN(_xlpm.p)=10,_xlfn.CONCAT("("&amp;LEFT(_xlpm.p,3)&amp;") "&amp;MID(_xlpm.p,4,3)&amp;"-"&amp;RIGHT(_xlpm.p,4),"")
       )
     )</f>
        <v>(874) 951-1917</v>
      </c>
      <c r="L656" t="str">
        <f>TRIM(Employee_dataset[[#This Row],[Performance_Score]])</f>
        <v>Excellent</v>
      </c>
      <c r="M656" t="str">
        <f>TRIM(Employee_dataset[[#This Row],[Remote_Work]])</f>
        <v>FALSE</v>
      </c>
    </row>
    <row r="657" spans="1:13" x14ac:dyDescent="0.3">
      <c r="A657" t="str">
        <f>TRIM(Employee_dataset[[#This Row],[Employee_ID]])</f>
        <v>EMP1655</v>
      </c>
      <c r="B657" t="str">
        <f>PROPER(TRIM(Employee_dataset[[#This Row],[First_Name]]))</f>
        <v>Frank</v>
      </c>
      <c r="C657" t="str">
        <f>PROPER(TRIM(Employee_dataset[[#This Row],[Last_Name]]))</f>
        <v>Jones</v>
      </c>
      <c r="D657" s="6" t="str">
        <f>_xlfn.LET(
     _xlpm.a, TRIM(Employee_dataset[[#This Row],[Age]]),
     IF(
        _xlpm.a="","",
        IF(
           AND(ISNUMBER(--_xlpm.a),LEN(_xlpm.a)=2),_xlpm.a,""
          )
       )
    )</f>
        <v>40</v>
      </c>
      <c r="E657" t="str">
        <f>TRIM(_xlfn.TEXTBEFORE(Employee_dataset[[#This Row],[Department_Region]],"-"))</f>
        <v>HR</v>
      </c>
      <c r="F657" t="str">
        <f>TRIM(_xlfn.TEXTAFTER(Employee_dataset[[#This Row],[Department_Region]],"-"))</f>
        <v>Florida</v>
      </c>
      <c r="G657" t="str">
        <f>TRIM(Employee_dataset[[#This Row],[Status]])</f>
        <v>Active</v>
      </c>
      <c r="H657" s="1">
        <f>_xlfn.LET(
     _xlpm.d, Employee_dataset[[#This Row],[Join_Date]],
     IF(
        ISNUMBER(_xlpm.d),_xlpm.d,""
       )
    )</f>
        <v>45001</v>
      </c>
      <c r="I657" s="6">
        <f>_xlfn.LET(
     _xlpm.s, TRIM(Employee_dataset[[#This Row],[Salary]]),
     IF(
        UPPER(_xlpm.s)="N/A","",
        IF(
           ISNUMBER(--_xlpm.s),ROUND(_xlfn.NUMBERVALUE(_xlpm.s),2),""
          )
       )
    )</f>
        <v>59179.74</v>
      </c>
      <c r="J657" t="str">
        <f>TRIM(Employee_dataset[[#This Row],[Email]])</f>
        <v>frank.jones@example.com</v>
      </c>
      <c r="K657" t="str">
        <f>_xlfn.LET(
     _xlpm.p,TRIM(SUBSTITUTE(Employee_dataset[[#This Row],[Phone]],"-","")),
     IF(
        LEN(_xlpm.p)=10,_xlfn.CONCAT("("&amp;LEFT(_xlpm.p,3)&amp;") "&amp;MID(_xlpm.p,4,3)&amp;"-"&amp;RIGHT(_xlpm.p,4),"")
       )
     )</f>
        <v>(182) 819-7930</v>
      </c>
      <c r="L657" t="str">
        <f>TRIM(Employee_dataset[[#This Row],[Performance_Score]])</f>
        <v>Excellent</v>
      </c>
      <c r="M657" t="str">
        <f>TRIM(Employee_dataset[[#This Row],[Remote_Work]])</f>
        <v>FALSE</v>
      </c>
    </row>
    <row r="658" spans="1:13" x14ac:dyDescent="0.3">
      <c r="A658" t="str">
        <f>TRIM(Employee_dataset[[#This Row],[Employee_ID]])</f>
        <v>EMP1656</v>
      </c>
      <c r="B658" t="str">
        <f>PROPER(TRIM(Employee_dataset[[#This Row],[First_Name]]))</f>
        <v>David</v>
      </c>
      <c r="C658" t="str">
        <f>PROPER(TRIM(Employee_dataset[[#This Row],[Last_Name]]))</f>
        <v>Davis</v>
      </c>
      <c r="D658" s="6" t="str">
        <f>_xlfn.LET(
     _xlpm.a, TRIM(Employee_dataset[[#This Row],[Age]]),
     IF(
        _xlpm.a="","",
        IF(
           AND(ISNUMBER(--_xlpm.a),LEN(_xlpm.a)=2),_xlpm.a,""
          )
       )
    )</f>
        <v>25</v>
      </c>
      <c r="E658" t="str">
        <f>TRIM(_xlfn.TEXTBEFORE(Employee_dataset[[#This Row],[Department_Region]],"-"))</f>
        <v>DevOps</v>
      </c>
      <c r="F658" t="str">
        <f>TRIM(_xlfn.TEXTAFTER(Employee_dataset[[#This Row],[Department_Region]],"-"))</f>
        <v>California</v>
      </c>
      <c r="G658" t="str">
        <f>TRIM(Employee_dataset[[#This Row],[Status]])</f>
        <v>Active</v>
      </c>
      <c r="H658" s="1">
        <f>_xlfn.LET(
     _xlpm.d, Employee_dataset[[#This Row],[Join_Date]],
     IF(
        ISNUMBER(_xlpm.d),_xlpm.d,""
       )
    )</f>
        <v>44968</v>
      </c>
      <c r="I658" s="6">
        <f>_xlfn.LET(
     _xlpm.s, TRIM(Employee_dataset[[#This Row],[Salary]]),
     IF(
        UPPER(_xlpm.s)="N/A","",
        IF(
           ISNUMBER(--_xlpm.s),ROUND(_xlfn.NUMBERVALUE(_xlpm.s),2),""
          )
       )
    )</f>
        <v>80255.31</v>
      </c>
      <c r="J658" t="str">
        <f>TRIM(Employee_dataset[[#This Row],[Email]])</f>
        <v>david.davis@example.com</v>
      </c>
      <c r="K658" t="str">
        <f>_xlfn.LET(
     _xlpm.p,TRIM(SUBSTITUTE(Employee_dataset[[#This Row],[Phone]],"-","")),
     IF(
        LEN(_xlpm.p)=10,_xlfn.CONCAT("("&amp;LEFT(_xlpm.p,3)&amp;") "&amp;MID(_xlpm.p,4,3)&amp;"-"&amp;RIGHT(_xlpm.p,4),"")
       )
     )</f>
        <v>(647) 725-1294</v>
      </c>
      <c r="L658" t="str">
        <f>TRIM(Employee_dataset[[#This Row],[Performance_Score]])</f>
        <v>Average</v>
      </c>
      <c r="M658" t="str">
        <f>TRIM(Employee_dataset[[#This Row],[Remote_Work]])</f>
        <v>FALSE</v>
      </c>
    </row>
    <row r="659" spans="1:13" x14ac:dyDescent="0.3">
      <c r="A659" t="str">
        <f>TRIM(Employee_dataset[[#This Row],[Employee_ID]])</f>
        <v>EMP1657</v>
      </c>
      <c r="B659" t="str">
        <f>PROPER(TRIM(Employee_dataset[[#This Row],[First_Name]]))</f>
        <v>Charlie</v>
      </c>
      <c r="C659" t="str">
        <f>PROPER(TRIM(Employee_dataset[[#This Row],[Last_Name]]))</f>
        <v>Williams</v>
      </c>
      <c r="D659" s="6" t="str">
        <f>_xlfn.LET(
     _xlpm.a, TRIM(Employee_dataset[[#This Row],[Age]]),
     IF(
        _xlpm.a="","",
        IF(
           AND(ISNUMBER(--_xlpm.a),LEN(_xlpm.a)=2),_xlpm.a,""
          )
       )
    )</f>
        <v>30</v>
      </c>
      <c r="E659" t="str">
        <f>TRIM(_xlfn.TEXTBEFORE(Employee_dataset[[#This Row],[Department_Region]],"-"))</f>
        <v>Finance</v>
      </c>
      <c r="F659" t="str">
        <f>TRIM(_xlfn.TEXTAFTER(Employee_dataset[[#This Row],[Department_Region]],"-"))</f>
        <v>Texas</v>
      </c>
      <c r="G659" t="str">
        <f>TRIM(Employee_dataset[[#This Row],[Status]])</f>
        <v>Active</v>
      </c>
      <c r="H659" s="1">
        <f>_xlfn.LET(
     _xlpm.d, Employee_dataset[[#This Row],[Join_Date]],
     IF(
        ISNUMBER(_xlpm.d),_xlpm.d,""
       )
    )</f>
        <v>44694</v>
      </c>
      <c r="I659" s="6">
        <f>_xlfn.LET(
     _xlpm.s, TRIM(Employee_dataset[[#This Row],[Salary]]),
     IF(
        UPPER(_xlpm.s)="N/A","",
        IF(
           ISNUMBER(--_xlpm.s),ROUND(_xlfn.NUMBERVALUE(_xlpm.s),2),""
          )
       )
    )</f>
        <v>84971.85</v>
      </c>
      <c r="J659" t="str">
        <f>TRIM(Employee_dataset[[#This Row],[Email]])</f>
        <v>charlie.williams@example.com</v>
      </c>
      <c r="K659" t="str">
        <f>_xlfn.LET(
     _xlpm.p,TRIM(SUBSTITUTE(Employee_dataset[[#This Row],[Phone]],"-","")),
     IF(
        LEN(_xlpm.p)=10,_xlfn.CONCAT("("&amp;LEFT(_xlpm.p,3)&amp;") "&amp;MID(_xlpm.p,4,3)&amp;"-"&amp;RIGHT(_xlpm.p,4),"")
       )
     )</f>
        <v>(786) 069-4095</v>
      </c>
      <c r="L659" t="str">
        <f>TRIM(Employee_dataset[[#This Row],[Performance_Score]])</f>
        <v>Average</v>
      </c>
      <c r="M659" t="str">
        <f>TRIM(Employee_dataset[[#This Row],[Remote_Work]])</f>
        <v>FALSE</v>
      </c>
    </row>
    <row r="660" spans="1:13" x14ac:dyDescent="0.3">
      <c r="A660" t="str">
        <f>TRIM(Employee_dataset[[#This Row],[Employee_ID]])</f>
        <v>EMP1658</v>
      </c>
      <c r="B660" t="str">
        <f>PROPER(TRIM(Employee_dataset[[#This Row],[First_Name]]))</f>
        <v>Frank</v>
      </c>
      <c r="C660" t="str">
        <f>PROPER(TRIM(Employee_dataset[[#This Row],[Last_Name]]))</f>
        <v>Brown</v>
      </c>
      <c r="D660" s="6" t="str">
        <f>_xlfn.LET(
     _xlpm.a, TRIM(Employee_dataset[[#This Row],[Age]]),
     IF(
        _xlpm.a="","",
        IF(
           AND(ISNUMBER(--_xlpm.a),LEN(_xlpm.a)=2),_xlpm.a,""
          )
       )
    )</f>
        <v>40</v>
      </c>
      <c r="E660" t="str">
        <f>TRIM(_xlfn.TEXTBEFORE(Employee_dataset[[#This Row],[Department_Region]],"-"))</f>
        <v>HR</v>
      </c>
      <c r="F660" t="str">
        <f>TRIM(_xlfn.TEXTAFTER(Employee_dataset[[#This Row],[Department_Region]],"-"))</f>
        <v>California</v>
      </c>
      <c r="G660" t="str">
        <f>TRIM(Employee_dataset[[#This Row],[Status]])</f>
        <v>Pending</v>
      </c>
      <c r="H660" s="1">
        <f>_xlfn.LET(
     _xlpm.d, Employee_dataset[[#This Row],[Join_Date]],
     IF(
        ISNUMBER(_xlpm.d),_xlpm.d,""
       )
    )</f>
        <v>45589</v>
      </c>
      <c r="I660" s="6">
        <f>_xlfn.LET(
     _xlpm.s, TRIM(Employee_dataset[[#This Row],[Salary]]),
     IF(
        UPPER(_xlpm.s)="N/A","",
        IF(
           ISNUMBER(--_xlpm.s),ROUND(_xlfn.NUMBERVALUE(_xlpm.s),2),""
          )
       )
    )</f>
        <v>89748.42</v>
      </c>
      <c r="J660" t="str">
        <f>TRIM(Employee_dataset[[#This Row],[Email]])</f>
        <v>frank.brown@example.com</v>
      </c>
      <c r="K660" t="b">
        <f>_xlfn.LET(
     _xlpm.p,TRIM(SUBSTITUTE(Employee_dataset[[#This Row],[Phone]],"-","")),
     IF(
        LEN(_xlpm.p)=10,_xlfn.CONCAT("("&amp;LEFT(_xlpm.p,3)&amp;") "&amp;MID(_xlpm.p,4,3)&amp;"-"&amp;RIGHT(_xlpm.p,4),"")
       )
     )</f>
        <v>0</v>
      </c>
      <c r="L660" t="str">
        <f>TRIM(Employee_dataset[[#This Row],[Performance_Score]])</f>
        <v>Good</v>
      </c>
      <c r="M660" t="str">
        <f>TRIM(Employee_dataset[[#This Row],[Remote_Work]])</f>
        <v>FALSE</v>
      </c>
    </row>
    <row r="661" spans="1:13" x14ac:dyDescent="0.3">
      <c r="A661" t="str">
        <f>TRIM(Employee_dataset[[#This Row],[Employee_ID]])</f>
        <v>EMP1659</v>
      </c>
      <c r="B661" t="str">
        <f>PROPER(TRIM(Employee_dataset[[#This Row],[First_Name]]))</f>
        <v>Charlie</v>
      </c>
      <c r="C661" t="str">
        <f>PROPER(TRIM(Employee_dataset[[#This Row],[Last_Name]]))</f>
        <v>Johnson</v>
      </c>
      <c r="D661" s="6" t="str">
        <f>_xlfn.LET(
     _xlpm.a, TRIM(Employee_dataset[[#This Row],[Age]]),
     IF(
        _xlpm.a="","",
        IF(
           AND(ISNUMBER(--_xlpm.a),LEN(_xlpm.a)=2),_xlpm.a,""
          )
       )
    )</f>
        <v>25</v>
      </c>
      <c r="E661" t="str">
        <f>TRIM(_xlfn.TEXTBEFORE(Employee_dataset[[#This Row],[Department_Region]],"-"))</f>
        <v>Admin</v>
      </c>
      <c r="F661" t="str">
        <f>TRIM(_xlfn.TEXTAFTER(Employee_dataset[[#This Row],[Department_Region]],"-"))</f>
        <v>California</v>
      </c>
      <c r="G661" t="str">
        <f>TRIM(Employee_dataset[[#This Row],[Status]])</f>
        <v>Inactive</v>
      </c>
      <c r="H661" s="1">
        <f>_xlfn.LET(
     _xlpm.d, Employee_dataset[[#This Row],[Join_Date]],
     IF(
        ISNUMBER(_xlpm.d),_xlpm.d,""
       )
    )</f>
        <v>45549</v>
      </c>
      <c r="I661" s="6">
        <f>_xlfn.LET(
     _xlpm.s, TRIM(Employee_dataset[[#This Row],[Salary]]),
     IF(
        UPPER(_xlpm.s)="N/A","",
        IF(
           ISNUMBER(--_xlpm.s),ROUND(_xlfn.NUMBERVALUE(_xlpm.s),2),""
          )
       )
    )</f>
        <v>94090.35</v>
      </c>
      <c r="J661" t="str">
        <f>TRIM(Employee_dataset[[#This Row],[Email]])</f>
        <v>charlie.johnson@example.com</v>
      </c>
      <c r="K661" t="str">
        <f>_xlfn.LET(
     _xlpm.p,TRIM(SUBSTITUTE(Employee_dataset[[#This Row],[Phone]],"-","")),
     IF(
        LEN(_xlpm.p)=10,_xlfn.CONCAT("("&amp;LEFT(_xlpm.p,3)&amp;") "&amp;MID(_xlpm.p,4,3)&amp;"-"&amp;RIGHT(_xlpm.p,4),"")
       )
     )</f>
        <v>(873) 959-2322</v>
      </c>
      <c r="L661" t="str">
        <f>TRIM(Employee_dataset[[#This Row],[Performance_Score]])</f>
        <v>Good</v>
      </c>
      <c r="M661" t="str">
        <f>TRIM(Employee_dataset[[#This Row],[Remote_Work]])</f>
        <v>FALSE</v>
      </c>
    </row>
    <row r="662" spans="1:13" x14ac:dyDescent="0.3">
      <c r="A662" t="str">
        <f>TRIM(Employee_dataset[[#This Row],[Employee_ID]])</f>
        <v>EMP1660</v>
      </c>
      <c r="B662" t="str">
        <f>PROPER(TRIM(Employee_dataset[[#This Row],[First_Name]]))</f>
        <v>Frank</v>
      </c>
      <c r="C662" t="str">
        <f>PROPER(TRIM(Employee_dataset[[#This Row],[Last_Name]]))</f>
        <v>Garcia</v>
      </c>
      <c r="D662" s="6" t="str">
        <f>_xlfn.LET(
     _xlpm.a, TRIM(Employee_dataset[[#This Row],[Age]]),
     IF(
        _xlpm.a="","",
        IF(
           AND(ISNUMBER(--_xlpm.a),LEN(_xlpm.a)=2),_xlpm.a,""
          )
       )
    )</f>
        <v>35</v>
      </c>
      <c r="E662" t="str">
        <f>TRIM(_xlfn.TEXTBEFORE(Employee_dataset[[#This Row],[Department_Region]],"-"))</f>
        <v>HR</v>
      </c>
      <c r="F662" t="str">
        <f>TRIM(_xlfn.TEXTAFTER(Employee_dataset[[#This Row],[Department_Region]],"-"))</f>
        <v>California</v>
      </c>
      <c r="G662" t="str">
        <f>TRIM(Employee_dataset[[#This Row],[Status]])</f>
        <v>Pending</v>
      </c>
      <c r="H662" s="1">
        <f>_xlfn.LET(
     _xlpm.d, Employee_dataset[[#This Row],[Join_Date]],
     IF(
        ISNUMBER(_xlpm.d),_xlpm.d,""
       )
    )</f>
        <v>44972</v>
      </c>
      <c r="I662" s="6">
        <f>_xlfn.LET(
     _xlpm.s, TRIM(Employee_dataset[[#This Row],[Salary]]),
     IF(
        UPPER(_xlpm.s)="N/A","",
        IF(
           ISNUMBER(--_xlpm.s),ROUND(_xlfn.NUMBERVALUE(_xlpm.s),2),""
          )
       )
    )</f>
        <v>115229.12</v>
      </c>
      <c r="J662" t="str">
        <f>TRIM(Employee_dataset[[#This Row],[Email]])</f>
        <v>frank.garcia@example.com</v>
      </c>
      <c r="K662" t="str">
        <f>_xlfn.LET(
     _xlpm.p,TRIM(SUBSTITUTE(Employee_dataset[[#This Row],[Phone]],"-","")),
     IF(
        LEN(_xlpm.p)=10,_xlfn.CONCAT("("&amp;LEFT(_xlpm.p,3)&amp;") "&amp;MID(_xlpm.p,4,3)&amp;"-"&amp;RIGHT(_xlpm.p,4),"")
       )
     )</f>
        <v>(421) 089-0284</v>
      </c>
      <c r="L662" t="str">
        <f>TRIM(Employee_dataset[[#This Row],[Performance_Score]])</f>
        <v>Poor</v>
      </c>
      <c r="M662" t="str">
        <f>TRIM(Employee_dataset[[#This Row],[Remote_Work]])</f>
        <v>TRUE</v>
      </c>
    </row>
    <row r="663" spans="1:13" x14ac:dyDescent="0.3">
      <c r="A663" t="str">
        <f>TRIM(Employee_dataset[[#This Row],[Employee_ID]])</f>
        <v>EMP1661</v>
      </c>
      <c r="B663" t="str">
        <f>PROPER(TRIM(Employee_dataset[[#This Row],[First_Name]]))</f>
        <v>Alice</v>
      </c>
      <c r="C663" t="str">
        <f>PROPER(TRIM(Employee_dataset[[#This Row],[Last_Name]]))</f>
        <v>Williams</v>
      </c>
      <c r="D663" s="6" t="str">
        <f>_xlfn.LET(
     _xlpm.a, TRIM(Employee_dataset[[#This Row],[Age]]),
     IF(
        _xlpm.a="","",
        IF(
           AND(ISNUMBER(--_xlpm.a),LEN(_xlpm.a)=2),_xlpm.a,""
          )
       )
    )</f>
        <v>40</v>
      </c>
      <c r="E663" t="str">
        <f>TRIM(_xlfn.TEXTBEFORE(Employee_dataset[[#This Row],[Department_Region]],"-"))</f>
        <v>Cloud Tech</v>
      </c>
      <c r="F663" t="str">
        <f>TRIM(_xlfn.TEXTAFTER(Employee_dataset[[#This Row],[Department_Region]],"-"))</f>
        <v>California</v>
      </c>
      <c r="G663" t="str">
        <f>TRIM(Employee_dataset[[#This Row],[Status]])</f>
        <v>Pending</v>
      </c>
      <c r="H663" s="1">
        <f>_xlfn.LET(
     _xlpm.d, Employee_dataset[[#This Row],[Join_Date]],
     IF(
        ISNUMBER(_xlpm.d),_xlpm.d,""
       )
    )</f>
        <v>45071</v>
      </c>
      <c r="I663" s="6">
        <f>_xlfn.LET(
     _xlpm.s, TRIM(Employee_dataset[[#This Row],[Salary]]),
     IF(
        UPPER(_xlpm.s)="N/A","",
        IF(
           ISNUMBER(--_xlpm.s),ROUND(_xlfn.NUMBERVALUE(_xlpm.s),2),""
          )
       )
    )</f>
        <v>63927.07</v>
      </c>
      <c r="J663" t="str">
        <f>TRIM(Employee_dataset[[#This Row],[Email]])</f>
        <v>alice.williams@example.com</v>
      </c>
      <c r="K663" t="str">
        <f>_xlfn.LET(
     _xlpm.p,TRIM(SUBSTITUTE(Employee_dataset[[#This Row],[Phone]],"-","")),
     IF(
        LEN(_xlpm.p)=10,_xlfn.CONCAT("("&amp;LEFT(_xlpm.p,3)&amp;") "&amp;MID(_xlpm.p,4,3)&amp;"-"&amp;RIGHT(_xlpm.p,4),"")
       )
     )</f>
        <v>(155) 333-4263</v>
      </c>
      <c r="L663" t="str">
        <f>TRIM(Employee_dataset[[#This Row],[Performance_Score]])</f>
        <v>Good</v>
      </c>
      <c r="M663" t="str">
        <f>TRIM(Employee_dataset[[#This Row],[Remote_Work]])</f>
        <v>TRUE</v>
      </c>
    </row>
    <row r="664" spans="1:13" x14ac:dyDescent="0.3">
      <c r="A664" t="str">
        <f>TRIM(Employee_dataset[[#This Row],[Employee_ID]])</f>
        <v>EMP1662</v>
      </c>
      <c r="B664" t="str">
        <f>PROPER(TRIM(Employee_dataset[[#This Row],[First_Name]]))</f>
        <v>Charlie</v>
      </c>
      <c r="C664" t="str">
        <f>PROPER(TRIM(Employee_dataset[[#This Row],[Last_Name]]))</f>
        <v>Jones</v>
      </c>
      <c r="D664" s="6" t="str">
        <f>_xlfn.LET(
     _xlpm.a, TRIM(Employee_dataset[[#This Row],[Age]]),
     IF(
        _xlpm.a="","",
        IF(
           AND(ISNUMBER(--_xlpm.a),LEN(_xlpm.a)=2),_xlpm.a,""
          )
       )
    )</f>
        <v>35</v>
      </c>
      <c r="E664" t="str">
        <f>TRIM(_xlfn.TEXTBEFORE(Employee_dataset[[#This Row],[Department_Region]],"-"))</f>
        <v>HR</v>
      </c>
      <c r="F664" t="str">
        <f>TRIM(_xlfn.TEXTAFTER(Employee_dataset[[#This Row],[Department_Region]],"-"))</f>
        <v>California</v>
      </c>
      <c r="G664" t="str">
        <f>TRIM(Employee_dataset[[#This Row],[Status]])</f>
        <v>Pending</v>
      </c>
      <c r="H664" s="1">
        <f>_xlfn.LET(
     _xlpm.d, Employee_dataset[[#This Row],[Join_Date]],
     IF(
        ISNUMBER(_xlpm.d),_xlpm.d,""
       )
    )</f>
        <v>44876</v>
      </c>
      <c r="I664" s="6">
        <f>_xlfn.LET(
     _xlpm.s, TRIM(Employee_dataset[[#This Row],[Salary]]),
     IF(
        UPPER(_xlpm.s)="N/A","",
        IF(
           ISNUMBER(--_xlpm.s),ROUND(_xlfn.NUMBERVALUE(_xlpm.s),2),""
          )
       )
    )</f>
        <v>84124.56</v>
      </c>
      <c r="J664" t="str">
        <f>TRIM(Employee_dataset[[#This Row],[Email]])</f>
        <v>charlie.jones@example.com</v>
      </c>
      <c r="K664" t="str">
        <f>_xlfn.LET(
     _xlpm.p,TRIM(SUBSTITUTE(Employee_dataset[[#This Row],[Phone]],"-","")),
     IF(
        LEN(_xlpm.p)=10,_xlfn.CONCAT("("&amp;LEFT(_xlpm.p,3)&amp;") "&amp;MID(_xlpm.p,4,3)&amp;"-"&amp;RIGHT(_xlpm.p,4),"")
       )
     )</f>
        <v>(335) 027-1606</v>
      </c>
      <c r="L664" t="str">
        <f>TRIM(Employee_dataset[[#This Row],[Performance_Score]])</f>
        <v>Excellent</v>
      </c>
      <c r="M664" t="str">
        <f>TRIM(Employee_dataset[[#This Row],[Remote_Work]])</f>
        <v>FALSE</v>
      </c>
    </row>
    <row r="665" spans="1:13" x14ac:dyDescent="0.3">
      <c r="A665" t="str">
        <f>TRIM(Employee_dataset[[#This Row],[Employee_ID]])</f>
        <v>EMP1663</v>
      </c>
      <c r="B665" t="str">
        <f>PROPER(TRIM(Employee_dataset[[#This Row],[First_Name]]))</f>
        <v>Bob</v>
      </c>
      <c r="C665" t="str">
        <f>PROPER(TRIM(Employee_dataset[[#This Row],[Last_Name]]))</f>
        <v>Miller</v>
      </c>
      <c r="D665" s="6" t="str">
        <f>_xlfn.LET(
     _xlpm.a, TRIM(Employee_dataset[[#This Row],[Age]]),
     IF(
        _xlpm.a="","",
        IF(
           AND(ISNUMBER(--_xlpm.a),LEN(_xlpm.a)=2),_xlpm.a,""
          )
       )
    )</f>
        <v>40</v>
      </c>
      <c r="E665" t="str">
        <f>TRIM(_xlfn.TEXTBEFORE(Employee_dataset[[#This Row],[Department_Region]],"-"))</f>
        <v>Sales</v>
      </c>
      <c r="F665" t="str">
        <f>TRIM(_xlfn.TEXTAFTER(Employee_dataset[[#This Row],[Department_Region]],"-"))</f>
        <v>California</v>
      </c>
      <c r="G665" t="str">
        <f>TRIM(Employee_dataset[[#This Row],[Status]])</f>
        <v>Inactive</v>
      </c>
      <c r="H665" s="1">
        <f>_xlfn.LET(
     _xlpm.d, Employee_dataset[[#This Row],[Join_Date]],
     IF(
        ISNUMBER(_xlpm.d),_xlpm.d,""
       )
    )</f>
        <v>45124</v>
      </c>
      <c r="I665" s="6">
        <f>_xlfn.LET(
     _xlpm.s, TRIM(Employee_dataset[[#This Row],[Salary]]),
     IF(
        UPPER(_xlpm.s)="N/A","",
        IF(
           ISNUMBER(--_xlpm.s),ROUND(_xlfn.NUMBERVALUE(_xlpm.s),2),""
          )
       )
    )</f>
        <v>116961.61</v>
      </c>
      <c r="J665" t="str">
        <f>TRIM(Employee_dataset[[#This Row],[Email]])</f>
        <v>bob.miller@example.com</v>
      </c>
      <c r="K665" t="str">
        <f>_xlfn.LET(
     _xlpm.p,TRIM(SUBSTITUTE(Employee_dataset[[#This Row],[Phone]],"-","")),
     IF(
        LEN(_xlpm.p)=10,_xlfn.CONCAT("("&amp;LEFT(_xlpm.p,3)&amp;") "&amp;MID(_xlpm.p,4,3)&amp;"-"&amp;RIGHT(_xlpm.p,4),"")
       )
     )</f>
        <v>(360) 776-3368</v>
      </c>
      <c r="L665" t="str">
        <f>TRIM(Employee_dataset[[#This Row],[Performance_Score]])</f>
        <v>Excellent</v>
      </c>
      <c r="M665" t="str">
        <f>TRIM(Employee_dataset[[#This Row],[Remote_Work]])</f>
        <v>TRUE</v>
      </c>
    </row>
    <row r="666" spans="1:13" x14ac:dyDescent="0.3">
      <c r="A666" t="str">
        <f>TRIM(Employee_dataset[[#This Row],[Employee_ID]])</f>
        <v>EMP1664</v>
      </c>
      <c r="B666" t="str">
        <f>PROPER(TRIM(Employee_dataset[[#This Row],[First_Name]]))</f>
        <v>Frank</v>
      </c>
      <c r="C666" t="str">
        <f>PROPER(TRIM(Employee_dataset[[#This Row],[Last_Name]]))</f>
        <v>Smith</v>
      </c>
      <c r="D666" s="6" t="str">
        <f>_xlfn.LET(
     _xlpm.a, TRIM(Employee_dataset[[#This Row],[Age]]),
     IF(
        _xlpm.a="","",
        IF(
           AND(ISNUMBER(--_xlpm.a),LEN(_xlpm.a)=2),_xlpm.a,""
          )
       )
    )</f>
        <v>40</v>
      </c>
      <c r="E666" t="str">
        <f>TRIM(_xlfn.TEXTBEFORE(Employee_dataset[[#This Row],[Department_Region]],"-"))</f>
        <v>DevOps</v>
      </c>
      <c r="F666" t="str">
        <f>TRIM(_xlfn.TEXTAFTER(Employee_dataset[[#This Row],[Department_Region]],"-"))</f>
        <v>Illinois</v>
      </c>
      <c r="G666" t="str">
        <f>TRIM(Employee_dataset[[#This Row],[Status]])</f>
        <v>Pending</v>
      </c>
      <c r="H666" s="1">
        <f>_xlfn.LET(
     _xlpm.d, Employee_dataset[[#This Row],[Join_Date]],
     IF(
        ISNUMBER(_xlpm.d),_xlpm.d,""
       )
    )</f>
        <v>44659</v>
      </c>
      <c r="I666" s="6">
        <f>_xlfn.LET(
     _xlpm.s, TRIM(Employee_dataset[[#This Row],[Salary]]),
     IF(
        UPPER(_xlpm.s)="N/A","",
        IF(
           ISNUMBER(--_xlpm.s),ROUND(_xlfn.NUMBERVALUE(_xlpm.s),2),""
          )
       )
    )</f>
        <v>109423.05</v>
      </c>
      <c r="J666" t="str">
        <f>TRIM(Employee_dataset[[#This Row],[Email]])</f>
        <v>frank.smith@example.com</v>
      </c>
      <c r="K666" t="str">
        <f>_xlfn.LET(
     _xlpm.p,TRIM(SUBSTITUTE(Employee_dataset[[#This Row],[Phone]],"-","")),
     IF(
        LEN(_xlpm.p)=10,_xlfn.CONCAT("("&amp;LEFT(_xlpm.p,3)&amp;") "&amp;MID(_xlpm.p,4,3)&amp;"-"&amp;RIGHT(_xlpm.p,4),"")
       )
     )</f>
        <v>(112) 898-1230</v>
      </c>
      <c r="L666" t="str">
        <f>TRIM(Employee_dataset[[#This Row],[Performance_Score]])</f>
        <v>Average</v>
      </c>
      <c r="M666" t="str">
        <f>TRIM(Employee_dataset[[#This Row],[Remote_Work]])</f>
        <v>FALSE</v>
      </c>
    </row>
    <row r="667" spans="1:13" x14ac:dyDescent="0.3">
      <c r="A667" t="str">
        <f>TRIM(Employee_dataset[[#This Row],[Employee_ID]])</f>
        <v>EMP1665</v>
      </c>
      <c r="B667" t="str">
        <f>PROPER(TRIM(Employee_dataset[[#This Row],[First_Name]]))</f>
        <v>Charlie</v>
      </c>
      <c r="C667" t="str">
        <f>PROPER(TRIM(Employee_dataset[[#This Row],[Last_Name]]))</f>
        <v>Jones</v>
      </c>
      <c r="D667" s="6" t="str">
        <f>_xlfn.LET(
     _xlpm.a, TRIM(Employee_dataset[[#This Row],[Age]]),
     IF(
        _xlpm.a="","",
        IF(
           AND(ISNUMBER(--_xlpm.a),LEN(_xlpm.a)=2),_xlpm.a,""
          )
       )
    )</f>
        <v>35</v>
      </c>
      <c r="E667" t="str">
        <f>TRIM(_xlfn.TEXTBEFORE(Employee_dataset[[#This Row],[Department_Region]],"-"))</f>
        <v>Admin</v>
      </c>
      <c r="F667" t="str">
        <f>TRIM(_xlfn.TEXTAFTER(Employee_dataset[[#This Row],[Department_Region]],"-"))</f>
        <v>California</v>
      </c>
      <c r="G667" t="str">
        <f>TRIM(Employee_dataset[[#This Row],[Status]])</f>
        <v>Inactive</v>
      </c>
      <c r="H667" s="1">
        <f>_xlfn.LET(
     _xlpm.d, Employee_dataset[[#This Row],[Join_Date]],
     IF(
        ISNUMBER(_xlpm.d),_xlpm.d,""
       )
    )</f>
        <v>45168</v>
      </c>
      <c r="I667" s="6">
        <f>_xlfn.LET(
     _xlpm.s, TRIM(Employee_dataset[[#This Row],[Salary]]),
     IF(
        UPPER(_xlpm.s)="N/A","",
        IF(
           ISNUMBER(--_xlpm.s),ROUND(_xlfn.NUMBERVALUE(_xlpm.s),2),""
          )
       )
    )</f>
        <v>70394.94</v>
      </c>
      <c r="J667" t="str">
        <f>TRIM(Employee_dataset[[#This Row],[Email]])</f>
        <v>charlie.jones@example.com</v>
      </c>
      <c r="K667" t="str">
        <f>_xlfn.LET(
     _xlpm.p,TRIM(SUBSTITUTE(Employee_dataset[[#This Row],[Phone]],"-","")),
     IF(
        LEN(_xlpm.p)=10,_xlfn.CONCAT("("&amp;LEFT(_xlpm.p,3)&amp;") "&amp;MID(_xlpm.p,4,3)&amp;"-"&amp;RIGHT(_xlpm.p,4),"")
       )
     )</f>
        <v>(795) 563-3184</v>
      </c>
      <c r="L667" t="str">
        <f>TRIM(Employee_dataset[[#This Row],[Performance_Score]])</f>
        <v>Excellent</v>
      </c>
      <c r="M667" t="str">
        <f>TRIM(Employee_dataset[[#This Row],[Remote_Work]])</f>
        <v>FALSE</v>
      </c>
    </row>
    <row r="668" spans="1:13" x14ac:dyDescent="0.3">
      <c r="A668" t="str">
        <f>TRIM(Employee_dataset[[#This Row],[Employee_ID]])</f>
        <v>EMP1666</v>
      </c>
      <c r="B668" t="str">
        <f>PROPER(TRIM(Employee_dataset[[#This Row],[First_Name]]))</f>
        <v>Grace</v>
      </c>
      <c r="C668" t="str">
        <f>PROPER(TRIM(Employee_dataset[[#This Row],[Last_Name]]))</f>
        <v>Miller</v>
      </c>
      <c r="D668" s="6" t="str">
        <f>_xlfn.LET(
     _xlpm.a, TRIM(Employee_dataset[[#This Row],[Age]]),
     IF(
        _xlpm.a="","",
        IF(
           AND(ISNUMBER(--_xlpm.a),LEN(_xlpm.a)=2),_xlpm.a,""
          )
       )
    )</f>
        <v>35</v>
      </c>
      <c r="E668" t="str">
        <f>TRIM(_xlfn.TEXTBEFORE(Employee_dataset[[#This Row],[Department_Region]],"-"))</f>
        <v>Finance</v>
      </c>
      <c r="F668" t="str">
        <f>TRIM(_xlfn.TEXTAFTER(Employee_dataset[[#This Row],[Department_Region]],"-"))</f>
        <v>California</v>
      </c>
      <c r="G668" t="str">
        <f>TRIM(Employee_dataset[[#This Row],[Status]])</f>
        <v>Pending</v>
      </c>
      <c r="H668" s="1">
        <f>_xlfn.LET(
     _xlpm.d, Employee_dataset[[#This Row],[Join_Date]],
     IF(
        ISNUMBER(_xlpm.d),_xlpm.d,""
       )
    )</f>
        <v>45033</v>
      </c>
      <c r="I668" s="6">
        <f>_xlfn.LET(
     _xlpm.s, TRIM(Employee_dataset[[#This Row],[Salary]]),
     IF(
        UPPER(_xlpm.s)="N/A","",
        IF(
           ISNUMBER(--_xlpm.s),ROUND(_xlfn.NUMBERVALUE(_xlpm.s),2),""
          )
       )
    )</f>
        <v>86465.5</v>
      </c>
      <c r="J668" t="str">
        <f>TRIM(Employee_dataset[[#This Row],[Email]])</f>
        <v>grace.miller@example.com</v>
      </c>
      <c r="K668" t="str">
        <f>_xlfn.LET(
     _xlpm.p,TRIM(SUBSTITUTE(Employee_dataset[[#This Row],[Phone]],"-","")),
     IF(
        LEN(_xlpm.p)=10,_xlfn.CONCAT("("&amp;LEFT(_xlpm.p,3)&amp;") "&amp;MID(_xlpm.p,4,3)&amp;"-"&amp;RIGHT(_xlpm.p,4),"")
       )
     )</f>
        <v>(748) 170-0665</v>
      </c>
      <c r="L668" t="str">
        <f>TRIM(Employee_dataset[[#This Row],[Performance_Score]])</f>
        <v>Poor</v>
      </c>
      <c r="M668" t="str">
        <f>TRIM(Employee_dataset[[#This Row],[Remote_Work]])</f>
        <v>TRUE</v>
      </c>
    </row>
    <row r="669" spans="1:13" x14ac:dyDescent="0.3">
      <c r="A669" t="str">
        <f>TRIM(Employee_dataset[[#This Row],[Employee_ID]])</f>
        <v>EMP1667</v>
      </c>
      <c r="B669" t="str">
        <f>PROPER(TRIM(Employee_dataset[[#This Row],[First_Name]]))</f>
        <v>Charlie</v>
      </c>
      <c r="C669" t="str">
        <f>PROPER(TRIM(Employee_dataset[[#This Row],[Last_Name]]))</f>
        <v>Brown</v>
      </c>
      <c r="D669" s="6" t="str">
        <f>_xlfn.LET(
     _xlpm.a, TRIM(Employee_dataset[[#This Row],[Age]]),
     IF(
        _xlpm.a="","",
        IF(
           AND(ISNUMBER(--_xlpm.a),LEN(_xlpm.a)=2),_xlpm.a,""
          )
       )
    )</f>
        <v>30</v>
      </c>
      <c r="E669" t="str">
        <f>TRIM(_xlfn.TEXTBEFORE(Employee_dataset[[#This Row],[Department_Region]],"-"))</f>
        <v>Cloud Tech</v>
      </c>
      <c r="F669" t="str">
        <f>TRIM(_xlfn.TEXTAFTER(Employee_dataset[[#This Row],[Department_Region]],"-"))</f>
        <v>New York</v>
      </c>
      <c r="G669" t="str">
        <f>TRIM(Employee_dataset[[#This Row],[Status]])</f>
        <v>Pending</v>
      </c>
      <c r="H669" s="1">
        <f>_xlfn.LET(
     _xlpm.d, Employee_dataset[[#This Row],[Join_Date]],
     IF(
        ISNUMBER(_xlpm.d),_xlpm.d,""
       )
    )</f>
        <v>44311</v>
      </c>
      <c r="I669" s="6">
        <f>_xlfn.LET(
     _xlpm.s, TRIM(Employee_dataset[[#This Row],[Salary]]),
     IF(
        UPPER(_xlpm.s)="N/A","",
        IF(
           ISNUMBER(--_xlpm.s),ROUND(_xlfn.NUMBERVALUE(_xlpm.s),2),""
          )
       )
    )</f>
        <v>96341.58</v>
      </c>
      <c r="J669" t="str">
        <f>TRIM(Employee_dataset[[#This Row],[Email]])</f>
        <v>charlie.brown@example.com</v>
      </c>
      <c r="K669" t="str">
        <f>_xlfn.LET(
     _xlpm.p,TRIM(SUBSTITUTE(Employee_dataset[[#This Row],[Phone]],"-","")),
     IF(
        LEN(_xlpm.p)=10,_xlfn.CONCAT("("&amp;LEFT(_xlpm.p,3)&amp;") "&amp;MID(_xlpm.p,4,3)&amp;"-"&amp;RIGHT(_xlpm.p,4),"")
       )
     )</f>
        <v>(155) 416-4315</v>
      </c>
      <c r="L669" t="str">
        <f>TRIM(Employee_dataset[[#This Row],[Performance_Score]])</f>
        <v>Excellent</v>
      </c>
      <c r="M669" t="str">
        <f>TRIM(Employee_dataset[[#This Row],[Remote_Work]])</f>
        <v>FALSE</v>
      </c>
    </row>
    <row r="670" spans="1:13" x14ac:dyDescent="0.3">
      <c r="A670" t="str">
        <f>TRIM(Employee_dataset[[#This Row],[Employee_ID]])</f>
        <v>EMP1668</v>
      </c>
      <c r="B670" t="str">
        <f>PROPER(TRIM(Employee_dataset[[#This Row],[First_Name]]))</f>
        <v>Bob</v>
      </c>
      <c r="C670" t="str">
        <f>PROPER(TRIM(Employee_dataset[[#This Row],[Last_Name]]))</f>
        <v>Jones</v>
      </c>
      <c r="D670" s="6" t="str">
        <f>_xlfn.LET(
     _xlpm.a, TRIM(Employee_dataset[[#This Row],[Age]]),
     IF(
        _xlpm.a="","",
        IF(
           AND(ISNUMBER(--_xlpm.a),LEN(_xlpm.a)=2),_xlpm.a,""
          )
       )
    )</f>
        <v>30</v>
      </c>
      <c r="E670" t="str">
        <f>TRIM(_xlfn.TEXTBEFORE(Employee_dataset[[#This Row],[Department_Region]],"-"))</f>
        <v>Admin</v>
      </c>
      <c r="F670" t="str">
        <f>TRIM(_xlfn.TEXTAFTER(Employee_dataset[[#This Row],[Department_Region]],"-"))</f>
        <v>Florida</v>
      </c>
      <c r="G670" t="str">
        <f>TRIM(Employee_dataset[[#This Row],[Status]])</f>
        <v>Active</v>
      </c>
      <c r="H670" s="1">
        <f>_xlfn.LET(
     _xlpm.d, Employee_dataset[[#This Row],[Join_Date]],
     IF(
        ISNUMBER(_xlpm.d),_xlpm.d,""
       )
    )</f>
        <v>44026</v>
      </c>
      <c r="I670" s="6">
        <f>_xlfn.LET(
     _xlpm.s, TRIM(Employee_dataset[[#This Row],[Salary]]),
     IF(
        UPPER(_xlpm.s)="N/A","",
        IF(
           ISNUMBER(--_xlpm.s),ROUND(_xlfn.NUMBERVALUE(_xlpm.s),2),""
          )
       )
    )</f>
        <v>54465.47</v>
      </c>
      <c r="J670" t="str">
        <f>TRIM(Employee_dataset[[#This Row],[Email]])</f>
        <v>bob.jones@example.com</v>
      </c>
      <c r="K670" t="str">
        <f>_xlfn.LET(
     _xlpm.p,TRIM(SUBSTITUTE(Employee_dataset[[#This Row],[Phone]],"-","")),
     IF(
        LEN(_xlpm.p)=10,_xlfn.CONCAT("("&amp;LEFT(_xlpm.p,3)&amp;") "&amp;MID(_xlpm.p,4,3)&amp;"-"&amp;RIGHT(_xlpm.p,4),"")
       )
     )</f>
        <v>(704) 502-3289</v>
      </c>
      <c r="L670" t="str">
        <f>TRIM(Employee_dataset[[#This Row],[Performance_Score]])</f>
        <v>Excellent</v>
      </c>
      <c r="M670" t="str">
        <f>TRIM(Employee_dataset[[#This Row],[Remote_Work]])</f>
        <v>FALSE</v>
      </c>
    </row>
    <row r="671" spans="1:13" x14ac:dyDescent="0.3">
      <c r="A671" t="str">
        <f>TRIM(Employee_dataset[[#This Row],[Employee_ID]])</f>
        <v>EMP1669</v>
      </c>
      <c r="B671" t="str">
        <f>PROPER(TRIM(Employee_dataset[[#This Row],[First_Name]]))</f>
        <v>Alice</v>
      </c>
      <c r="C671" t="str">
        <f>PROPER(TRIM(Employee_dataset[[#This Row],[Last_Name]]))</f>
        <v>Davis</v>
      </c>
      <c r="D671" s="6" t="str">
        <f>_xlfn.LET(
     _xlpm.a, TRIM(Employee_dataset[[#This Row],[Age]]),
     IF(
        _xlpm.a="","",
        IF(
           AND(ISNUMBER(--_xlpm.a),LEN(_xlpm.a)=2),_xlpm.a,""
          )
       )
    )</f>
        <v>25</v>
      </c>
      <c r="E671" t="str">
        <f>TRIM(_xlfn.TEXTBEFORE(Employee_dataset[[#This Row],[Department_Region]],"-"))</f>
        <v>Finance</v>
      </c>
      <c r="F671" t="str">
        <f>TRIM(_xlfn.TEXTAFTER(Employee_dataset[[#This Row],[Department_Region]],"-"))</f>
        <v>Illinois</v>
      </c>
      <c r="G671" t="str">
        <f>TRIM(Employee_dataset[[#This Row],[Status]])</f>
        <v>Active</v>
      </c>
      <c r="H671" s="1">
        <f>_xlfn.LET(
     _xlpm.d, Employee_dataset[[#This Row],[Join_Date]],
     IF(
        ISNUMBER(_xlpm.d),_xlpm.d,""
       )
    )</f>
        <v>44043</v>
      </c>
      <c r="I671" s="6">
        <f>_xlfn.LET(
     _xlpm.s, TRIM(Employee_dataset[[#This Row],[Salary]]),
     IF(
        UPPER(_xlpm.s)="N/A","",
        IF(
           ISNUMBER(--_xlpm.s),ROUND(_xlfn.NUMBERVALUE(_xlpm.s),2),""
          )
       )
    )</f>
        <v>68371.66</v>
      </c>
      <c r="J671" t="str">
        <f>TRIM(Employee_dataset[[#This Row],[Email]])</f>
        <v>alice.davis@example.com</v>
      </c>
      <c r="K671" t="str">
        <f>_xlfn.LET(
     _xlpm.p,TRIM(SUBSTITUTE(Employee_dataset[[#This Row],[Phone]],"-","")),
     IF(
        LEN(_xlpm.p)=10,_xlfn.CONCAT("("&amp;LEFT(_xlpm.p,3)&amp;") "&amp;MID(_xlpm.p,4,3)&amp;"-"&amp;RIGHT(_xlpm.p,4),"")
       )
     )</f>
        <v>(282) 270-0933</v>
      </c>
      <c r="L671" t="str">
        <f>TRIM(Employee_dataset[[#This Row],[Performance_Score]])</f>
        <v>Poor</v>
      </c>
      <c r="M671" t="str">
        <f>TRIM(Employee_dataset[[#This Row],[Remote_Work]])</f>
        <v>FALSE</v>
      </c>
    </row>
    <row r="672" spans="1:13" x14ac:dyDescent="0.3">
      <c r="A672" t="str">
        <f>TRIM(Employee_dataset[[#This Row],[Employee_ID]])</f>
        <v>EMP1670</v>
      </c>
      <c r="B672" t="str">
        <f>PROPER(TRIM(Employee_dataset[[#This Row],[First_Name]]))</f>
        <v>Grace</v>
      </c>
      <c r="C672" t="str">
        <f>PROPER(TRIM(Employee_dataset[[#This Row],[Last_Name]]))</f>
        <v>Smith</v>
      </c>
      <c r="D672" s="6" t="str">
        <f>_xlfn.LET(
     _xlpm.a, TRIM(Employee_dataset[[#This Row],[Age]]),
     IF(
        _xlpm.a="","",
        IF(
           AND(ISNUMBER(--_xlpm.a),LEN(_xlpm.a)=2),_xlpm.a,""
          )
       )
    )</f>
        <v>35</v>
      </c>
      <c r="E672" t="str">
        <f>TRIM(_xlfn.TEXTBEFORE(Employee_dataset[[#This Row],[Department_Region]],"-"))</f>
        <v>Admin</v>
      </c>
      <c r="F672" t="str">
        <f>TRIM(_xlfn.TEXTAFTER(Employee_dataset[[#This Row],[Department_Region]],"-"))</f>
        <v>New York</v>
      </c>
      <c r="G672" t="str">
        <f>TRIM(Employee_dataset[[#This Row],[Status]])</f>
        <v>Pending</v>
      </c>
      <c r="H672" s="1">
        <f>_xlfn.LET(
     _xlpm.d, Employee_dataset[[#This Row],[Join_Date]],
     IF(
        ISNUMBER(_xlpm.d),_xlpm.d,""
       )
    )</f>
        <v>44412</v>
      </c>
      <c r="I672" s="6">
        <f>_xlfn.LET(
     _xlpm.s, TRIM(Employee_dataset[[#This Row],[Salary]]),
     IF(
        UPPER(_xlpm.s)="N/A","",
        IF(
           ISNUMBER(--_xlpm.s),ROUND(_xlfn.NUMBERVALUE(_xlpm.s),2),""
          )
       )
    )</f>
        <v>81021.23</v>
      </c>
      <c r="J672" t="str">
        <f>TRIM(Employee_dataset[[#This Row],[Email]])</f>
        <v>grace.smith@example.com</v>
      </c>
      <c r="K672" t="str">
        <f>_xlfn.LET(
     _xlpm.p,TRIM(SUBSTITUTE(Employee_dataset[[#This Row],[Phone]],"-","")),
     IF(
        LEN(_xlpm.p)=10,_xlfn.CONCAT("("&amp;LEFT(_xlpm.p,3)&amp;") "&amp;MID(_xlpm.p,4,3)&amp;"-"&amp;RIGHT(_xlpm.p,4),"")
       )
     )</f>
        <v>(596) 262-2821</v>
      </c>
      <c r="L672" t="str">
        <f>TRIM(Employee_dataset[[#This Row],[Performance_Score]])</f>
        <v>Good</v>
      </c>
      <c r="M672" t="str">
        <f>TRIM(Employee_dataset[[#This Row],[Remote_Work]])</f>
        <v>FALSE</v>
      </c>
    </row>
    <row r="673" spans="1:13" x14ac:dyDescent="0.3">
      <c r="A673" t="str">
        <f>TRIM(Employee_dataset[[#This Row],[Employee_ID]])</f>
        <v>EMP1671</v>
      </c>
      <c r="B673" t="str">
        <f>PROPER(TRIM(Employee_dataset[[#This Row],[First_Name]]))</f>
        <v>Charlie</v>
      </c>
      <c r="C673" t="str">
        <f>PROPER(TRIM(Employee_dataset[[#This Row],[Last_Name]]))</f>
        <v>Miller</v>
      </c>
      <c r="D673" s="6" t="str">
        <f>_xlfn.LET(
     _xlpm.a, TRIM(Employee_dataset[[#This Row],[Age]]),
     IF(
        _xlpm.a="","",
        IF(
           AND(ISNUMBER(--_xlpm.a),LEN(_xlpm.a)=2),_xlpm.a,""
          )
       )
    )</f>
        <v>25</v>
      </c>
      <c r="E673" t="str">
        <f>TRIM(_xlfn.TEXTBEFORE(Employee_dataset[[#This Row],[Department_Region]],"-"))</f>
        <v>Cloud Tech</v>
      </c>
      <c r="F673" t="str">
        <f>TRIM(_xlfn.TEXTAFTER(Employee_dataset[[#This Row],[Department_Region]],"-"))</f>
        <v>Nevada</v>
      </c>
      <c r="G673" t="str">
        <f>TRIM(Employee_dataset[[#This Row],[Status]])</f>
        <v>Inactive</v>
      </c>
      <c r="H673" s="1">
        <f>_xlfn.LET(
     _xlpm.d, Employee_dataset[[#This Row],[Join_Date]],
     IF(
        ISNUMBER(_xlpm.d),_xlpm.d,""
       )
    )</f>
        <v>45593</v>
      </c>
      <c r="I673" s="6">
        <f>_xlfn.LET(
     _xlpm.s, TRIM(Employee_dataset[[#This Row],[Salary]]),
     IF(
        UPPER(_xlpm.s)="N/A","",
        IF(
           ISNUMBER(--_xlpm.s),ROUND(_xlfn.NUMBERVALUE(_xlpm.s),2),""
          )
       )
    )</f>
        <v>114069.07</v>
      </c>
      <c r="J673" t="str">
        <f>TRIM(Employee_dataset[[#This Row],[Email]])</f>
        <v>charlie.miller@example.com</v>
      </c>
      <c r="K673" t="str">
        <f>_xlfn.LET(
     _xlpm.p,TRIM(SUBSTITUTE(Employee_dataset[[#This Row],[Phone]],"-","")),
     IF(
        LEN(_xlpm.p)=10,_xlfn.CONCAT("("&amp;LEFT(_xlpm.p,3)&amp;") "&amp;MID(_xlpm.p,4,3)&amp;"-"&amp;RIGHT(_xlpm.p,4),"")
       )
     )</f>
        <v>(512) 073-4653</v>
      </c>
      <c r="L673" t="str">
        <f>TRIM(Employee_dataset[[#This Row],[Performance_Score]])</f>
        <v>Good</v>
      </c>
      <c r="M673" t="str">
        <f>TRIM(Employee_dataset[[#This Row],[Remote_Work]])</f>
        <v>TRUE</v>
      </c>
    </row>
    <row r="674" spans="1:13" x14ac:dyDescent="0.3">
      <c r="A674" t="str">
        <f>TRIM(Employee_dataset[[#This Row],[Employee_ID]])</f>
        <v>EMP1672</v>
      </c>
      <c r="B674" t="str">
        <f>PROPER(TRIM(Employee_dataset[[#This Row],[First_Name]]))</f>
        <v>Heidi</v>
      </c>
      <c r="C674" t="str">
        <f>PROPER(TRIM(Employee_dataset[[#This Row],[Last_Name]]))</f>
        <v>Miller</v>
      </c>
      <c r="D674" s="6" t="str">
        <f>_xlfn.LET(
     _xlpm.a, TRIM(Employee_dataset[[#This Row],[Age]]),
     IF(
        _xlpm.a="","",
        IF(
           AND(ISNUMBER(--_xlpm.a),LEN(_xlpm.a)=2),_xlpm.a,""
          )
       )
    )</f>
        <v/>
      </c>
      <c r="E674" t="str">
        <f>TRIM(_xlfn.TEXTBEFORE(Employee_dataset[[#This Row],[Department_Region]],"-"))</f>
        <v>HR</v>
      </c>
      <c r="F674" t="str">
        <f>TRIM(_xlfn.TEXTAFTER(Employee_dataset[[#This Row],[Department_Region]],"-"))</f>
        <v>Illinois</v>
      </c>
      <c r="G674" t="str">
        <f>TRIM(Employee_dataset[[#This Row],[Status]])</f>
        <v>Inactive</v>
      </c>
      <c r="H674" s="1">
        <f>_xlfn.LET(
     _xlpm.d, Employee_dataset[[#This Row],[Join_Date]],
     IF(
        ISNUMBER(_xlpm.d),_xlpm.d,""
       )
    )</f>
        <v>44107</v>
      </c>
      <c r="I674" s="6">
        <f>_xlfn.LET(
     _xlpm.s, TRIM(Employee_dataset[[#This Row],[Salary]]),
     IF(
        UPPER(_xlpm.s)="N/A","",
        IF(
           ISNUMBER(--_xlpm.s),ROUND(_xlfn.NUMBERVALUE(_xlpm.s),2),""
          )
       )
    )</f>
        <v>117867.96</v>
      </c>
      <c r="J674" t="str">
        <f>TRIM(Employee_dataset[[#This Row],[Email]])</f>
        <v>heidi.miller@example.com</v>
      </c>
      <c r="K674" t="str">
        <f>_xlfn.LET(
     _xlpm.p,TRIM(SUBSTITUTE(Employee_dataset[[#This Row],[Phone]],"-","")),
     IF(
        LEN(_xlpm.p)=10,_xlfn.CONCAT("("&amp;LEFT(_xlpm.p,3)&amp;") "&amp;MID(_xlpm.p,4,3)&amp;"-"&amp;RIGHT(_xlpm.p,4),"")
       )
     )</f>
        <v>(950) 050-7025</v>
      </c>
      <c r="L674" t="str">
        <f>TRIM(Employee_dataset[[#This Row],[Performance_Score]])</f>
        <v>Poor</v>
      </c>
      <c r="M674" t="str">
        <f>TRIM(Employee_dataset[[#This Row],[Remote_Work]])</f>
        <v>FALSE</v>
      </c>
    </row>
    <row r="675" spans="1:13" x14ac:dyDescent="0.3">
      <c r="A675" t="str">
        <f>TRIM(Employee_dataset[[#This Row],[Employee_ID]])</f>
        <v>EMP1673</v>
      </c>
      <c r="B675" t="str">
        <f>PROPER(TRIM(Employee_dataset[[#This Row],[First_Name]]))</f>
        <v>Charlie</v>
      </c>
      <c r="C675" t="str">
        <f>PROPER(TRIM(Employee_dataset[[#This Row],[Last_Name]]))</f>
        <v>Miller</v>
      </c>
      <c r="D675" s="6" t="str">
        <f>_xlfn.LET(
     _xlpm.a, TRIM(Employee_dataset[[#This Row],[Age]]),
     IF(
        _xlpm.a="","",
        IF(
           AND(ISNUMBER(--_xlpm.a),LEN(_xlpm.a)=2),_xlpm.a,""
          )
       )
    )</f>
        <v/>
      </c>
      <c r="E675" t="str">
        <f>TRIM(_xlfn.TEXTBEFORE(Employee_dataset[[#This Row],[Department_Region]],"-"))</f>
        <v>Sales</v>
      </c>
      <c r="F675" t="str">
        <f>TRIM(_xlfn.TEXTAFTER(Employee_dataset[[#This Row],[Department_Region]],"-"))</f>
        <v>Florida</v>
      </c>
      <c r="G675" t="str">
        <f>TRIM(Employee_dataset[[#This Row],[Status]])</f>
        <v>Pending</v>
      </c>
      <c r="H675" s="1">
        <f>_xlfn.LET(
     _xlpm.d, Employee_dataset[[#This Row],[Join_Date]],
     IF(
        ISNUMBER(_xlpm.d),_xlpm.d,""
       )
    )</f>
        <v>45364</v>
      </c>
      <c r="I675" s="6">
        <f>_xlfn.LET(
     _xlpm.s, TRIM(Employee_dataset[[#This Row],[Salary]]),
     IF(
        UPPER(_xlpm.s)="N/A","",
        IF(
           ISNUMBER(--_xlpm.s),ROUND(_xlfn.NUMBERVALUE(_xlpm.s),2),""
          )
       )
    )</f>
        <v>94509.58</v>
      </c>
      <c r="J675" t="str">
        <f>TRIM(Employee_dataset[[#This Row],[Email]])</f>
        <v>charlie.miller@example.com</v>
      </c>
      <c r="K675" t="b">
        <f>_xlfn.LET(
     _xlpm.p,TRIM(SUBSTITUTE(Employee_dataset[[#This Row],[Phone]],"-","")),
     IF(
        LEN(_xlpm.p)=10,_xlfn.CONCAT("("&amp;LEFT(_xlpm.p,3)&amp;") "&amp;MID(_xlpm.p,4,3)&amp;"-"&amp;RIGHT(_xlpm.p,4),"")
       )
     )</f>
        <v>0</v>
      </c>
      <c r="L675" t="str">
        <f>TRIM(Employee_dataset[[#This Row],[Performance_Score]])</f>
        <v>Average</v>
      </c>
      <c r="M675" t="str">
        <f>TRIM(Employee_dataset[[#This Row],[Remote_Work]])</f>
        <v>FALSE</v>
      </c>
    </row>
    <row r="676" spans="1:13" x14ac:dyDescent="0.3">
      <c r="A676" t="str">
        <f>TRIM(Employee_dataset[[#This Row],[Employee_ID]])</f>
        <v>EMP1674</v>
      </c>
      <c r="B676" t="str">
        <f>PROPER(TRIM(Employee_dataset[[#This Row],[First_Name]]))</f>
        <v>Eva</v>
      </c>
      <c r="C676" t="str">
        <f>PROPER(TRIM(Employee_dataset[[#This Row],[Last_Name]]))</f>
        <v>Brown</v>
      </c>
      <c r="D676" s="6" t="str">
        <f>_xlfn.LET(
     _xlpm.a, TRIM(Employee_dataset[[#This Row],[Age]]),
     IF(
        _xlpm.a="","",
        IF(
           AND(ISNUMBER(--_xlpm.a),LEN(_xlpm.a)=2),_xlpm.a,""
          )
       )
    )</f>
        <v>35</v>
      </c>
      <c r="E676" t="str">
        <f>TRIM(_xlfn.TEXTBEFORE(Employee_dataset[[#This Row],[Department_Region]],"-"))</f>
        <v>Finance</v>
      </c>
      <c r="F676" t="str">
        <f>TRIM(_xlfn.TEXTAFTER(Employee_dataset[[#This Row],[Department_Region]],"-"))</f>
        <v>Illinois</v>
      </c>
      <c r="G676" t="str">
        <f>TRIM(Employee_dataset[[#This Row],[Status]])</f>
        <v>Active</v>
      </c>
      <c r="H676" s="1">
        <f>_xlfn.LET(
     _xlpm.d, Employee_dataset[[#This Row],[Join_Date]],
     IF(
        ISNUMBER(_xlpm.d),_xlpm.d,""
       )
    )</f>
        <v>45479</v>
      </c>
      <c r="I676" s="6">
        <f>_xlfn.LET(
     _xlpm.s, TRIM(Employee_dataset[[#This Row],[Salary]]),
     IF(
        UPPER(_xlpm.s)="N/A","",
        IF(
           ISNUMBER(--_xlpm.s),ROUND(_xlfn.NUMBERVALUE(_xlpm.s),2),""
          )
       )
    )</f>
        <v>56268.78</v>
      </c>
      <c r="J676" t="str">
        <f>TRIM(Employee_dataset[[#This Row],[Email]])</f>
        <v>eva.brown@example.com</v>
      </c>
      <c r="K676" t="str">
        <f>_xlfn.LET(
     _xlpm.p,TRIM(SUBSTITUTE(Employee_dataset[[#This Row],[Phone]],"-","")),
     IF(
        LEN(_xlpm.p)=10,_xlfn.CONCAT("("&amp;LEFT(_xlpm.p,3)&amp;") "&amp;MID(_xlpm.p,4,3)&amp;"-"&amp;RIGHT(_xlpm.p,4),"")
       )
     )</f>
        <v>(316) 117-7686</v>
      </c>
      <c r="L676" t="str">
        <f>TRIM(Employee_dataset[[#This Row],[Performance_Score]])</f>
        <v>Excellent</v>
      </c>
      <c r="M676" t="str">
        <f>TRIM(Employee_dataset[[#This Row],[Remote_Work]])</f>
        <v>FALSE</v>
      </c>
    </row>
    <row r="677" spans="1:13" x14ac:dyDescent="0.3">
      <c r="A677" t="str">
        <f>TRIM(Employee_dataset[[#This Row],[Employee_ID]])</f>
        <v>EMP1675</v>
      </c>
      <c r="B677" t="str">
        <f>PROPER(TRIM(Employee_dataset[[#This Row],[First_Name]]))</f>
        <v>Grace</v>
      </c>
      <c r="C677" t="str">
        <f>PROPER(TRIM(Employee_dataset[[#This Row],[Last_Name]]))</f>
        <v>Jones</v>
      </c>
      <c r="D677" s="6" t="str">
        <f>_xlfn.LET(
     _xlpm.a, TRIM(Employee_dataset[[#This Row],[Age]]),
     IF(
        _xlpm.a="","",
        IF(
           AND(ISNUMBER(--_xlpm.a),LEN(_xlpm.a)=2),_xlpm.a,""
          )
       )
    )</f>
        <v>35</v>
      </c>
      <c r="E677" t="str">
        <f>TRIM(_xlfn.TEXTBEFORE(Employee_dataset[[#This Row],[Department_Region]],"-"))</f>
        <v>Admin</v>
      </c>
      <c r="F677" t="str">
        <f>TRIM(_xlfn.TEXTAFTER(Employee_dataset[[#This Row],[Department_Region]],"-"))</f>
        <v>California</v>
      </c>
      <c r="G677" t="str">
        <f>TRIM(Employee_dataset[[#This Row],[Status]])</f>
        <v>Active</v>
      </c>
      <c r="H677" s="1">
        <f>_xlfn.LET(
     _xlpm.d, Employee_dataset[[#This Row],[Join_Date]],
     IF(
        ISNUMBER(_xlpm.d),_xlpm.d,""
       )
    )</f>
        <v>43831</v>
      </c>
      <c r="I677" s="6">
        <f>_xlfn.LET(
     _xlpm.s, TRIM(Employee_dataset[[#This Row],[Salary]]),
     IF(
        UPPER(_xlpm.s)="N/A","",
        IF(
           ISNUMBER(--_xlpm.s),ROUND(_xlfn.NUMBERVALUE(_xlpm.s),2),""
          )
       )
    )</f>
        <v>86632.14</v>
      </c>
      <c r="J677" t="str">
        <f>TRIM(Employee_dataset[[#This Row],[Email]])</f>
        <v>grace.jones@example.com</v>
      </c>
      <c r="K677" t="str">
        <f>_xlfn.LET(
     _xlpm.p,TRIM(SUBSTITUTE(Employee_dataset[[#This Row],[Phone]],"-","")),
     IF(
        LEN(_xlpm.p)=10,_xlfn.CONCAT("("&amp;LEFT(_xlpm.p,3)&amp;") "&amp;MID(_xlpm.p,4,3)&amp;"-"&amp;RIGHT(_xlpm.p,4),"")
       )
     )</f>
        <v>(290) 477-4257</v>
      </c>
      <c r="L677" t="str">
        <f>TRIM(Employee_dataset[[#This Row],[Performance_Score]])</f>
        <v>Poor</v>
      </c>
      <c r="M677" t="str">
        <f>TRIM(Employee_dataset[[#This Row],[Remote_Work]])</f>
        <v>TRUE</v>
      </c>
    </row>
    <row r="678" spans="1:13" x14ac:dyDescent="0.3">
      <c r="A678" t="str">
        <f>TRIM(Employee_dataset[[#This Row],[Employee_ID]])</f>
        <v>EMP1676</v>
      </c>
      <c r="B678" t="str">
        <f>PROPER(TRIM(Employee_dataset[[#This Row],[First_Name]]))</f>
        <v>Charlie</v>
      </c>
      <c r="C678" t="str">
        <f>PROPER(TRIM(Employee_dataset[[#This Row],[Last_Name]]))</f>
        <v>Brown</v>
      </c>
      <c r="D678" s="6" t="str">
        <f>_xlfn.LET(
     _xlpm.a, TRIM(Employee_dataset[[#This Row],[Age]]),
     IF(
        _xlpm.a="","",
        IF(
           AND(ISNUMBER(--_xlpm.a),LEN(_xlpm.a)=2),_xlpm.a,""
          )
       )
    )</f>
        <v>35</v>
      </c>
      <c r="E678" t="str">
        <f>TRIM(_xlfn.TEXTBEFORE(Employee_dataset[[#This Row],[Department_Region]],"-"))</f>
        <v>HR</v>
      </c>
      <c r="F678" t="str">
        <f>TRIM(_xlfn.TEXTAFTER(Employee_dataset[[#This Row],[Department_Region]],"-"))</f>
        <v>Florida</v>
      </c>
      <c r="G678" t="str">
        <f>TRIM(Employee_dataset[[#This Row],[Status]])</f>
        <v>Pending</v>
      </c>
      <c r="H678" s="1">
        <f>_xlfn.LET(
     _xlpm.d, Employee_dataset[[#This Row],[Join_Date]],
     IF(
        ISNUMBER(_xlpm.d),_xlpm.d,""
       )
    )</f>
        <v>43848</v>
      </c>
      <c r="I678" s="6">
        <f>_xlfn.LET(
     _xlpm.s, TRIM(Employee_dataset[[#This Row],[Salary]]),
     IF(
        UPPER(_xlpm.s)="N/A","",
        IF(
           ISNUMBER(--_xlpm.s),ROUND(_xlfn.NUMBERVALUE(_xlpm.s),2),""
          )
       )
    )</f>
        <v>98143.9</v>
      </c>
      <c r="J678" t="str">
        <f>TRIM(Employee_dataset[[#This Row],[Email]])</f>
        <v>charlie.brown@example.com</v>
      </c>
      <c r="K678" t="str">
        <f>_xlfn.LET(
     _xlpm.p,TRIM(SUBSTITUTE(Employee_dataset[[#This Row],[Phone]],"-","")),
     IF(
        LEN(_xlpm.p)=10,_xlfn.CONCAT("("&amp;LEFT(_xlpm.p,3)&amp;") "&amp;MID(_xlpm.p,4,3)&amp;"-"&amp;RIGHT(_xlpm.p,4),"")
       )
     )</f>
        <v>(591) 779-3237</v>
      </c>
      <c r="L678" t="str">
        <f>TRIM(Employee_dataset[[#This Row],[Performance_Score]])</f>
        <v>Excellent</v>
      </c>
      <c r="M678" t="str">
        <f>TRIM(Employee_dataset[[#This Row],[Remote_Work]])</f>
        <v>FALSE</v>
      </c>
    </row>
    <row r="679" spans="1:13" x14ac:dyDescent="0.3">
      <c r="A679" t="str">
        <f>TRIM(Employee_dataset[[#This Row],[Employee_ID]])</f>
        <v>EMP1677</v>
      </c>
      <c r="B679" t="str">
        <f>PROPER(TRIM(Employee_dataset[[#This Row],[First_Name]]))</f>
        <v>Heidi</v>
      </c>
      <c r="C679" t="str">
        <f>PROPER(TRIM(Employee_dataset[[#This Row],[Last_Name]]))</f>
        <v>Garcia</v>
      </c>
      <c r="D679" s="6" t="str">
        <f>_xlfn.LET(
     _xlpm.a, TRIM(Employee_dataset[[#This Row],[Age]]),
     IF(
        _xlpm.a="","",
        IF(
           AND(ISNUMBER(--_xlpm.a),LEN(_xlpm.a)=2),_xlpm.a,""
          )
       )
    )</f>
        <v>35</v>
      </c>
      <c r="E679" t="str">
        <f>TRIM(_xlfn.TEXTBEFORE(Employee_dataset[[#This Row],[Department_Region]],"-"))</f>
        <v>Cloud Tech</v>
      </c>
      <c r="F679" t="str">
        <f>TRIM(_xlfn.TEXTAFTER(Employee_dataset[[#This Row],[Department_Region]],"-"))</f>
        <v>Florida</v>
      </c>
      <c r="G679" t="str">
        <f>TRIM(Employee_dataset[[#This Row],[Status]])</f>
        <v>Inactive</v>
      </c>
      <c r="H679" s="1">
        <f>_xlfn.LET(
     _xlpm.d, Employee_dataset[[#This Row],[Join_Date]],
     IF(
        ISNUMBER(_xlpm.d),_xlpm.d,""
       )
    )</f>
        <v>45053</v>
      </c>
      <c r="I679" s="6" t="str">
        <f>_xlfn.LET(
     _xlpm.s, TRIM(Employee_dataset[[#This Row],[Salary]]),
     IF(
        UPPER(_xlpm.s)="N/A","",
        IF(
           ISNUMBER(--_xlpm.s),ROUND(_xlfn.NUMBERVALUE(_xlpm.s),2),""
          )
       )
    )</f>
        <v/>
      </c>
      <c r="J679" t="str">
        <f>TRIM(Employee_dataset[[#This Row],[Email]])</f>
        <v>heidi.garcia@example.com</v>
      </c>
      <c r="K679" t="str">
        <f>_xlfn.LET(
     _xlpm.p,TRIM(SUBSTITUTE(Employee_dataset[[#This Row],[Phone]],"-","")),
     IF(
        LEN(_xlpm.p)=10,_xlfn.CONCAT("("&amp;LEFT(_xlpm.p,3)&amp;") "&amp;MID(_xlpm.p,4,3)&amp;"-"&amp;RIGHT(_xlpm.p,4),"")
       )
     )</f>
        <v>(223) 116-4912</v>
      </c>
      <c r="L679" t="str">
        <f>TRIM(Employee_dataset[[#This Row],[Performance_Score]])</f>
        <v>Average</v>
      </c>
      <c r="M679" t="str">
        <f>TRIM(Employee_dataset[[#This Row],[Remote_Work]])</f>
        <v>TRUE</v>
      </c>
    </row>
    <row r="680" spans="1:13" x14ac:dyDescent="0.3">
      <c r="A680" t="str">
        <f>TRIM(Employee_dataset[[#This Row],[Employee_ID]])</f>
        <v>EMP1678</v>
      </c>
      <c r="B680" t="str">
        <f>PROPER(TRIM(Employee_dataset[[#This Row],[First_Name]]))</f>
        <v>Frank</v>
      </c>
      <c r="C680" t="str">
        <f>PROPER(TRIM(Employee_dataset[[#This Row],[Last_Name]]))</f>
        <v>Johnson</v>
      </c>
      <c r="D680" s="6" t="str">
        <f>_xlfn.LET(
     _xlpm.a, TRIM(Employee_dataset[[#This Row],[Age]]),
     IF(
        _xlpm.a="","",
        IF(
           AND(ISNUMBER(--_xlpm.a),LEN(_xlpm.a)=2),_xlpm.a,""
          )
       )
    )</f>
        <v>30</v>
      </c>
      <c r="E680" t="str">
        <f>TRIM(_xlfn.TEXTBEFORE(Employee_dataset[[#This Row],[Department_Region]],"-"))</f>
        <v>Finance</v>
      </c>
      <c r="F680" t="str">
        <f>TRIM(_xlfn.TEXTAFTER(Employee_dataset[[#This Row],[Department_Region]],"-"))</f>
        <v>Illinois</v>
      </c>
      <c r="G680" t="str">
        <f>TRIM(Employee_dataset[[#This Row],[Status]])</f>
        <v>Inactive</v>
      </c>
      <c r="H680" s="1">
        <f>_xlfn.LET(
     _xlpm.d, Employee_dataset[[#This Row],[Join_Date]],
     IF(
        ISNUMBER(_xlpm.d),_xlpm.d,""
       )
    )</f>
        <v>44639</v>
      </c>
      <c r="I680" s="6">
        <f>_xlfn.LET(
     _xlpm.s, TRIM(Employee_dataset[[#This Row],[Salary]]),
     IF(
        UPPER(_xlpm.s)="N/A","",
        IF(
           ISNUMBER(--_xlpm.s),ROUND(_xlfn.NUMBERVALUE(_xlpm.s),2),""
          )
       )
    )</f>
        <v>67492.73</v>
      </c>
      <c r="J680" t="str">
        <f>TRIM(Employee_dataset[[#This Row],[Email]])</f>
        <v>frank.johnson@example.com</v>
      </c>
      <c r="K680" t="str">
        <f>_xlfn.LET(
     _xlpm.p,TRIM(SUBSTITUTE(Employee_dataset[[#This Row],[Phone]],"-","")),
     IF(
        LEN(_xlpm.p)=10,_xlfn.CONCAT("("&amp;LEFT(_xlpm.p,3)&amp;") "&amp;MID(_xlpm.p,4,3)&amp;"-"&amp;RIGHT(_xlpm.p,4),"")
       )
     )</f>
        <v>(342) 457-9888</v>
      </c>
      <c r="L680" t="str">
        <f>TRIM(Employee_dataset[[#This Row],[Performance_Score]])</f>
        <v>Excellent</v>
      </c>
      <c r="M680" t="str">
        <f>TRIM(Employee_dataset[[#This Row],[Remote_Work]])</f>
        <v>TRUE</v>
      </c>
    </row>
    <row r="681" spans="1:13" x14ac:dyDescent="0.3">
      <c r="A681" t="str">
        <f>TRIM(Employee_dataset[[#This Row],[Employee_ID]])</f>
        <v>EMP1679</v>
      </c>
      <c r="B681" t="str">
        <f>PROPER(TRIM(Employee_dataset[[#This Row],[First_Name]]))</f>
        <v>Grace</v>
      </c>
      <c r="C681" t="str">
        <f>PROPER(TRIM(Employee_dataset[[#This Row],[Last_Name]]))</f>
        <v>Johnson</v>
      </c>
      <c r="D681" s="6" t="str">
        <f>_xlfn.LET(
     _xlpm.a, TRIM(Employee_dataset[[#This Row],[Age]]),
     IF(
        _xlpm.a="","",
        IF(
           AND(ISNUMBER(--_xlpm.a),LEN(_xlpm.a)=2),_xlpm.a,""
          )
       )
    )</f>
        <v>40</v>
      </c>
      <c r="E681" t="str">
        <f>TRIM(_xlfn.TEXTBEFORE(Employee_dataset[[#This Row],[Department_Region]],"-"))</f>
        <v>Admin</v>
      </c>
      <c r="F681" t="str">
        <f>TRIM(_xlfn.TEXTAFTER(Employee_dataset[[#This Row],[Department_Region]],"-"))</f>
        <v>California</v>
      </c>
      <c r="G681" t="str">
        <f>TRIM(Employee_dataset[[#This Row],[Status]])</f>
        <v>Active</v>
      </c>
      <c r="H681" s="1">
        <f>_xlfn.LET(
     _xlpm.d, Employee_dataset[[#This Row],[Join_Date]],
     IF(
        ISNUMBER(_xlpm.d),_xlpm.d,""
       )
    )</f>
        <v>44695</v>
      </c>
      <c r="I681" s="6">
        <f>_xlfn.LET(
     _xlpm.s, TRIM(Employee_dataset[[#This Row],[Salary]]),
     IF(
        UPPER(_xlpm.s)="N/A","",
        IF(
           ISNUMBER(--_xlpm.s),ROUND(_xlfn.NUMBERVALUE(_xlpm.s),2),""
          )
       )
    )</f>
        <v>93772.61</v>
      </c>
      <c r="J681" t="str">
        <f>TRIM(Employee_dataset[[#This Row],[Email]])</f>
        <v>grace.johnson@example.com</v>
      </c>
      <c r="K681" t="str">
        <f>_xlfn.LET(
     _xlpm.p,TRIM(SUBSTITUTE(Employee_dataset[[#This Row],[Phone]],"-","")),
     IF(
        LEN(_xlpm.p)=10,_xlfn.CONCAT("("&amp;LEFT(_xlpm.p,3)&amp;") "&amp;MID(_xlpm.p,4,3)&amp;"-"&amp;RIGHT(_xlpm.p,4),"")
       )
     )</f>
        <v>(425) 652-9059</v>
      </c>
      <c r="L681" t="str">
        <f>TRIM(Employee_dataset[[#This Row],[Performance_Score]])</f>
        <v>Poor</v>
      </c>
      <c r="M681" t="str">
        <f>TRIM(Employee_dataset[[#This Row],[Remote_Work]])</f>
        <v>FALSE</v>
      </c>
    </row>
    <row r="682" spans="1:13" x14ac:dyDescent="0.3">
      <c r="A682" t="str">
        <f>TRIM(Employee_dataset[[#This Row],[Employee_ID]])</f>
        <v>EMP1680</v>
      </c>
      <c r="B682" t="str">
        <f>PROPER(TRIM(Employee_dataset[[#This Row],[First_Name]]))</f>
        <v>Eva</v>
      </c>
      <c r="C682" t="str">
        <f>PROPER(TRIM(Employee_dataset[[#This Row],[Last_Name]]))</f>
        <v>Garcia</v>
      </c>
      <c r="D682" s="6" t="str">
        <f>_xlfn.LET(
     _xlpm.a, TRIM(Employee_dataset[[#This Row],[Age]]),
     IF(
        _xlpm.a="","",
        IF(
           AND(ISNUMBER(--_xlpm.a),LEN(_xlpm.a)=2),_xlpm.a,""
          )
       )
    )</f>
        <v>35</v>
      </c>
      <c r="E682" t="str">
        <f>TRIM(_xlfn.TEXTBEFORE(Employee_dataset[[#This Row],[Department_Region]],"-"))</f>
        <v>DevOps</v>
      </c>
      <c r="F682" t="str">
        <f>TRIM(_xlfn.TEXTAFTER(Employee_dataset[[#This Row],[Department_Region]],"-"))</f>
        <v>Nevada</v>
      </c>
      <c r="G682" t="str">
        <f>TRIM(Employee_dataset[[#This Row],[Status]])</f>
        <v>Pending</v>
      </c>
      <c r="H682" s="1">
        <f>_xlfn.LET(
     _xlpm.d, Employee_dataset[[#This Row],[Join_Date]],
     IF(
        ISNUMBER(_xlpm.d),_xlpm.d,""
       )
    )</f>
        <v>45487</v>
      </c>
      <c r="I682" s="6">
        <f>_xlfn.LET(
     _xlpm.s, TRIM(Employee_dataset[[#This Row],[Salary]]),
     IF(
        UPPER(_xlpm.s)="N/A","",
        IF(
           ISNUMBER(--_xlpm.s),ROUND(_xlfn.NUMBERVALUE(_xlpm.s),2),""
          )
       )
    )</f>
        <v>68817.539999999994</v>
      </c>
      <c r="J682" t="str">
        <f>TRIM(Employee_dataset[[#This Row],[Email]])</f>
        <v>eva.garcia@example.com</v>
      </c>
      <c r="K682" t="str">
        <f>_xlfn.LET(
     _xlpm.p,TRIM(SUBSTITUTE(Employee_dataset[[#This Row],[Phone]],"-","")),
     IF(
        LEN(_xlpm.p)=10,_xlfn.CONCAT("("&amp;LEFT(_xlpm.p,3)&amp;") "&amp;MID(_xlpm.p,4,3)&amp;"-"&amp;RIGHT(_xlpm.p,4),"")
       )
     )</f>
        <v>(320) 203-2649</v>
      </c>
      <c r="L682" t="str">
        <f>TRIM(Employee_dataset[[#This Row],[Performance_Score]])</f>
        <v>Excellent</v>
      </c>
      <c r="M682" t="str">
        <f>TRIM(Employee_dataset[[#This Row],[Remote_Work]])</f>
        <v>FALSE</v>
      </c>
    </row>
    <row r="683" spans="1:13" x14ac:dyDescent="0.3">
      <c r="A683" t="str">
        <f>TRIM(Employee_dataset[[#This Row],[Employee_ID]])</f>
        <v>EMP1681</v>
      </c>
      <c r="B683" t="str">
        <f>PROPER(TRIM(Employee_dataset[[#This Row],[First_Name]]))</f>
        <v>Bob</v>
      </c>
      <c r="C683" t="str">
        <f>PROPER(TRIM(Employee_dataset[[#This Row],[Last_Name]]))</f>
        <v>Jones</v>
      </c>
      <c r="D683" s="6" t="str">
        <f>_xlfn.LET(
     _xlpm.a, TRIM(Employee_dataset[[#This Row],[Age]]),
     IF(
        _xlpm.a="","",
        IF(
           AND(ISNUMBER(--_xlpm.a),LEN(_xlpm.a)=2),_xlpm.a,""
          )
       )
    )</f>
        <v>30</v>
      </c>
      <c r="E683" t="str">
        <f>TRIM(_xlfn.TEXTBEFORE(Employee_dataset[[#This Row],[Department_Region]],"-"))</f>
        <v>Admin</v>
      </c>
      <c r="F683" t="str">
        <f>TRIM(_xlfn.TEXTAFTER(Employee_dataset[[#This Row],[Department_Region]],"-"))</f>
        <v>California</v>
      </c>
      <c r="G683" t="str">
        <f>TRIM(Employee_dataset[[#This Row],[Status]])</f>
        <v>Active</v>
      </c>
      <c r="H683" s="1">
        <f>_xlfn.LET(
     _xlpm.d, Employee_dataset[[#This Row],[Join_Date]],
     IF(
        ISNUMBER(_xlpm.d),_xlpm.d,""
       )
    )</f>
        <v>45135</v>
      </c>
      <c r="I683" s="6">
        <f>_xlfn.LET(
     _xlpm.s, TRIM(Employee_dataset[[#This Row],[Salary]]),
     IF(
        UPPER(_xlpm.s)="N/A","",
        IF(
           ISNUMBER(--_xlpm.s),ROUND(_xlfn.NUMBERVALUE(_xlpm.s),2),""
          )
       )
    )</f>
        <v>81874.009999999995</v>
      </c>
      <c r="J683" t="str">
        <f>TRIM(Employee_dataset[[#This Row],[Email]])</f>
        <v>bob.jones@example.com</v>
      </c>
      <c r="K683" t="str">
        <f>_xlfn.LET(
     _xlpm.p,TRIM(SUBSTITUTE(Employee_dataset[[#This Row],[Phone]],"-","")),
     IF(
        LEN(_xlpm.p)=10,_xlfn.CONCAT("("&amp;LEFT(_xlpm.p,3)&amp;") "&amp;MID(_xlpm.p,4,3)&amp;"-"&amp;RIGHT(_xlpm.p,4),"")
       )
     )</f>
        <v>(977) 539-6736</v>
      </c>
      <c r="L683" t="str">
        <f>TRIM(Employee_dataset[[#This Row],[Performance_Score]])</f>
        <v>Good</v>
      </c>
      <c r="M683" t="str">
        <f>TRIM(Employee_dataset[[#This Row],[Remote_Work]])</f>
        <v>TRUE</v>
      </c>
    </row>
    <row r="684" spans="1:13" x14ac:dyDescent="0.3">
      <c r="A684" t="str">
        <f>TRIM(Employee_dataset[[#This Row],[Employee_ID]])</f>
        <v>EMP1682</v>
      </c>
      <c r="B684" t="str">
        <f>PROPER(TRIM(Employee_dataset[[#This Row],[First_Name]]))</f>
        <v>Heidi</v>
      </c>
      <c r="C684" t="str">
        <f>PROPER(TRIM(Employee_dataset[[#This Row],[Last_Name]]))</f>
        <v>Davis</v>
      </c>
      <c r="D684" s="6" t="str">
        <f>_xlfn.LET(
     _xlpm.a, TRIM(Employee_dataset[[#This Row],[Age]]),
     IF(
        _xlpm.a="","",
        IF(
           AND(ISNUMBER(--_xlpm.a),LEN(_xlpm.a)=2),_xlpm.a,""
          )
       )
    )</f>
        <v>30</v>
      </c>
      <c r="E684" t="str">
        <f>TRIM(_xlfn.TEXTBEFORE(Employee_dataset[[#This Row],[Department_Region]],"-"))</f>
        <v>HR</v>
      </c>
      <c r="F684" t="str">
        <f>TRIM(_xlfn.TEXTAFTER(Employee_dataset[[#This Row],[Department_Region]],"-"))</f>
        <v>Texas</v>
      </c>
      <c r="G684" t="str">
        <f>TRIM(Employee_dataset[[#This Row],[Status]])</f>
        <v>Active</v>
      </c>
      <c r="H684" s="1">
        <f>_xlfn.LET(
     _xlpm.d, Employee_dataset[[#This Row],[Join_Date]],
     IF(
        ISNUMBER(_xlpm.d),_xlpm.d,""
       )
    )</f>
        <v>43932</v>
      </c>
      <c r="I684" s="6">
        <f>_xlfn.LET(
     _xlpm.s, TRIM(Employee_dataset[[#This Row],[Salary]]),
     IF(
        UPPER(_xlpm.s)="N/A","",
        IF(
           ISNUMBER(--_xlpm.s),ROUND(_xlfn.NUMBERVALUE(_xlpm.s),2),""
          )
       )
    )</f>
        <v>117880.14</v>
      </c>
      <c r="J684" t="str">
        <f>TRIM(Employee_dataset[[#This Row],[Email]])</f>
        <v>heidi.davis@example.com</v>
      </c>
      <c r="K684" t="str">
        <f>_xlfn.LET(
     _xlpm.p,TRIM(SUBSTITUTE(Employee_dataset[[#This Row],[Phone]],"-","")),
     IF(
        LEN(_xlpm.p)=10,_xlfn.CONCAT("("&amp;LEFT(_xlpm.p,3)&amp;") "&amp;MID(_xlpm.p,4,3)&amp;"-"&amp;RIGHT(_xlpm.p,4),"")
       )
     )</f>
        <v>(948) 714-8551</v>
      </c>
      <c r="L684" t="str">
        <f>TRIM(Employee_dataset[[#This Row],[Performance_Score]])</f>
        <v>Average</v>
      </c>
      <c r="M684" t="str">
        <f>TRIM(Employee_dataset[[#This Row],[Remote_Work]])</f>
        <v>FALSE</v>
      </c>
    </row>
    <row r="685" spans="1:13" x14ac:dyDescent="0.3">
      <c r="A685" t="str">
        <f>TRIM(Employee_dataset[[#This Row],[Employee_ID]])</f>
        <v>EMP1683</v>
      </c>
      <c r="B685" t="str">
        <f>PROPER(TRIM(Employee_dataset[[#This Row],[First_Name]]))</f>
        <v>Bob</v>
      </c>
      <c r="C685" t="str">
        <f>PROPER(TRIM(Employee_dataset[[#This Row],[Last_Name]]))</f>
        <v>Brown</v>
      </c>
      <c r="D685" s="6" t="str">
        <f>_xlfn.LET(
     _xlpm.a, TRIM(Employee_dataset[[#This Row],[Age]]),
     IF(
        _xlpm.a="","",
        IF(
           AND(ISNUMBER(--_xlpm.a),LEN(_xlpm.a)=2),_xlpm.a,""
          )
       )
    )</f>
        <v>35</v>
      </c>
      <c r="E685" t="str">
        <f>TRIM(_xlfn.TEXTBEFORE(Employee_dataset[[#This Row],[Department_Region]],"-"))</f>
        <v>HR</v>
      </c>
      <c r="F685" t="str">
        <f>TRIM(_xlfn.TEXTAFTER(Employee_dataset[[#This Row],[Department_Region]],"-"))</f>
        <v>New York</v>
      </c>
      <c r="G685" t="str">
        <f>TRIM(Employee_dataset[[#This Row],[Status]])</f>
        <v>Pending</v>
      </c>
      <c r="H685" s="1">
        <f>_xlfn.LET(
     _xlpm.d, Employee_dataset[[#This Row],[Join_Date]],
     IF(
        ISNUMBER(_xlpm.d),_xlpm.d,""
       )
    )</f>
        <v>44728</v>
      </c>
      <c r="I685" s="6">
        <f>_xlfn.LET(
     _xlpm.s, TRIM(Employee_dataset[[#This Row],[Salary]]),
     IF(
        UPPER(_xlpm.s)="N/A","",
        IF(
           ISNUMBER(--_xlpm.s),ROUND(_xlfn.NUMBERVALUE(_xlpm.s),2),""
          )
       )
    )</f>
        <v>100897.49</v>
      </c>
      <c r="J685" t="str">
        <f>TRIM(Employee_dataset[[#This Row],[Email]])</f>
        <v>bob.brown@example.com</v>
      </c>
      <c r="K685" t="str">
        <f>_xlfn.LET(
     _xlpm.p,TRIM(SUBSTITUTE(Employee_dataset[[#This Row],[Phone]],"-","")),
     IF(
        LEN(_xlpm.p)=10,_xlfn.CONCAT("("&amp;LEFT(_xlpm.p,3)&amp;") "&amp;MID(_xlpm.p,4,3)&amp;"-"&amp;RIGHT(_xlpm.p,4),"")
       )
     )</f>
        <v>(457) 871-5840</v>
      </c>
      <c r="L685" t="str">
        <f>TRIM(Employee_dataset[[#This Row],[Performance_Score]])</f>
        <v>Average</v>
      </c>
      <c r="M685" t="str">
        <f>TRIM(Employee_dataset[[#This Row],[Remote_Work]])</f>
        <v>TRUE</v>
      </c>
    </row>
    <row r="686" spans="1:13" x14ac:dyDescent="0.3">
      <c r="A686" t="str">
        <f>TRIM(Employee_dataset[[#This Row],[Employee_ID]])</f>
        <v>EMP1684</v>
      </c>
      <c r="B686" t="str">
        <f>PROPER(TRIM(Employee_dataset[[#This Row],[First_Name]]))</f>
        <v>Charlie</v>
      </c>
      <c r="C686" t="str">
        <f>PROPER(TRIM(Employee_dataset[[#This Row],[Last_Name]]))</f>
        <v>Smith</v>
      </c>
      <c r="D686" s="6" t="str">
        <f>_xlfn.LET(
     _xlpm.a, TRIM(Employee_dataset[[#This Row],[Age]]),
     IF(
        _xlpm.a="","",
        IF(
           AND(ISNUMBER(--_xlpm.a),LEN(_xlpm.a)=2),_xlpm.a,""
          )
       )
    )</f>
        <v>25</v>
      </c>
      <c r="E686" t="str">
        <f>TRIM(_xlfn.TEXTBEFORE(Employee_dataset[[#This Row],[Department_Region]],"-"))</f>
        <v>Finance</v>
      </c>
      <c r="F686" t="str">
        <f>TRIM(_xlfn.TEXTAFTER(Employee_dataset[[#This Row],[Department_Region]],"-"))</f>
        <v>New York</v>
      </c>
      <c r="G686" t="str">
        <f>TRIM(Employee_dataset[[#This Row],[Status]])</f>
        <v>Inactive</v>
      </c>
      <c r="H686" s="1">
        <f>_xlfn.LET(
     _xlpm.d, Employee_dataset[[#This Row],[Join_Date]],
     IF(
        ISNUMBER(_xlpm.d),_xlpm.d,""
       )
    )</f>
        <v>44691</v>
      </c>
      <c r="I686" s="6">
        <f>_xlfn.LET(
     _xlpm.s, TRIM(Employee_dataset[[#This Row],[Salary]]),
     IF(
        UPPER(_xlpm.s)="N/A","",
        IF(
           ISNUMBER(--_xlpm.s),ROUND(_xlfn.NUMBERVALUE(_xlpm.s),2),""
          )
       )
    )</f>
        <v>71810.37</v>
      </c>
      <c r="J686" t="str">
        <f>TRIM(Employee_dataset[[#This Row],[Email]])</f>
        <v>charlie.smith@example.com</v>
      </c>
      <c r="K686" t="str">
        <f>_xlfn.LET(
     _xlpm.p,TRIM(SUBSTITUTE(Employee_dataset[[#This Row],[Phone]],"-","")),
     IF(
        LEN(_xlpm.p)=10,_xlfn.CONCAT("("&amp;LEFT(_xlpm.p,3)&amp;") "&amp;MID(_xlpm.p,4,3)&amp;"-"&amp;RIGHT(_xlpm.p,4),"")
       )
     )</f>
        <v>(560) 821-3710</v>
      </c>
      <c r="L686" t="str">
        <f>TRIM(Employee_dataset[[#This Row],[Performance_Score]])</f>
        <v>Average</v>
      </c>
      <c r="M686" t="str">
        <f>TRIM(Employee_dataset[[#This Row],[Remote_Work]])</f>
        <v>TRUE</v>
      </c>
    </row>
    <row r="687" spans="1:13" x14ac:dyDescent="0.3">
      <c r="A687" t="str">
        <f>TRIM(Employee_dataset[[#This Row],[Employee_ID]])</f>
        <v>EMP1685</v>
      </c>
      <c r="B687" t="str">
        <f>PROPER(TRIM(Employee_dataset[[#This Row],[First_Name]]))</f>
        <v>Frank</v>
      </c>
      <c r="C687" t="str">
        <f>PROPER(TRIM(Employee_dataset[[#This Row],[Last_Name]]))</f>
        <v>Miller</v>
      </c>
      <c r="D687" s="6" t="str">
        <f>_xlfn.LET(
     _xlpm.a, TRIM(Employee_dataset[[#This Row],[Age]]),
     IF(
        _xlpm.a="","",
        IF(
           AND(ISNUMBER(--_xlpm.a),LEN(_xlpm.a)=2),_xlpm.a,""
          )
       )
    )</f>
        <v>40</v>
      </c>
      <c r="E687" t="str">
        <f>TRIM(_xlfn.TEXTBEFORE(Employee_dataset[[#This Row],[Department_Region]],"-"))</f>
        <v>DevOps</v>
      </c>
      <c r="F687" t="str">
        <f>TRIM(_xlfn.TEXTAFTER(Employee_dataset[[#This Row],[Department_Region]],"-"))</f>
        <v>Texas</v>
      </c>
      <c r="G687" t="str">
        <f>TRIM(Employee_dataset[[#This Row],[Status]])</f>
        <v>Inactive</v>
      </c>
      <c r="H687" s="1">
        <f>_xlfn.LET(
     _xlpm.d, Employee_dataset[[#This Row],[Join_Date]],
     IF(
        ISNUMBER(_xlpm.d),_xlpm.d,""
       )
    )</f>
        <v>43995</v>
      </c>
      <c r="I687" s="6">
        <f>_xlfn.LET(
     _xlpm.s, TRIM(Employee_dataset[[#This Row],[Salary]]),
     IF(
        UPPER(_xlpm.s)="N/A","",
        IF(
           ISNUMBER(--_xlpm.s),ROUND(_xlfn.NUMBERVALUE(_xlpm.s),2),""
          )
       )
    )</f>
        <v>109048.24</v>
      </c>
      <c r="J687" t="str">
        <f>TRIM(Employee_dataset[[#This Row],[Email]])</f>
        <v>frank.miller@example.com</v>
      </c>
      <c r="K687" t="str">
        <f>_xlfn.LET(
     _xlpm.p,TRIM(SUBSTITUTE(Employee_dataset[[#This Row],[Phone]],"-","")),
     IF(
        LEN(_xlpm.p)=10,_xlfn.CONCAT("("&amp;LEFT(_xlpm.p,3)&amp;") "&amp;MID(_xlpm.p,4,3)&amp;"-"&amp;RIGHT(_xlpm.p,4),"")
       )
     )</f>
        <v>(842) 547-6817</v>
      </c>
      <c r="L687" t="str">
        <f>TRIM(Employee_dataset[[#This Row],[Performance_Score]])</f>
        <v>Poor</v>
      </c>
      <c r="M687" t="str">
        <f>TRIM(Employee_dataset[[#This Row],[Remote_Work]])</f>
        <v>FALSE</v>
      </c>
    </row>
    <row r="688" spans="1:13" x14ac:dyDescent="0.3">
      <c r="A688" t="str">
        <f>TRIM(Employee_dataset[[#This Row],[Employee_ID]])</f>
        <v>EMP1686</v>
      </c>
      <c r="B688" t="str">
        <f>PROPER(TRIM(Employee_dataset[[#This Row],[First_Name]]))</f>
        <v>Alice</v>
      </c>
      <c r="C688" t="str">
        <f>PROPER(TRIM(Employee_dataset[[#This Row],[Last_Name]]))</f>
        <v>Miller</v>
      </c>
      <c r="D688" s="6" t="str">
        <f>_xlfn.LET(
     _xlpm.a, TRIM(Employee_dataset[[#This Row],[Age]]),
     IF(
        _xlpm.a="","",
        IF(
           AND(ISNUMBER(--_xlpm.a),LEN(_xlpm.a)=2),_xlpm.a,""
          )
       )
    )</f>
        <v>35</v>
      </c>
      <c r="E688" t="str">
        <f>TRIM(_xlfn.TEXTBEFORE(Employee_dataset[[#This Row],[Department_Region]],"-"))</f>
        <v>Finance</v>
      </c>
      <c r="F688" t="str">
        <f>TRIM(_xlfn.TEXTAFTER(Employee_dataset[[#This Row],[Department_Region]],"-"))</f>
        <v>Texas</v>
      </c>
      <c r="G688" t="str">
        <f>TRIM(Employee_dataset[[#This Row],[Status]])</f>
        <v>Pending</v>
      </c>
      <c r="H688" s="1">
        <f>_xlfn.LET(
     _xlpm.d, Employee_dataset[[#This Row],[Join_Date]],
     IF(
        ISNUMBER(_xlpm.d),_xlpm.d,""
       )
    )</f>
        <v>44793</v>
      </c>
      <c r="I688" s="6">
        <f>_xlfn.LET(
     _xlpm.s, TRIM(Employee_dataset[[#This Row],[Salary]]),
     IF(
        UPPER(_xlpm.s)="N/A","",
        IF(
           ISNUMBER(--_xlpm.s),ROUND(_xlfn.NUMBERVALUE(_xlpm.s),2),""
          )
       )
    )</f>
        <v>62712.26</v>
      </c>
      <c r="J688" t="str">
        <f>TRIM(Employee_dataset[[#This Row],[Email]])</f>
        <v>alice.miller@example.com</v>
      </c>
      <c r="K688" t="str">
        <f>_xlfn.LET(
     _xlpm.p,TRIM(SUBSTITUTE(Employee_dataset[[#This Row],[Phone]],"-","")),
     IF(
        LEN(_xlpm.p)=10,_xlfn.CONCAT("("&amp;LEFT(_xlpm.p,3)&amp;") "&amp;MID(_xlpm.p,4,3)&amp;"-"&amp;RIGHT(_xlpm.p,4),"")
       )
     )</f>
        <v>(268) 323-0357</v>
      </c>
      <c r="L688" t="str">
        <f>TRIM(Employee_dataset[[#This Row],[Performance_Score]])</f>
        <v>Average</v>
      </c>
      <c r="M688" t="str">
        <f>TRIM(Employee_dataset[[#This Row],[Remote_Work]])</f>
        <v>FALSE</v>
      </c>
    </row>
    <row r="689" spans="1:13" x14ac:dyDescent="0.3">
      <c r="A689" t="str">
        <f>TRIM(Employee_dataset[[#This Row],[Employee_ID]])</f>
        <v>EMP1687</v>
      </c>
      <c r="B689" t="str">
        <f>PROPER(TRIM(Employee_dataset[[#This Row],[First_Name]]))</f>
        <v>Eva</v>
      </c>
      <c r="C689" t="str">
        <f>PROPER(TRIM(Employee_dataset[[#This Row],[Last_Name]]))</f>
        <v>Jones</v>
      </c>
      <c r="D689" s="6" t="str">
        <f>_xlfn.LET(
     _xlpm.a, TRIM(Employee_dataset[[#This Row],[Age]]),
     IF(
        _xlpm.a="","",
        IF(
           AND(ISNUMBER(--_xlpm.a),LEN(_xlpm.a)=2),_xlpm.a,""
          )
       )
    )</f>
        <v>40</v>
      </c>
      <c r="E689" t="str">
        <f>TRIM(_xlfn.TEXTBEFORE(Employee_dataset[[#This Row],[Department_Region]],"-"))</f>
        <v>Cloud Tech</v>
      </c>
      <c r="F689" t="str">
        <f>TRIM(_xlfn.TEXTAFTER(Employee_dataset[[#This Row],[Department_Region]],"-"))</f>
        <v>Texas</v>
      </c>
      <c r="G689" t="str">
        <f>TRIM(Employee_dataset[[#This Row],[Status]])</f>
        <v>Pending</v>
      </c>
      <c r="H689" s="1">
        <f>_xlfn.LET(
     _xlpm.d, Employee_dataset[[#This Row],[Join_Date]],
     IF(
        ISNUMBER(_xlpm.d),_xlpm.d,""
       )
    )</f>
        <v>44340</v>
      </c>
      <c r="I689" s="6">
        <f>_xlfn.LET(
     _xlpm.s, TRIM(Employee_dataset[[#This Row],[Salary]]),
     IF(
        UPPER(_xlpm.s)="N/A","",
        IF(
           ISNUMBER(--_xlpm.s),ROUND(_xlfn.NUMBERVALUE(_xlpm.s),2),""
          )
       )
    )</f>
        <v>76935.850000000006</v>
      </c>
      <c r="J689" t="str">
        <f>TRIM(Employee_dataset[[#This Row],[Email]])</f>
        <v>eva.jones@example.com</v>
      </c>
      <c r="K689" t="str">
        <f>_xlfn.LET(
     _xlpm.p,TRIM(SUBSTITUTE(Employee_dataset[[#This Row],[Phone]],"-","")),
     IF(
        LEN(_xlpm.p)=10,_xlfn.CONCAT("("&amp;LEFT(_xlpm.p,3)&amp;") "&amp;MID(_xlpm.p,4,3)&amp;"-"&amp;RIGHT(_xlpm.p,4),"")
       )
     )</f>
        <v>(929) 880-8582</v>
      </c>
      <c r="L689" t="str">
        <f>TRIM(Employee_dataset[[#This Row],[Performance_Score]])</f>
        <v>Good</v>
      </c>
      <c r="M689" t="str">
        <f>TRIM(Employee_dataset[[#This Row],[Remote_Work]])</f>
        <v>TRUE</v>
      </c>
    </row>
    <row r="690" spans="1:13" x14ac:dyDescent="0.3">
      <c r="A690" t="str">
        <f>TRIM(Employee_dataset[[#This Row],[Employee_ID]])</f>
        <v>EMP1688</v>
      </c>
      <c r="B690" t="str">
        <f>PROPER(TRIM(Employee_dataset[[#This Row],[First_Name]]))</f>
        <v>David</v>
      </c>
      <c r="C690" t="str">
        <f>PROPER(TRIM(Employee_dataset[[#This Row],[Last_Name]]))</f>
        <v>Davis</v>
      </c>
      <c r="D690" s="6" t="str">
        <f>_xlfn.LET(
     _xlpm.a, TRIM(Employee_dataset[[#This Row],[Age]]),
     IF(
        _xlpm.a="","",
        IF(
           AND(ISNUMBER(--_xlpm.a),LEN(_xlpm.a)=2),_xlpm.a,""
          )
       )
    )</f>
        <v>25</v>
      </c>
      <c r="E690" t="str">
        <f>TRIM(_xlfn.TEXTBEFORE(Employee_dataset[[#This Row],[Department_Region]],"-"))</f>
        <v>Admin</v>
      </c>
      <c r="F690" t="str">
        <f>TRIM(_xlfn.TEXTAFTER(Employee_dataset[[#This Row],[Department_Region]],"-"))</f>
        <v>Florida</v>
      </c>
      <c r="G690" t="str">
        <f>TRIM(Employee_dataset[[#This Row],[Status]])</f>
        <v>Pending</v>
      </c>
      <c r="H690" s="1">
        <f>_xlfn.LET(
     _xlpm.d, Employee_dataset[[#This Row],[Join_Date]],
     IF(
        ISNUMBER(_xlpm.d),_xlpm.d,""
       )
    )</f>
        <v>45409</v>
      </c>
      <c r="I690" s="6">
        <f>_xlfn.LET(
     _xlpm.s, TRIM(Employee_dataset[[#This Row],[Salary]]),
     IF(
        UPPER(_xlpm.s)="N/A","",
        IF(
           ISNUMBER(--_xlpm.s),ROUND(_xlfn.NUMBERVALUE(_xlpm.s),2),""
          )
       )
    )</f>
        <v>56577.22</v>
      </c>
      <c r="J690" t="str">
        <f>TRIM(Employee_dataset[[#This Row],[Email]])</f>
        <v>david.davis@example.com</v>
      </c>
      <c r="K690" t="str">
        <f>_xlfn.LET(
     _xlpm.p,TRIM(SUBSTITUTE(Employee_dataset[[#This Row],[Phone]],"-","")),
     IF(
        LEN(_xlpm.p)=10,_xlfn.CONCAT("("&amp;LEFT(_xlpm.p,3)&amp;") "&amp;MID(_xlpm.p,4,3)&amp;"-"&amp;RIGHT(_xlpm.p,4),"")
       )
     )</f>
        <v>(825) 212-9327</v>
      </c>
      <c r="L690" t="str">
        <f>TRIM(Employee_dataset[[#This Row],[Performance_Score]])</f>
        <v>Poor</v>
      </c>
      <c r="M690" t="str">
        <f>TRIM(Employee_dataset[[#This Row],[Remote_Work]])</f>
        <v>TRUE</v>
      </c>
    </row>
    <row r="691" spans="1:13" x14ac:dyDescent="0.3">
      <c r="A691" t="str">
        <f>TRIM(Employee_dataset[[#This Row],[Employee_ID]])</f>
        <v>EMP1689</v>
      </c>
      <c r="B691" t="str">
        <f>PROPER(TRIM(Employee_dataset[[#This Row],[First_Name]]))</f>
        <v>David</v>
      </c>
      <c r="C691" t="str">
        <f>PROPER(TRIM(Employee_dataset[[#This Row],[Last_Name]]))</f>
        <v>Johnson</v>
      </c>
      <c r="D691" s="6" t="str">
        <f>_xlfn.LET(
     _xlpm.a, TRIM(Employee_dataset[[#This Row],[Age]]),
     IF(
        _xlpm.a="","",
        IF(
           AND(ISNUMBER(--_xlpm.a),LEN(_xlpm.a)=2),_xlpm.a,""
          )
       )
    )</f>
        <v>40</v>
      </c>
      <c r="E691" t="str">
        <f>TRIM(_xlfn.TEXTBEFORE(Employee_dataset[[#This Row],[Department_Region]],"-"))</f>
        <v>Finance</v>
      </c>
      <c r="F691" t="str">
        <f>TRIM(_xlfn.TEXTAFTER(Employee_dataset[[#This Row],[Department_Region]],"-"))</f>
        <v>Nevada</v>
      </c>
      <c r="G691" t="str">
        <f>TRIM(Employee_dataset[[#This Row],[Status]])</f>
        <v>Inactive</v>
      </c>
      <c r="H691" s="1">
        <f>_xlfn.LET(
     _xlpm.d, Employee_dataset[[#This Row],[Join_Date]],
     IF(
        ISNUMBER(_xlpm.d),_xlpm.d,""
       )
    )</f>
        <v>44492</v>
      </c>
      <c r="I691" s="6">
        <f>_xlfn.LET(
     _xlpm.s, TRIM(Employee_dataset[[#This Row],[Salary]]),
     IF(
        UPPER(_xlpm.s)="N/A","",
        IF(
           ISNUMBER(--_xlpm.s),ROUND(_xlfn.NUMBERVALUE(_xlpm.s),2),""
          )
       )
    )</f>
        <v>61102.8</v>
      </c>
      <c r="J691" t="str">
        <f>TRIM(Employee_dataset[[#This Row],[Email]])</f>
        <v>david.johnson@example.com</v>
      </c>
      <c r="K691" t="str">
        <f>_xlfn.LET(
     _xlpm.p,TRIM(SUBSTITUTE(Employee_dataset[[#This Row],[Phone]],"-","")),
     IF(
        LEN(_xlpm.p)=10,_xlfn.CONCAT("("&amp;LEFT(_xlpm.p,3)&amp;") "&amp;MID(_xlpm.p,4,3)&amp;"-"&amp;RIGHT(_xlpm.p,4),"")
       )
     )</f>
        <v>(963) 406-4685</v>
      </c>
      <c r="L691" t="str">
        <f>TRIM(Employee_dataset[[#This Row],[Performance_Score]])</f>
        <v>Good</v>
      </c>
      <c r="M691" t="str">
        <f>TRIM(Employee_dataset[[#This Row],[Remote_Work]])</f>
        <v>TRUE</v>
      </c>
    </row>
    <row r="692" spans="1:13" x14ac:dyDescent="0.3">
      <c r="A692" t="str">
        <f>TRIM(Employee_dataset[[#This Row],[Employee_ID]])</f>
        <v>EMP1690</v>
      </c>
      <c r="B692" t="str">
        <f>PROPER(TRIM(Employee_dataset[[#This Row],[First_Name]]))</f>
        <v>Bob</v>
      </c>
      <c r="C692" t="str">
        <f>PROPER(TRIM(Employee_dataset[[#This Row],[Last_Name]]))</f>
        <v>Johnson</v>
      </c>
      <c r="D692" s="6" t="str">
        <f>_xlfn.LET(
     _xlpm.a, TRIM(Employee_dataset[[#This Row],[Age]]),
     IF(
        _xlpm.a="","",
        IF(
           AND(ISNUMBER(--_xlpm.a),LEN(_xlpm.a)=2),_xlpm.a,""
          )
       )
    )</f>
        <v>35</v>
      </c>
      <c r="E692" t="str">
        <f>TRIM(_xlfn.TEXTBEFORE(Employee_dataset[[#This Row],[Department_Region]],"-"))</f>
        <v>Finance</v>
      </c>
      <c r="F692" t="str">
        <f>TRIM(_xlfn.TEXTAFTER(Employee_dataset[[#This Row],[Department_Region]],"-"))</f>
        <v>Nevada</v>
      </c>
      <c r="G692" t="str">
        <f>TRIM(Employee_dataset[[#This Row],[Status]])</f>
        <v>Inactive</v>
      </c>
      <c r="H692" s="1">
        <f>_xlfn.LET(
     _xlpm.d, Employee_dataset[[#This Row],[Join_Date]],
     IF(
        ISNUMBER(_xlpm.d),_xlpm.d,""
       )
    )</f>
        <v>44237</v>
      </c>
      <c r="I692" s="6">
        <f>_xlfn.LET(
     _xlpm.s, TRIM(Employee_dataset[[#This Row],[Salary]]),
     IF(
        UPPER(_xlpm.s)="N/A","",
        IF(
           ISNUMBER(--_xlpm.s),ROUND(_xlfn.NUMBERVALUE(_xlpm.s),2),""
          )
       )
    )</f>
        <v>75229.87</v>
      </c>
      <c r="J692" t="str">
        <f>TRIM(Employee_dataset[[#This Row],[Email]])</f>
        <v>bob.johnson@example.com</v>
      </c>
      <c r="K692" t="str">
        <f>_xlfn.LET(
     _xlpm.p,TRIM(SUBSTITUTE(Employee_dataset[[#This Row],[Phone]],"-","")),
     IF(
        LEN(_xlpm.p)=10,_xlfn.CONCAT("("&amp;LEFT(_xlpm.p,3)&amp;") "&amp;MID(_xlpm.p,4,3)&amp;"-"&amp;RIGHT(_xlpm.p,4),"")
       )
     )</f>
        <v>(775) 240-1483</v>
      </c>
      <c r="L692" t="str">
        <f>TRIM(Employee_dataset[[#This Row],[Performance_Score]])</f>
        <v>Excellent</v>
      </c>
      <c r="M692" t="str">
        <f>TRIM(Employee_dataset[[#This Row],[Remote_Work]])</f>
        <v>TRUE</v>
      </c>
    </row>
    <row r="693" spans="1:13" x14ac:dyDescent="0.3">
      <c r="A693" t="str">
        <f>TRIM(Employee_dataset[[#This Row],[Employee_ID]])</f>
        <v>EMP1691</v>
      </c>
      <c r="B693" t="str">
        <f>PROPER(TRIM(Employee_dataset[[#This Row],[First_Name]]))</f>
        <v>David</v>
      </c>
      <c r="C693" t="str">
        <f>PROPER(TRIM(Employee_dataset[[#This Row],[Last_Name]]))</f>
        <v>Miller</v>
      </c>
      <c r="D693" s="6" t="str">
        <f>_xlfn.LET(
     _xlpm.a, TRIM(Employee_dataset[[#This Row],[Age]]),
     IF(
        _xlpm.a="","",
        IF(
           AND(ISNUMBER(--_xlpm.a),LEN(_xlpm.a)=2),_xlpm.a,""
          )
       )
    )</f>
        <v>25</v>
      </c>
      <c r="E693" t="str">
        <f>TRIM(_xlfn.TEXTBEFORE(Employee_dataset[[#This Row],[Department_Region]],"-"))</f>
        <v>Admin</v>
      </c>
      <c r="F693" t="str">
        <f>TRIM(_xlfn.TEXTAFTER(Employee_dataset[[#This Row],[Department_Region]],"-"))</f>
        <v>Nevada</v>
      </c>
      <c r="G693" t="str">
        <f>TRIM(Employee_dataset[[#This Row],[Status]])</f>
        <v>Inactive</v>
      </c>
      <c r="H693" s="1">
        <f>_xlfn.LET(
     _xlpm.d, Employee_dataset[[#This Row],[Join_Date]],
     IF(
        ISNUMBER(_xlpm.d),_xlpm.d,""
       )
    )</f>
        <v>44495</v>
      </c>
      <c r="I693" s="6">
        <f>_xlfn.LET(
     _xlpm.s, TRIM(Employee_dataset[[#This Row],[Salary]]),
     IF(
        UPPER(_xlpm.s)="N/A","",
        IF(
           ISNUMBER(--_xlpm.s),ROUND(_xlfn.NUMBERVALUE(_xlpm.s),2),""
          )
       )
    )</f>
        <v>51054.74</v>
      </c>
      <c r="J693" t="str">
        <f>TRIM(Employee_dataset[[#This Row],[Email]])</f>
        <v>david.miller@example.com</v>
      </c>
      <c r="K693" t="str">
        <f>_xlfn.LET(
     _xlpm.p,TRIM(SUBSTITUTE(Employee_dataset[[#This Row],[Phone]],"-","")),
     IF(
        LEN(_xlpm.p)=10,_xlfn.CONCAT("("&amp;LEFT(_xlpm.p,3)&amp;") "&amp;MID(_xlpm.p,4,3)&amp;"-"&amp;RIGHT(_xlpm.p,4),"")
       )
     )</f>
        <v>(399) 106-2271</v>
      </c>
      <c r="L693" t="str">
        <f>TRIM(Employee_dataset[[#This Row],[Performance_Score]])</f>
        <v>Excellent</v>
      </c>
      <c r="M693" t="str">
        <f>TRIM(Employee_dataset[[#This Row],[Remote_Work]])</f>
        <v>FALSE</v>
      </c>
    </row>
    <row r="694" spans="1:13" x14ac:dyDescent="0.3">
      <c r="A694" t="str">
        <f>TRIM(Employee_dataset[[#This Row],[Employee_ID]])</f>
        <v>EMP1692</v>
      </c>
      <c r="B694" t="str">
        <f>PROPER(TRIM(Employee_dataset[[#This Row],[First_Name]]))</f>
        <v>Bob</v>
      </c>
      <c r="C694" t="str">
        <f>PROPER(TRIM(Employee_dataset[[#This Row],[Last_Name]]))</f>
        <v>Jones</v>
      </c>
      <c r="D694" s="6" t="str">
        <f>_xlfn.LET(
     _xlpm.a, TRIM(Employee_dataset[[#This Row],[Age]]),
     IF(
        _xlpm.a="","",
        IF(
           AND(ISNUMBER(--_xlpm.a),LEN(_xlpm.a)=2),_xlpm.a,""
          )
       )
    )</f>
        <v>40</v>
      </c>
      <c r="E694" t="str">
        <f>TRIM(_xlfn.TEXTBEFORE(Employee_dataset[[#This Row],[Department_Region]],"-"))</f>
        <v>Admin</v>
      </c>
      <c r="F694" t="str">
        <f>TRIM(_xlfn.TEXTAFTER(Employee_dataset[[#This Row],[Department_Region]],"-"))</f>
        <v>Texas</v>
      </c>
      <c r="G694" t="str">
        <f>TRIM(Employee_dataset[[#This Row],[Status]])</f>
        <v>Active</v>
      </c>
      <c r="H694" s="1">
        <f>_xlfn.LET(
     _xlpm.d, Employee_dataset[[#This Row],[Join_Date]],
     IF(
        ISNUMBER(_xlpm.d),_xlpm.d,""
       )
    )</f>
        <v>45021</v>
      </c>
      <c r="I694" s="6">
        <f>_xlfn.LET(
     _xlpm.s, TRIM(Employee_dataset[[#This Row],[Salary]]),
     IF(
        UPPER(_xlpm.s)="N/A","",
        IF(
           ISNUMBER(--_xlpm.s),ROUND(_xlfn.NUMBERVALUE(_xlpm.s),2),""
          )
       )
    )</f>
        <v>104843.27</v>
      </c>
      <c r="J694" t="str">
        <f>TRIM(Employee_dataset[[#This Row],[Email]])</f>
        <v>bob.jones@example.com</v>
      </c>
      <c r="K694" t="str">
        <f>_xlfn.LET(
     _xlpm.p,TRIM(SUBSTITUTE(Employee_dataset[[#This Row],[Phone]],"-","")),
     IF(
        LEN(_xlpm.p)=10,_xlfn.CONCAT("("&amp;LEFT(_xlpm.p,3)&amp;") "&amp;MID(_xlpm.p,4,3)&amp;"-"&amp;RIGHT(_xlpm.p,4),"")
       )
     )</f>
        <v>(362) 669-3350</v>
      </c>
      <c r="L694" t="str">
        <f>TRIM(Employee_dataset[[#This Row],[Performance_Score]])</f>
        <v>Excellent</v>
      </c>
      <c r="M694" t="str">
        <f>TRIM(Employee_dataset[[#This Row],[Remote_Work]])</f>
        <v>FALSE</v>
      </c>
    </row>
    <row r="695" spans="1:13" x14ac:dyDescent="0.3">
      <c r="A695" t="str">
        <f>TRIM(Employee_dataset[[#This Row],[Employee_ID]])</f>
        <v>EMP1693</v>
      </c>
      <c r="B695" t="str">
        <f>PROPER(TRIM(Employee_dataset[[#This Row],[First_Name]]))</f>
        <v>Charlie</v>
      </c>
      <c r="C695" t="str">
        <f>PROPER(TRIM(Employee_dataset[[#This Row],[Last_Name]]))</f>
        <v>Brown</v>
      </c>
      <c r="D695" s="6" t="str">
        <f>_xlfn.LET(
     _xlpm.a, TRIM(Employee_dataset[[#This Row],[Age]]),
     IF(
        _xlpm.a="","",
        IF(
           AND(ISNUMBER(--_xlpm.a),LEN(_xlpm.a)=2),_xlpm.a,""
          )
       )
    )</f>
        <v>35</v>
      </c>
      <c r="E695" t="str">
        <f>TRIM(_xlfn.TEXTBEFORE(Employee_dataset[[#This Row],[Department_Region]],"-"))</f>
        <v>Cloud Tech</v>
      </c>
      <c r="F695" t="str">
        <f>TRIM(_xlfn.TEXTAFTER(Employee_dataset[[#This Row],[Department_Region]],"-"))</f>
        <v>New York</v>
      </c>
      <c r="G695" t="str">
        <f>TRIM(Employee_dataset[[#This Row],[Status]])</f>
        <v>Active</v>
      </c>
      <c r="H695" s="1">
        <f>_xlfn.LET(
     _xlpm.d, Employee_dataset[[#This Row],[Join_Date]],
     IF(
        ISNUMBER(_xlpm.d),_xlpm.d,""
       )
    )</f>
        <v>44854</v>
      </c>
      <c r="I695" s="6">
        <f>_xlfn.LET(
     _xlpm.s, TRIM(Employee_dataset[[#This Row],[Salary]]),
     IF(
        UPPER(_xlpm.s)="N/A","",
        IF(
           ISNUMBER(--_xlpm.s),ROUND(_xlfn.NUMBERVALUE(_xlpm.s),2),""
          )
       )
    )</f>
        <v>56398.11</v>
      </c>
      <c r="J695" t="str">
        <f>TRIM(Employee_dataset[[#This Row],[Email]])</f>
        <v>charlie.brown@example.com</v>
      </c>
      <c r="K695" t="str">
        <f>_xlfn.LET(
     _xlpm.p,TRIM(SUBSTITUTE(Employee_dataset[[#This Row],[Phone]],"-","")),
     IF(
        LEN(_xlpm.p)=10,_xlfn.CONCAT("("&amp;LEFT(_xlpm.p,3)&amp;") "&amp;MID(_xlpm.p,4,3)&amp;"-"&amp;RIGHT(_xlpm.p,4),"")
       )
     )</f>
        <v>(342) 619-2371</v>
      </c>
      <c r="L695" t="str">
        <f>TRIM(Employee_dataset[[#This Row],[Performance_Score]])</f>
        <v>Excellent</v>
      </c>
      <c r="M695" t="str">
        <f>TRIM(Employee_dataset[[#This Row],[Remote_Work]])</f>
        <v>FALSE</v>
      </c>
    </row>
    <row r="696" spans="1:13" x14ac:dyDescent="0.3">
      <c r="A696" t="str">
        <f>TRIM(Employee_dataset[[#This Row],[Employee_ID]])</f>
        <v>EMP1694</v>
      </c>
      <c r="B696" t="str">
        <f>PROPER(TRIM(Employee_dataset[[#This Row],[First_Name]]))</f>
        <v>Alice</v>
      </c>
      <c r="C696" t="str">
        <f>PROPER(TRIM(Employee_dataset[[#This Row],[Last_Name]]))</f>
        <v>Johnson</v>
      </c>
      <c r="D696" s="6" t="str">
        <f>_xlfn.LET(
     _xlpm.a, TRIM(Employee_dataset[[#This Row],[Age]]),
     IF(
        _xlpm.a="","",
        IF(
           AND(ISNUMBER(--_xlpm.a),LEN(_xlpm.a)=2),_xlpm.a,""
          )
       )
    )</f>
        <v>25</v>
      </c>
      <c r="E696" t="str">
        <f>TRIM(_xlfn.TEXTBEFORE(Employee_dataset[[#This Row],[Department_Region]],"-"))</f>
        <v>HR</v>
      </c>
      <c r="F696" t="str">
        <f>TRIM(_xlfn.TEXTAFTER(Employee_dataset[[#This Row],[Department_Region]],"-"))</f>
        <v>Nevada</v>
      </c>
      <c r="G696" t="str">
        <f>TRIM(Employee_dataset[[#This Row],[Status]])</f>
        <v>Active</v>
      </c>
      <c r="H696" s="1">
        <f>_xlfn.LET(
     _xlpm.d, Employee_dataset[[#This Row],[Join_Date]],
     IF(
        ISNUMBER(_xlpm.d),_xlpm.d,""
       )
    )</f>
        <v>45267</v>
      </c>
      <c r="I696" s="6">
        <f>_xlfn.LET(
     _xlpm.s, TRIM(Employee_dataset[[#This Row],[Salary]]),
     IF(
        UPPER(_xlpm.s)="N/A","",
        IF(
           ISNUMBER(--_xlpm.s),ROUND(_xlfn.NUMBERVALUE(_xlpm.s),2),""
          )
       )
    )</f>
        <v>87544.73</v>
      </c>
      <c r="J696" t="str">
        <f>TRIM(Employee_dataset[[#This Row],[Email]])</f>
        <v>alice.johnson@example.com</v>
      </c>
      <c r="K696" t="str">
        <f>_xlfn.LET(
     _xlpm.p,TRIM(SUBSTITUTE(Employee_dataset[[#This Row],[Phone]],"-","")),
     IF(
        LEN(_xlpm.p)=10,_xlfn.CONCAT("("&amp;LEFT(_xlpm.p,3)&amp;") "&amp;MID(_xlpm.p,4,3)&amp;"-"&amp;RIGHT(_xlpm.p,4),"")
       )
     )</f>
        <v>(450) 184-8196</v>
      </c>
      <c r="L696" t="str">
        <f>TRIM(Employee_dataset[[#This Row],[Performance_Score]])</f>
        <v>Good</v>
      </c>
      <c r="M696" t="str">
        <f>TRIM(Employee_dataset[[#This Row],[Remote_Work]])</f>
        <v>FALSE</v>
      </c>
    </row>
    <row r="697" spans="1:13" x14ac:dyDescent="0.3">
      <c r="A697" t="str">
        <f>TRIM(Employee_dataset[[#This Row],[Employee_ID]])</f>
        <v>EMP1695</v>
      </c>
      <c r="B697" t="str">
        <f>PROPER(TRIM(Employee_dataset[[#This Row],[First_Name]]))</f>
        <v>Heidi</v>
      </c>
      <c r="C697" t="str">
        <f>PROPER(TRIM(Employee_dataset[[#This Row],[Last_Name]]))</f>
        <v>Brown</v>
      </c>
      <c r="D697" s="6" t="str">
        <f>_xlfn.LET(
     _xlpm.a, TRIM(Employee_dataset[[#This Row],[Age]]),
     IF(
        _xlpm.a="","",
        IF(
           AND(ISNUMBER(--_xlpm.a),LEN(_xlpm.a)=2),_xlpm.a,""
          )
       )
    )</f>
        <v>30</v>
      </c>
      <c r="E697" t="str">
        <f>TRIM(_xlfn.TEXTBEFORE(Employee_dataset[[#This Row],[Department_Region]],"-"))</f>
        <v>HR</v>
      </c>
      <c r="F697" t="str">
        <f>TRIM(_xlfn.TEXTAFTER(Employee_dataset[[#This Row],[Department_Region]],"-"))</f>
        <v>Illinois</v>
      </c>
      <c r="G697" t="str">
        <f>TRIM(Employee_dataset[[#This Row],[Status]])</f>
        <v>Pending</v>
      </c>
      <c r="H697" s="1">
        <f>_xlfn.LET(
     _xlpm.d, Employee_dataset[[#This Row],[Join_Date]],
     IF(
        ISNUMBER(_xlpm.d),_xlpm.d,""
       )
    )</f>
        <v>45380</v>
      </c>
      <c r="I697" s="6">
        <f>_xlfn.LET(
     _xlpm.s, TRIM(Employee_dataset[[#This Row],[Salary]]),
     IF(
        UPPER(_xlpm.s)="N/A","",
        IF(
           ISNUMBER(--_xlpm.s),ROUND(_xlfn.NUMBERVALUE(_xlpm.s),2),""
          )
       )
    )</f>
        <v>74312.240000000005</v>
      </c>
      <c r="J697" t="str">
        <f>TRIM(Employee_dataset[[#This Row],[Email]])</f>
        <v>heidi.brown@example.com</v>
      </c>
      <c r="K697" t="str">
        <f>_xlfn.LET(
     _xlpm.p,TRIM(SUBSTITUTE(Employee_dataset[[#This Row],[Phone]],"-","")),
     IF(
        LEN(_xlpm.p)=10,_xlfn.CONCAT("("&amp;LEFT(_xlpm.p,3)&amp;") "&amp;MID(_xlpm.p,4,3)&amp;"-"&amp;RIGHT(_xlpm.p,4),"")
       )
     )</f>
        <v>(374) 189-7214</v>
      </c>
      <c r="L697" t="str">
        <f>TRIM(Employee_dataset[[#This Row],[Performance_Score]])</f>
        <v>Poor</v>
      </c>
      <c r="M697" t="str">
        <f>TRIM(Employee_dataset[[#This Row],[Remote_Work]])</f>
        <v>FALSE</v>
      </c>
    </row>
    <row r="698" spans="1:13" x14ac:dyDescent="0.3">
      <c r="A698" t="str">
        <f>TRIM(Employee_dataset[[#This Row],[Employee_ID]])</f>
        <v>EMP1696</v>
      </c>
      <c r="B698" t="str">
        <f>PROPER(TRIM(Employee_dataset[[#This Row],[First_Name]]))</f>
        <v>David</v>
      </c>
      <c r="C698" t="str">
        <f>PROPER(TRIM(Employee_dataset[[#This Row],[Last_Name]]))</f>
        <v>Davis</v>
      </c>
      <c r="D698" s="6" t="str">
        <f>_xlfn.LET(
     _xlpm.a, TRIM(Employee_dataset[[#This Row],[Age]]),
     IF(
        _xlpm.a="","",
        IF(
           AND(ISNUMBER(--_xlpm.a),LEN(_xlpm.a)=2),_xlpm.a,""
          )
       )
    )</f>
        <v>25</v>
      </c>
      <c r="E698" t="str">
        <f>TRIM(_xlfn.TEXTBEFORE(Employee_dataset[[#This Row],[Department_Region]],"-"))</f>
        <v>DevOps</v>
      </c>
      <c r="F698" t="str">
        <f>TRIM(_xlfn.TEXTAFTER(Employee_dataset[[#This Row],[Department_Region]],"-"))</f>
        <v>Florida</v>
      </c>
      <c r="G698" t="str">
        <f>TRIM(Employee_dataset[[#This Row],[Status]])</f>
        <v>Inactive</v>
      </c>
      <c r="H698" s="1">
        <f>_xlfn.LET(
     _xlpm.d, Employee_dataset[[#This Row],[Join_Date]],
     IF(
        ISNUMBER(_xlpm.d),_xlpm.d,""
       )
    )</f>
        <v>45314</v>
      </c>
      <c r="I698" s="6">
        <f>_xlfn.LET(
     _xlpm.s, TRIM(Employee_dataset[[#This Row],[Salary]]),
     IF(
        UPPER(_xlpm.s)="N/A","",
        IF(
           ISNUMBER(--_xlpm.s),ROUND(_xlfn.NUMBERVALUE(_xlpm.s),2),""
          )
       )
    )</f>
        <v>59431.25</v>
      </c>
      <c r="J698" t="str">
        <f>TRIM(Employee_dataset[[#This Row],[Email]])</f>
        <v>david.davis@example.com</v>
      </c>
      <c r="K698" t="str">
        <f>_xlfn.LET(
     _xlpm.p,TRIM(SUBSTITUTE(Employee_dataset[[#This Row],[Phone]],"-","")),
     IF(
        LEN(_xlpm.p)=10,_xlfn.CONCAT("("&amp;LEFT(_xlpm.p,3)&amp;") "&amp;MID(_xlpm.p,4,3)&amp;"-"&amp;RIGHT(_xlpm.p,4),"")
       )
     )</f>
        <v>(406) 417-6926</v>
      </c>
      <c r="L698" t="str">
        <f>TRIM(Employee_dataset[[#This Row],[Performance_Score]])</f>
        <v>Poor</v>
      </c>
      <c r="M698" t="str">
        <f>TRIM(Employee_dataset[[#This Row],[Remote_Work]])</f>
        <v>TRUE</v>
      </c>
    </row>
    <row r="699" spans="1:13" x14ac:dyDescent="0.3">
      <c r="A699" t="str">
        <f>TRIM(Employee_dataset[[#This Row],[Employee_ID]])</f>
        <v>EMP1697</v>
      </c>
      <c r="B699" t="str">
        <f>PROPER(TRIM(Employee_dataset[[#This Row],[First_Name]]))</f>
        <v>Heidi</v>
      </c>
      <c r="C699" t="str">
        <f>PROPER(TRIM(Employee_dataset[[#This Row],[Last_Name]]))</f>
        <v>Johnson</v>
      </c>
      <c r="D699" s="6" t="str">
        <f>_xlfn.LET(
     _xlpm.a, TRIM(Employee_dataset[[#This Row],[Age]]),
     IF(
        _xlpm.a="","",
        IF(
           AND(ISNUMBER(--_xlpm.a),LEN(_xlpm.a)=2),_xlpm.a,""
          )
       )
    )</f>
        <v>40</v>
      </c>
      <c r="E699" t="str">
        <f>TRIM(_xlfn.TEXTBEFORE(Employee_dataset[[#This Row],[Department_Region]],"-"))</f>
        <v>Sales</v>
      </c>
      <c r="F699" t="str">
        <f>TRIM(_xlfn.TEXTAFTER(Employee_dataset[[#This Row],[Department_Region]],"-"))</f>
        <v>California</v>
      </c>
      <c r="G699" t="str">
        <f>TRIM(Employee_dataset[[#This Row],[Status]])</f>
        <v>Pending</v>
      </c>
      <c r="H699" s="1">
        <f>_xlfn.LET(
     _xlpm.d, Employee_dataset[[#This Row],[Join_Date]],
     IF(
        ISNUMBER(_xlpm.d),_xlpm.d,""
       )
    )</f>
        <v>45258</v>
      </c>
      <c r="I699" s="6">
        <f>_xlfn.LET(
     _xlpm.s, TRIM(Employee_dataset[[#This Row],[Salary]]),
     IF(
        UPPER(_xlpm.s)="N/A","",
        IF(
           ISNUMBER(--_xlpm.s),ROUND(_xlfn.NUMBERVALUE(_xlpm.s),2),""
          )
       )
    )</f>
        <v>84306.44</v>
      </c>
      <c r="J699" t="str">
        <f>TRIM(Employee_dataset[[#This Row],[Email]])</f>
        <v>heidi.johnson@example.com</v>
      </c>
      <c r="K699" t="str">
        <f>_xlfn.LET(
     _xlpm.p,TRIM(SUBSTITUTE(Employee_dataset[[#This Row],[Phone]],"-","")),
     IF(
        LEN(_xlpm.p)=10,_xlfn.CONCAT("("&amp;LEFT(_xlpm.p,3)&amp;") "&amp;MID(_xlpm.p,4,3)&amp;"-"&amp;RIGHT(_xlpm.p,4),"")
       )
     )</f>
        <v>(438) 119-9536</v>
      </c>
      <c r="L699" t="str">
        <f>TRIM(Employee_dataset[[#This Row],[Performance_Score]])</f>
        <v>Average</v>
      </c>
      <c r="M699" t="str">
        <f>TRIM(Employee_dataset[[#This Row],[Remote_Work]])</f>
        <v>FALSE</v>
      </c>
    </row>
    <row r="700" spans="1:13" x14ac:dyDescent="0.3">
      <c r="A700" t="str">
        <f>TRIM(Employee_dataset[[#This Row],[Employee_ID]])</f>
        <v>EMP1698</v>
      </c>
      <c r="B700" t="str">
        <f>PROPER(TRIM(Employee_dataset[[#This Row],[First_Name]]))</f>
        <v>Frank</v>
      </c>
      <c r="C700" t="str">
        <f>PROPER(TRIM(Employee_dataset[[#This Row],[Last_Name]]))</f>
        <v>Johnson</v>
      </c>
      <c r="D700" s="6" t="str">
        <f>_xlfn.LET(
     _xlpm.a, TRIM(Employee_dataset[[#This Row],[Age]]),
     IF(
        _xlpm.a="","",
        IF(
           AND(ISNUMBER(--_xlpm.a),LEN(_xlpm.a)=2),_xlpm.a,""
          )
       )
    )</f>
        <v>35</v>
      </c>
      <c r="E700" t="str">
        <f>TRIM(_xlfn.TEXTBEFORE(Employee_dataset[[#This Row],[Department_Region]],"-"))</f>
        <v>DevOps</v>
      </c>
      <c r="F700" t="str">
        <f>TRIM(_xlfn.TEXTAFTER(Employee_dataset[[#This Row],[Department_Region]],"-"))</f>
        <v>Florida</v>
      </c>
      <c r="G700" t="str">
        <f>TRIM(Employee_dataset[[#This Row],[Status]])</f>
        <v>Inactive</v>
      </c>
      <c r="H700" s="1">
        <f>_xlfn.LET(
     _xlpm.d, Employee_dataset[[#This Row],[Join_Date]],
     IF(
        ISNUMBER(_xlpm.d),_xlpm.d,""
       )
    )</f>
        <v>45607</v>
      </c>
      <c r="I700" s="6">
        <f>_xlfn.LET(
     _xlpm.s, TRIM(Employee_dataset[[#This Row],[Salary]]),
     IF(
        UPPER(_xlpm.s)="N/A","",
        IF(
           ISNUMBER(--_xlpm.s),ROUND(_xlfn.NUMBERVALUE(_xlpm.s),2),""
          )
       )
    )</f>
        <v>108194.47</v>
      </c>
      <c r="J700" t="str">
        <f>TRIM(Employee_dataset[[#This Row],[Email]])</f>
        <v>frank.johnson@example.com</v>
      </c>
      <c r="K700" t="str">
        <f>_xlfn.LET(
     _xlpm.p,TRIM(SUBSTITUTE(Employee_dataset[[#This Row],[Phone]],"-","")),
     IF(
        LEN(_xlpm.p)=10,_xlfn.CONCAT("("&amp;LEFT(_xlpm.p,3)&amp;") "&amp;MID(_xlpm.p,4,3)&amp;"-"&amp;RIGHT(_xlpm.p,4),"")
       )
     )</f>
        <v>(660) 144-4855</v>
      </c>
      <c r="L700" t="str">
        <f>TRIM(Employee_dataset[[#This Row],[Performance_Score]])</f>
        <v>Good</v>
      </c>
      <c r="M700" t="str">
        <f>TRIM(Employee_dataset[[#This Row],[Remote_Work]])</f>
        <v>FALSE</v>
      </c>
    </row>
    <row r="701" spans="1:13" x14ac:dyDescent="0.3">
      <c r="A701" t="str">
        <f>TRIM(Employee_dataset[[#This Row],[Employee_ID]])</f>
        <v>EMP1699</v>
      </c>
      <c r="B701" t="str">
        <f>PROPER(TRIM(Employee_dataset[[#This Row],[First_Name]]))</f>
        <v>Charlie</v>
      </c>
      <c r="C701" t="str">
        <f>PROPER(TRIM(Employee_dataset[[#This Row],[Last_Name]]))</f>
        <v>Williams</v>
      </c>
      <c r="D701" s="6" t="str">
        <f>_xlfn.LET(
     _xlpm.a, TRIM(Employee_dataset[[#This Row],[Age]]),
     IF(
        _xlpm.a="","",
        IF(
           AND(ISNUMBER(--_xlpm.a),LEN(_xlpm.a)=2),_xlpm.a,""
          )
       )
    )</f>
        <v>25</v>
      </c>
      <c r="E701" t="str">
        <f>TRIM(_xlfn.TEXTBEFORE(Employee_dataset[[#This Row],[Department_Region]],"-"))</f>
        <v>Sales</v>
      </c>
      <c r="F701" t="str">
        <f>TRIM(_xlfn.TEXTAFTER(Employee_dataset[[#This Row],[Department_Region]],"-"))</f>
        <v>New York</v>
      </c>
      <c r="G701" t="str">
        <f>TRIM(Employee_dataset[[#This Row],[Status]])</f>
        <v>Inactive</v>
      </c>
      <c r="H701" s="1">
        <f>_xlfn.LET(
     _xlpm.d, Employee_dataset[[#This Row],[Join_Date]],
     IF(
        ISNUMBER(_xlpm.d),_xlpm.d,""
       )
    )</f>
        <v>44436</v>
      </c>
      <c r="I701" s="6">
        <f>_xlfn.LET(
     _xlpm.s, TRIM(Employee_dataset[[#This Row],[Salary]]),
     IF(
        UPPER(_xlpm.s)="N/A","",
        IF(
           ISNUMBER(--_xlpm.s),ROUND(_xlfn.NUMBERVALUE(_xlpm.s),2),""
          )
       )
    )</f>
        <v>107359.3</v>
      </c>
      <c r="J701" t="str">
        <f>TRIM(Employee_dataset[[#This Row],[Email]])</f>
        <v>charlie.williams@example.com</v>
      </c>
      <c r="K701" t="str">
        <f>_xlfn.LET(
     _xlpm.p,TRIM(SUBSTITUTE(Employee_dataset[[#This Row],[Phone]],"-","")),
     IF(
        LEN(_xlpm.p)=10,_xlfn.CONCAT("("&amp;LEFT(_xlpm.p,3)&amp;") "&amp;MID(_xlpm.p,4,3)&amp;"-"&amp;RIGHT(_xlpm.p,4),"")
       )
     )</f>
        <v>(451) 017-3972</v>
      </c>
      <c r="L701" t="str">
        <f>TRIM(Employee_dataset[[#This Row],[Performance_Score]])</f>
        <v>Excellent</v>
      </c>
      <c r="M701" t="str">
        <f>TRIM(Employee_dataset[[#This Row],[Remote_Work]])</f>
        <v>FALSE</v>
      </c>
    </row>
    <row r="702" spans="1:13" x14ac:dyDescent="0.3">
      <c r="A702" t="str">
        <f>TRIM(Employee_dataset[[#This Row],[Employee_ID]])</f>
        <v>EMP1700</v>
      </c>
      <c r="B702" t="str">
        <f>PROPER(TRIM(Employee_dataset[[#This Row],[First_Name]]))</f>
        <v>Heidi</v>
      </c>
      <c r="C702" t="str">
        <f>PROPER(TRIM(Employee_dataset[[#This Row],[Last_Name]]))</f>
        <v>Johnson</v>
      </c>
      <c r="D702" s="6" t="str">
        <f>_xlfn.LET(
     _xlpm.a, TRIM(Employee_dataset[[#This Row],[Age]]),
     IF(
        _xlpm.a="","",
        IF(
           AND(ISNUMBER(--_xlpm.a),LEN(_xlpm.a)=2),_xlpm.a,""
          )
       )
    )</f>
        <v>25</v>
      </c>
      <c r="E702" t="str">
        <f>TRIM(_xlfn.TEXTBEFORE(Employee_dataset[[#This Row],[Department_Region]],"-"))</f>
        <v>DevOps</v>
      </c>
      <c r="F702" t="str">
        <f>TRIM(_xlfn.TEXTAFTER(Employee_dataset[[#This Row],[Department_Region]],"-"))</f>
        <v>Illinois</v>
      </c>
      <c r="G702" t="str">
        <f>TRIM(Employee_dataset[[#This Row],[Status]])</f>
        <v>Inactive</v>
      </c>
      <c r="H702" s="1">
        <f>_xlfn.LET(
     _xlpm.d, Employee_dataset[[#This Row],[Join_Date]],
     IF(
        ISNUMBER(_xlpm.d),_xlpm.d,""
       )
    )</f>
        <v>45333</v>
      </c>
      <c r="I702" s="6" t="str">
        <f>_xlfn.LET(
     _xlpm.s, TRIM(Employee_dataset[[#This Row],[Salary]]),
     IF(
        UPPER(_xlpm.s)="N/A","",
        IF(
           ISNUMBER(--_xlpm.s),ROUND(_xlfn.NUMBERVALUE(_xlpm.s),2),""
          )
       )
    )</f>
        <v/>
      </c>
      <c r="J702" t="str">
        <f>TRIM(Employee_dataset[[#This Row],[Email]])</f>
        <v>heidi.johnson@example.com</v>
      </c>
      <c r="K702" t="str">
        <f>_xlfn.LET(
     _xlpm.p,TRIM(SUBSTITUTE(Employee_dataset[[#This Row],[Phone]],"-","")),
     IF(
        LEN(_xlpm.p)=10,_xlfn.CONCAT("("&amp;LEFT(_xlpm.p,3)&amp;") "&amp;MID(_xlpm.p,4,3)&amp;"-"&amp;RIGHT(_xlpm.p,4),"")
       )
     )</f>
        <v>(964) 178-9968</v>
      </c>
      <c r="L702" t="str">
        <f>TRIM(Employee_dataset[[#This Row],[Performance_Score]])</f>
        <v>Good</v>
      </c>
      <c r="M702" t="str">
        <f>TRIM(Employee_dataset[[#This Row],[Remote_Work]])</f>
        <v>FALSE</v>
      </c>
    </row>
    <row r="703" spans="1:13" x14ac:dyDescent="0.3">
      <c r="A703" t="str">
        <f>TRIM(Employee_dataset[[#This Row],[Employee_ID]])</f>
        <v>EMP1701</v>
      </c>
      <c r="B703" t="str">
        <f>PROPER(TRIM(Employee_dataset[[#This Row],[First_Name]]))</f>
        <v>Frank</v>
      </c>
      <c r="C703" t="str">
        <f>PROPER(TRIM(Employee_dataset[[#This Row],[Last_Name]]))</f>
        <v>Garcia</v>
      </c>
      <c r="D703" s="6" t="str">
        <f>_xlfn.LET(
     _xlpm.a, TRIM(Employee_dataset[[#This Row],[Age]]),
     IF(
        _xlpm.a="","",
        IF(
           AND(ISNUMBER(--_xlpm.a),LEN(_xlpm.a)=2),_xlpm.a,""
          )
       )
    )</f>
        <v/>
      </c>
      <c r="E703" t="str">
        <f>TRIM(_xlfn.TEXTBEFORE(Employee_dataset[[#This Row],[Department_Region]],"-"))</f>
        <v>Admin</v>
      </c>
      <c r="F703" t="str">
        <f>TRIM(_xlfn.TEXTAFTER(Employee_dataset[[#This Row],[Department_Region]],"-"))</f>
        <v>California</v>
      </c>
      <c r="G703" t="str">
        <f>TRIM(Employee_dataset[[#This Row],[Status]])</f>
        <v>Pending</v>
      </c>
      <c r="H703" s="1">
        <f>_xlfn.LET(
     _xlpm.d, Employee_dataset[[#This Row],[Join_Date]],
     IF(
        ISNUMBER(_xlpm.d),_xlpm.d,""
       )
    )</f>
        <v>43960</v>
      </c>
      <c r="I703" s="6">
        <f>_xlfn.LET(
     _xlpm.s, TRIM(Employee_dataset[[#This Row],[Salary]]),
     IF(
        UPPER(_xlpm.s)="N/A","",
        IF(
           ISNUMBER(--_xlpm.s),ROUND(_xlfn.NUMBERVALUE(_xlpm.s),2),""
          )
       )
    )</f>
        <v>96080.26</v>
      </c>
      <c r="J703" t="str">
        <f>TRIM(Employee_dataset[[#This Row],[Email]])</f>
        <v>frank.garcia@example.com</v>
      </c>
      <c r="K703" t="str">
        <f>_xlfn.LET(
     _xlpm.p,TRIM(SUBSTITUTE(Employee_dataset[[#This Row],[Phone]],"-","")),
     IF(
        LEN(_xlpm.p)=10,_xlfn.CONCAT("("&amp;LEFT(_xlpm.p,3)&amp;") "&amp;MID(_xlpm.p,4,3)&amp;"-"&amp;RIGHT(_xlpm.p,4),"")
       )
     )</f>
        <v>(860) 919-1910</v>
      </c>
      <c r="L703" t="str">
        <f>TRIM(Employee_dataset[[#This Row],[Performance_Score]])</f>
        <v>Average</v>
      </c>
      <c r="M703" t="str">
        <f>TRIM(Employee_dataset[[#This Row],[Remote_Work]])</f>
        <v>FALSE</v>
      </c>
    </row>
    <row r="704" spans="1:13" x14ac:dyDescent="0.3">
      <c r="A704" t="str">
        <f>TRIM(Employee_dataset[[#This Row],[Employee_ID]])</f>
        <v>EMP1702</v>
      </c>
      <c r="B704" t="str">
        <f>PROPER(TRIM(Employee_dataset[[#This Row],[First_Name]]))</f>
        <v>Grace</v>
      </c>
      <c r="C704" t="str">
        <f>PROPER(TRIM(Employee_dataset[[#This Row],[Last_Name]]))</f>
        <v>Smith</v>
      </c>
      <c r="D704" s="6" t="str">
        <f>_xlfn.LET(
     _xlpm.a, TRIM(Employee_dataset[[#This Row],[Age]]),
     IF(
        _xlpm.a="","",
        IF(
           AND(ISNUMBER(--_xlpm.a),LEN(_xlpm.a)=2),_xlpm.a,""
          )
       )
    )</f>
        <v>30</v>
      </c>
      <c r="E704" t="str">
        <f>TRIM(_xlfn.TEXTBEFORE(Employee_dataset[[#This Row],[Department_Region]],"-"))</f>
        <v>Sales</v>
      </c>
      <c r="F704" t="str">
        <f>TRIM(_xlfn.TEXTAFTER(Employee_dataset[[#This Row],[Department_Region]],"-"))</f>
        <v>Nevada</v>
      </c>
      <c r="G704" t="str">
        <f>TRIM(Employee_dataset[[#This Row],[Status]])</f>
        <v>Inactive</v>
      </c>
      <c r="H704" s="1">
        <f>_xlfn.LET(
     _xlpm.d, Employee_dataset[[#This Row],[Join_Date]],
     IF(
        ISNUMBER(_xlpm.d),_xlpm.d,""
       )
    )</f>
        <v>45399</v>
      </c>
      <c r="I704" s="6">
        <f>_xlfn.LET(
     _xlpm.s, TRIM(Employee_dataset[[#This Row],[Salary]]),
     IF(
        UPPER(_xlpm.s)="N/A","",
        IF(
           ISNUMBER(--_xlpm.s),ROUND(_xlfn.NUMBERVALUE(_xlpm.s),2),""
          )
       )
    )</f>
        <v>88602.75</v>
      </c>
      <c r="J704" t="str">
        <f>TRIM(Employee_dataset[[#This Row],[Email]])</f>
        <v>grace.smith@example.com</v>
      </c>
      <c r="K704" t="str">
        <f>_xlfn.LET(
     _xlpm.p,TRIM(SUBSTITUTE(Employee_dataset[[#This Row],[Phone]],"-","")),
     IF(
        LEN(_xlpm.p)=10,_xlfn.CONCAT("("&amp;LEFT(_xlpm.p,3)&amp;") "&amp;MID(_xlpm.p,4,3)&amp;"-"&amp;RIGHT(_xlpm.p,4),"")
       )
     )</f>
        <v>(359) 966-0576</v>
      </c>
      <c r="L704" t="str">
        <f>TRIM(Employee_dataset[[#This Row],[Performance_Score]])</f>
        <v>Average</v>
      </c>
      <c r="M704" t="str">
        <f>TRIM(Employee_dataset[[#This Row],[Remote_Work]])</f>
        <v>TRUE</v>
      </c>
    </row>
    <row r="705" spans="1:13" x14ac:dyDescent="0.3">
      <c r="A705" t="str">
        <f>TRIM(Employee_dataset[[#This Row],[Employee_ID]])</f>
        <v>EMP1703</v>
      </c>
      <c r="B705" t="str">
        <f>PROPER(TRIM(Employee_dataset[[#This Row],[First_Name]]))</f>
        <v>Frank</v>
      </c>
      <c r="C705" t="str">
        <f>PROPER(TRIM(Employee_dataset[[#This Row],[Last_Name]]))</f>
        <v>Garcia</v>
      </c>
      <c r="D705" s="6" t="str">
        <f>_xlfn.LET(
     _xlpm.a, TRIM(Employee_dataset[[#This Row],[Age]]),
     IF(
        _xlpm.a="","",
        IF(
           AND(ISNUMBER(--_xlpm.a),LEN(_xlpm.a)=2),_xlpm.a,""
          )
       )
    )</f>
        <v>40</v>
      </c>
      <c r="E705" t="str">
        <f>TRIM(_xlfn.TEXTBEFORE(Employee_dataset[[#This Row],[Department_Region]],"-"))</f>
        <v>DevOps</v>
      </c>
      <c r="F705" t="str">
        <f>TRIM(_xlfn.TEXTAFTER(Employee_dataset[[#This Row],[Department_Region]],"-"))</f>
        <v>California</v>
      </c>
      <c r="G705" t="str">
        <f>TRIM(Employee_dataset[[#This Row],[Status]])</f>
        <v>Active</v>
      </c>
      <c r="H705" s="1">
        <f>_xlfn.LET(
     _xlpm.d, Employee_dataset[[#This Row],[Join_Date]],
     IF(
        ISNUMBER(_xlpm.d),_xlpm.d,""
       )
    )</f>
        <v>44028</v>
      </c>
      <c r="I705" s="6">
        <f>_xlfn.LET(
     _xlpm.s, TRIM(Employee_dataset[[#This Row],[Salary]]),
     IF(
        UPPER(_xlpm.s)="N/A","",
        IF(
           ISNUMBER(--_xlpm.s),ROUND(_xlfn.NUMBERVALUE(_xlpm.s),2),""
          )
       )
    )</f>
        <v>86624.04</v>
      </c>
      <c r="J705" t="str">
        <f>TRIM(Employee_dataset[[#This Row],[Email]])</f>
        <v>frank.garcia@example.com</v>
      </c>
      <c r="K705" t="str">
        <f>_xlfn.LET(
     _xlpm.p,TRIM(SUBSTITUTE(Employee_dataset[[#This Row],[Phone]],"-","")),
     IF(
        LEN(_xlpm.p)=10,_xlfn.CONCAT("("&amp;LEFT(_xlpm.p,3)&amp;") "&amp;MID(_xlpm.p,4,3)&amp;"-"&amp;RIGHT(_xlpm.p,4),"")
       )
     )</f>
        <v>(980) 660-3919</v>
      </c>
      <c r="L705" t="str">
        <f>TRIM(Employee_dataset[[#This Row],[Performance_Score]])</f>
        <v>Good</v>
      </c>
      <c r="M705" t="str">
        <f>TRIM(Employee_dataset[[#This Row],[Remote_Work]])</f>
        <v>TRUE</v>
      </c>
    </row>
    <row r="706" spans="1:13" x14ac:dyDescent="0.3">
      <c r="A706" t="str">
        <f>TRIM(Employee_dataset[[#This Row],[Employee_ID]])</f>
        <v>EMP1704</v>
      </c>
      <c r="B706" t="str">
        <f>PROPER(TRIM(Employee_dataset[[#This Row],[First_Name]]))</f>
        <v>Charlie</v>
      </c>
      <c r="C706" t="str">
        <f>PROPER(TRIM(Employee_dataset[[#This Row],[Last_Name]]))</f>
        <v>Jones</v>
      </c>
      <c r="D706" s="6" t="str">
        <f>_xlfn.LET(
     _xlpm.a, TRIM(Employee_dataset[[#This Row],[Age]]),
     IF(
        _xlpm.a="","",
        IF(
           AND(ISNUMBER(--_xlpm.a),LEN(_xlpm.a)=2),_xlpm.a,""
          )
       )
    )</f>
        <v>30</v>
      </c>
      <c r="E706" t="str">
        <f>TRIM(_xlfn.TEXTBEFORE(Employee_dataset[[#This Row],[Department_Region]],"-"))</f>
        <v>Cloud Tech</v>
      </c>
      <c r="F706" t="str">
        <f>TRIM(_xlfn.TEXTAFTER(Employee_dataset[[#This Row],[Department_Region]],"-"))</f>
        <v>New York</v>
      </c>
      <c r="G706" t="str">
        <f>TRIM(Employee_dataset[[#This Row],[Status]])</f>
        <v>Active</v>
      </c>
      <c r="H706" s="1">
        <f>_xlfn.LET(
     _xlpm.d, Employee_dataset[[#This Row],[Join_Date]],
     IF(
        ISNUMBER(_xlpm.d),_xlpm.d,""
       )
    )</f>
        <v>44825</v>
      </c>
      <c r="I706" s="6">
        <f>_xlfn.LET(
     _xlpm.s, TRIM(Employee_dataset[[#This Row],[Salary]]),
     IF(
        UPPER(_xlpm.s)="N/A","",
        IF(
           ISNUMBER(--_xlpm.s),ROUND(_xlfn.NUMBERVALUE(_xlpm.s),2),""
          )
       )
    )</f>
        <v>63413.16</v>
      </c>
      <c r="J706" t="str">
        <f>TRIM(Employee_dataset[[#This Row],[Email]])</f>
        <v>charlie.jones@example.com</v>
      </c>
      <c r="K706" t="str">
        <f>_xlfn.LET(
     _xlpm.p,TRIM(SUBSTITUTE(Employee_dataset[[#This Row],[Phone]],"-","")),
     IF(
        LEN(_xlpm.p)=10,_xlfn.CONCAT("("&amp;LEFT(_xlpm.p,3)&amp;") "&amp;MID(_xlpm.p,4,3)&amp;"-"&amp;RIGHT(_xlpm.p,4),"")
       )
     )</f>
        <v>(514) 607-4554</v>
      </c>
      <c r="L706" t="str">
        <f>TRIM(Employee_dataset[[#This Row],[Performance_Score]])</f>
        <v>Good</v>
      </c>
      <c r="M706" t="str">
        <f>TRIM(Employee_dataset[[#This Row],[Remote_Work]])</f>
        <v>TRUE</v>
      </c>
    </row>
    <row r="707" spans="1:13" x14ac:dyDescent="0.3">
      <c r="A707" t="str">
        <f>TRIM(Employee_dataset[[#This Row],[Employee_ID]])</f>
        <v>EMP1705</v>
      </c>
      <c r="B707" t="str">
        <f>PROPER(TRIM(Employee_dataset[[#This Row],[First_Name]]))</f>
        <v>Grace</v>
      </c>
      <c r="C707" t="str">
        <f>PROPER(TRIM(Employee_dataset[[#This Row],[Last_Name]]))</f>
        <v>Jones</v>
      </c>
      <c r="D707" s="6" t="str">
        <f>_xlfn.LET(
     _xlpm.a, TRIM(Employee_dataset[[#This Row],[Age]]),
     IF(
        _xlpm.a="","",
        IF(
           AND(ISNUMBER(--_xlpm.a),LEN(_xlpm.a)=2),_xlpm.a,""
          )
       )
    )</f>
        <v>40</v>
      </c>
      <c r="E707" t="str">
        <f>TRIM(_xlfn.TEXTBEFORE(Employee_dataset[[#This Row],[Department_Region]],"-"))</f>
        <v>Sales</v>
      </c>
      <c r="F707" t="str">
        <f>TRIM(_xlfn.TEXTAFTER(Employee_dataset[[#This Row],[Department_Region]],"-"))</f>
        <v>Illinois</v>
      </c>
      <c r="G707" t="str">
        <f>TRIM(Employee_dataset[[#This Row],[Status]])</f>
        <v>Pending</v>
      </c>
      <c r="H707" s="1">
        <f>_xlfn.LET(
     _xlpm.d, Employee_dataset[[#This Row],[Join_Date]],
     IF(
        ISNUMBER(_xlpm.d),_xlpm.d,""
       )
    )</f>
        <v>45039</v>
      </c>
      <c r="I707" s="6">
        <f>_xlfn.LET(
     _xlpm.s, TRIM(Employee_dataset[[#This Row],[Salary]]),
     IF(
        UPPER(_xlpm.s)="N/A","",
        IF(
           ISNUMBER(--_xlpm.s),ROUND(_xlfn.NUMBERVALUE(_xlpm.s),2),""
          )
       )
    )</f>
        <v>67915.7</v>
      </c>
      <c r="J707" t="str">
        <f>TRIM(Employee_dataset[[#This Row],[Email]])</f>
        <v>grace.jones@example.com</v>
      </c>
      <c r="K707" t="str">
        <f>_xlfn.LET(
     _xlpm.p,TRIM(SUBSTITUTE(Employee_dataset[[#This Row],[Phone]],"-","")),
     IF(
        LEN(_xlpm.p)=10,_xlfn.CONCAT("("&amp;LEFT(_xlpm.p,3)&amp;") "&amp;MID(_xlpm.p,4,3)&amp;"-"&amp;RIGHT(_xlpm.p,4),"")
       )
     )</f>
        <v>(347) 057-4237</v>
      </c>
      <c r="L707" t="str">
        <f>TRIM(Employee_dataset[[#This Row],[Performance_Score]])</f>
        <v>Good</v>
      </c>
      <c r="M707" t="str">
        <f>TRIM(Employee_dataset[[#This Row],[Remote_Work]])</f>
        <v>FALSE</v>
      </c>
    </row>
    <row r="708" spans="1:13" x14ac:dyDescent="0.3">
      <c r="A708" t="str">
        <f>TRIM(Employee_dataset[[#This Row],[Employee_ID]])</f>
        <v>EMP1706</v>
      </c>
      <c r="B708" t="str">
        <f>PROPER(TRIM(Employee_dataset[[#This Row],[First_Name]]))</f>
        <v>Bob</v>
      </c>
      <c r="C708" t="str">
        <f>PROPER(TRIM(Employee_dataset[[#This Row],[Last_Name]]))</f>
        <v>Brown</v>
      </c>
      <c r="D708" s="6" t="str">
        <f>_xlfn.LET(
     _xlpm.a, TRIM(Employee_dataset[[#This Row],[Age]]),
     IF(
        _xlpm.a="","",
        IF(
           AND(ISNUMBER(--_xlpm.a),LEN(_xlpm.a)=2),_xlpm.a,""
          )
       )
    )</f>
        <v>25</v>
      </c>
      <c r="E708" t="str">
        <f>TRIM(_xlfn.TEXTBEFORE(Employee_dataset[[#This Row],[Department_Region]],"-"))</f>
        <v>Admin</v>
      </c>
      <c r="F708" t="str">
        <f>TRIM(_xlfn.TEXTAFTER(Employee_dataset[[#This Row],[Department_Region]],"-"))</f>
        <v>Nevada</v>
      </c>
      <c r="G708" t="str">
        <f>TRIM(Employee_dataset[[#This Row],[Status]])</f>
        <v>Inactive</v>
      </c>
      <c r="H708" s="1">
        <f>_xlfn.LET(
     _xlpm.d, Employee_dataset[[#This Row],[Join_Date]],
     IF(
        ISNUMBER(_xlpm.d),_xlpm.d,""
       )
    )</f>
        <v>45653</v>
      </c>
      <c r="I708" s="6">
        <f>_xlfn.LET(
     _xlpm.s, TRIM(Employee_dataset[[#This Row],[Salary]]),
     IF(
        UPPER(_xlpm.s)="N/A","",
        IF(
           ISNUMBER(--_xlpm.s),ROUND(_xlfn.NUMBERVALUE(_xlpm.s),2),""
          )
       )
    )</f>
        <v>108245.44</v>
      </c>
      <c r="J708" t="str">
        <f>TRIM(Employee_dataset[[#This Row],[Email]])</f>
        <v>bob.brown@example.com</v>
      </c>
      <c r="K708" t="str">
        <f>_xlfn.LET(
     _xlpm.p,TRIM(SUBSTITUTE(Employee_dataset[[#This Row],[Phone]],"-","")),
     IF(
        LEN(_xlpm.p)=10,_xlfn.CONCAT("("&amp;LEFT(_xlpm.p,3)&amp;") "&amp;MID(_xlpm.p,4,3)&amp;"-"&amp;RIGHT(_xlpm.p,4),"")
       )
     )</f>
        <v>(856) 527-1558</v>
      </c>
      <c r="L708" t="str">
        <f>TRIM(Employee_dataset[[#This Row],[Performance_Score]])</f>
        <v>Poor</v>
      </c>
      <c r="M708" t="str">
        <f>TRIM(Employee_dataset[[#This Row],[Remote_Work]])</f>
        <v>TRUE</v>
      </c>
    </row>
    <row r="709" spans="1:13" x14ac:dyDescent="0.3">
      <c r="A709" t="str">
        <f>TRIM(Employee_dataset[[#This Row],[Employee_ID]])</f>
        <v>EMP1707</v>
      </c>
      <c r="B709" t="str">
        <f>PROPER(TRIM(Employee_dataset[[#This Row],[First_Name]]))</f>
        <v>Alice</v>
      </c>
      <c r="C709" t="str">
        <f>PROPER(TRIM(Employee_dataset[[#This Row],[Last_Name]]))</f>
        <v>Garcia</v>
      </c>
      <c r="D709" s="6" t="str">
        <f>_xlfn.LET(
     _xlpm.a, TRIM(Employee_dataset[[#This Row],[Age]]),
     IF(
        _xlpm.a="","",
        IF(
           AND(ISNUMBER(--_xlpm.a),LEN(_xlpm.a)=2),_xlpm.a,""
          )
       )
    )</f>
        <v>35</v>
      </c>
      <c r="E709" t="str">
        <f>TRIM(_xlfn.TEXTBEFORE(Employee_dataset[[#This Row],[Department_Region]],"-"))</f>
        <v>Sales</v>
      </c>
      <c r="F709" t="str">
        <f>TRIM(_xlfn.TEXTAFTER(Employee_dataset[[#This Row],[Department_Region]],"-"))</f>
        <v>Nevada</v>
      </c>
      <c r="G709" t="str">
        <f>TRIM(Employee_dataset[[#This Row],[Status]])</f>
        <v>Inactive</v>
      </c>
      <c r="H709" s="1">
        <f>_xlfn.LET(
     _xlpm.d, Employee_dataset[[#This Row],[Join_Date]],
     IF(
        ISNUMBER(_xlpm.d),_xlpm.d,""
       )
    )</f>
        <v>45514</v>
      </c>
      <c r="I709" s="6">
        <f>_xlfn.LET(
     _xlpm.s, TRIM(Employee_dataset[[#This Row],[Salary]]),
     IF(
        UPPER(_xlpm.s)="N/A","",
        IF(
           ISNUMBER(--_xlpm.s),ROUND(_xlfn.NUMBERVALUE(_xlpm.s),2),""
          )
       )
    )</f>
        <v>75834.81</v>
      </c>
      <c r="J709" t="str">
        <f>TRIM(Employee_dataset[[#This Row],[Email]])</f>
        <v>alice.garcia@example.com</v>
      </c>
      <c r="K709" t="str">
        <f>_xlfn.LET(
     _xlpm.p,TRIM(SUBSTITUTE(Employee_dataset[[#This Row],[Phone]],"-","")),
     IF(
        LEN(_xlpm.p)=10,_xlfn.CONCAT("("&amp;LEFT(_xlpm.p,3)&amp;") "&amp;MID(_xlpm.p,4,3)&amp;"-"&amp;RIGHT(_xlpm.p,4),"")
       )
     )</f>
        <v>(835) 411-6596</v>
      </c>
      <c r="L709" t="str">
        <f>TRIM(Employee_dataset[[#This Row],[Performance_Score]])</f>
        <v>Excellent</v>
      </c>
      <c r="M709" t="str">
        <f>TRIM(Employee_dataset[[#This Row],[Remote_Work]])</f>
        <v>TRUE</v>
      </c>
    </row>
    <row r="710" spans="1:13" x14ac:dyDescent="0.3">
      <c r="A710" t="str">
        <f>TRIM(Employee_dataset[[#This Row],[Employee_ID]])</f>
        <v>EMP1708</v>
      </c>
      <c r="B710" t="str">
        <f>PROPER(TRIM(Employee_dataset[[#This Row],[First_Name]]))</f>
        <v>Eva</v>
      </c>
      <c r="C710" t="str">
        <f>PROPER(TRIM(Employee_dataset[[#This Row],[Last_Name]]))</f>
        <v>Garcia</v>
      </c>
      <c r="D710" s="6" t="str">
        <f>_xlfn.LET(
     _xlpm.a, TRIM(Employee_dataset[[#This Row],[Age]]),
     IF(
        _xlpm.a="","",
        IF(
           AND(ISNUMBER(--_xlpm.a),LEN(_xlpm.a)=2),_xlpm.a,""
          )
       )
    )</f>
        <v/>
      </c>
      <c r="E710" t="str">
        <f>TRIM(_xlfn.TEXTBEFORE(Employee_dataset[[#This Row],[Department_Region]],"-"))</f>
        <v>Cloud Tech</v>
      </c>
      <c r="F710" t="str">
        <f>TRIM(_xlfn.TEXTAFTER(Employee_dataset[[#This Row],[Department_Region]],"-"))</f>
        <v>Nevada</v>
      </c>
      <c r="G710" t="str">
        <f>TRIM(Employee_dataset[[#This Row],[Status]])</f>
        <v>Active</v>
      </c>
      <c r="H710" s="1">
        <f>_xlfn.LET(
     _xlpm.d, Employee_dataset[[#This Row],[Join_Date]],
     IF(
        ISNUMBER(_xlpm.d),_xlpm.d,""
       )
    )</f>
        <v>45539</v>
      </c>
      <c r="I710" s="6">
        <f>_xlfn.LET(
     _xlpm.s, TRIM(Employee_dataset[[#This Row],[Salary]]),
     IF(
        UPPER(_xlpm.s)="N/A","",
        IF(
           ISNUMBER(--_xlpm.s),ROUND(_xlfn.NUMBERVALUE(_xlpm.s),2),""
          )
       )
    )</f>
        <v>71273.320000000007</v>
      </c>
      <c r="J710" t="str">
        <f>TRIM(Employee_dataset[[#This Row],[Email]])</f>
        <v>eva.garcia@example.com</v>
      </c>
      <c r="K710" t="str">
        <f>_xlfn.LET(
     _xlpm.p,TRIM(SUBSTITUTE(Employee_dataset[[#This Row],[Phone]],"-","")),
     IF(
        LEN(_xlpm.p)=10,_xlfn.CONCAT("("&amp;LEFT(_xlpm.p,3)&amp;") "&amp;MID(_xlpm.p,4,3)&amp;"-"&amp;RIGHT(_xlpm.p,4),"")
       )
     )</f>
        <v>(263) 475-5751</v>
      </c>
      <c r="L710" t="str">
        <f>TRIM(Employee_dataset[[#This Row],[Performance_Score]])</f>
        <v>Good</v>
      </c>
      <c r="M710" t="str">
        <f>TRIM(Employee_dataset[[#This Row],[Remote_Work]])</f>
        <v>FALSE</v>
      </c>
    </row>
    <row r="711" spans="1:13" x14ac:dyDescent="0.3">
      <c r="A711" t="str">
        <f>TRIM(Employee_dataset[[#This Row],[Employee_ID]])</f>
        <v>EMP1709</v>
      </c>
      <c r="B711" t="str">
        <f>PROPER(TRIM(Employee_dataset[[#This Row],[First_Name]]))</f>
        <v>Bob</v>
      </c>
      <c r="C711" t="str">
        <f>PROPER(TRIM(Employee_dataset[[#This Row],[Last_Name]]))</f>
        <v>Garcia</v>
      </c>
      <c r="D711" s="6" t="str">
        <f>_xlfn.LET(
     _xlpm.a, TRIM(Employee_dataset[[#This Row],[Age]]),
     IF(
        _xlpm.a="","",
        IF(
           AND(ISNUMBER(--_xlpm.a),LEN(_xlpm.a)=2),_xlpm.a,""
          )
       )
    )</f>
        <v>25</v>
      </c>
      <c r="E711" t="str">
        <f>TRIM(_xlfn.TEXTBEFORE(Employee_dataset[[#This Row],[Department_Region]],"-"))</f>
        <v>DevOps</v>
      </c>
      <c r="F711" t="str">
        <f>TRIM(_xlfn.TEXTAFTER(Employee_dataset[[#This Row],[Department_Region]],"-"))</f>
        <v>New York</v>
      </c>
      <c r="G711" t="str">
        <f>TRIM(Employee_dataset[[#This Row],[Status]])</f>
        <v>Pending</v>
      </c>
      <c r="H711" s="1">
        <f>_xlfn.LET(
     _xlpm.d, Employee_dataset[[#This Row],[Join_Date]],
     IF(
        ISNUMBER(_xlpm.d),_xlpm.d,""
       )
    )</f>
        <v>44620</v>
      </c>
      <c r="I711" s="6">
        <f>_xlfn.LET(
     _xlpm.s, TRIM(Employee_dataset[[#This Row],[Salary]]),
     IF(
        UPPER(_xlpm.s)="N/A","",
        IF(
           ISNUMBER(--_xlpm.s),ROUND(_xlfn.NUMBERVALUE(_xlpm.s),2),""
          )
       )
    )</f>
        <v>63262.23</v>
      </c>
      <c r="J711" t="str">
        <f>TRIM(Employee_dataset[[#This Row],[Email]])</f>
        <v>bob.garcia@example.com</v>
      </c>
      <c r="K711" t="str">
        <f>_xlfn.LET(
     _xlpm.p,TRIM(SUBSTITUTE(Employee_dataset[[#This Row],[Phone]],"-","")),
     IF(
        LEN(_xlpm.p)=10,_xlfn.CONCAT("("&amp;LEFT(_xlpm.p,3)&amp;") "&amp;MID(_xlpm.p,4,3)&amp;"-"&amp;RIGHT(_xlpm.p,4),"")
       )
     )</f>
        <v>(250) 139-4883</v>
      </c>
      <c r="L711" t="str">
        <f>TRIM(Employee_dataset[[#This Row],[Performance_Score]])</f>
        <v>Good</v>
      </c>
      <c r="M711" t="str">
        <f>TRIM(Employee_dataset[[#This Row],[Remote_Work]])</f>
        <v>FALSE</v>
      </c>
    </row>
    <row r="712" spans="1:13" x14ac:dyDescent="0.3">
      <c r="A712" t="str">
        <f>TRIM(Employee_dataset[[#This Row],[Employee_ID]])</f>
        <v>EMP1710</v>
      </c>
      <c r="B712" t="str">
        <f>PROPER(TRIM(Employee_dataset[[#This Row],[First_Name]]))</f>
        <v>David</v>
      </c>
      <c r="C712" t="str">
        <f>PROPER(TRIM(Employee_dataset[[#This Row],[Last_Name]]))</f>
        <v>Davis</v>
      </c>
      <c r="D712" s="6" t="str">
        <f>_xlfn.LET(
     _xlpm.a, TRIM(Employee_dataset[[#This Row],[Age]]),
     IF(
        _xlpm.a="","",
        IF(
           AND(ISNUMBER(--_xlpm.a),LEN(_xlpm.a)=2),_xlpm.a,""
          )
       )
    )</f>
        <v/>
      </c>
      <c r="E712" t="str">
        <f>TRIM(_xlfn.TEXTBEFORE(Employee_dataset[[#This Row],[Department_Region]],"-"))</f>
        <v>DevOps</v>
      </c>
      <c r="F712" t="str">
        <f>TRIM(_xlfn.TEXTAFTER(Employee_dataset[[#This Row],[Department_Region]],"-"))</f>
        <v>New York</v>
      </c>
      <c r="G712" t="str">
        <f>TRIM(Employee_dataset[[#This Row],[Status]])</f>
        <v>Pending</v>
      </c>
      <c r="H712" s="1">
        <f>_xlfn.LET(
     _xlpm.d, Employee_dataset[[#This Row],[Join_Date]],
     IF(
        ISNUMBER(_xlpm.d),_xlpm.d,""
       )
    )</f>
        <v>45365</v>
      </c>
      <c r="I712" s="6">
        <f>_xlfn.LET(
     _xlpm.s, TRIM(Employee_dataset[[#This Row],[Salary]]),
     IF(
        UPPER(_xlpm.s)="N/A","",
        IF(
           ISNUMBER(--_xlpm.s),ROUND(_xlfn.NUMBERVALUE(_xlpm.s),2),""
          )
       )
    )</f>
        <v>89069.91</v>
      </c>
      <c r="J712" t="str">
        <f>TRIM(Employee_dataset[[#This Row],[Email]])</f>
        <v>david.davis@example.com</v>
      </c>
      <c r="K712" t="str">
        <f>_xlfn.LET(
     _xlpm.p,TRIM(SUBSTITUTE(Employee_dataset[[#This Row],[Phone]],"-","")),
     IF(
        LEN(_xlpm.p)=10,_xlfn.CONCAT("("&amp;LEFT(_xlpm.p,3)&amp;") "&amp;MID(_xlpm.p,4,3)&amp;"-"&amp;RIGHT(_xlpm.p,4),"")
       )
     )</f>
        <v>(882) 691-3118</v>
      </c>
      <c r="L712" t="str">
        <f>TRIM(Employee_dataset[[#This Row],[Performance_Score]])</f>
        <v>Good</v>
      </c>
      <c r="M712" t="str">
        <f>TRIM(Employee_dataset[[#This Row],[Remote_Work]])</f>
        <v>FALSE</v>
      </c>
    </row>
    <row r="713" spans="1:13" x14ac:dyDescent="0.3">
      <c r="A713" t="str">
        <f>TRIM(Employee_dataset[[#This Row],[Employee_ID]])</f>
        <v>EMP1711</v>
      </c>
      <c r="B713" t="str">
        <f>PROPER(TRIM(Employee_dataset[[#This Row],[First_Name]]))</f>
        <v>Frank</v>
      </c>
      <c r="C713" t="str">
        <f>PROPER(TRIM(Employee_dataset[[#This Row],[Last_Name]]))</f>
        <v>Johnson</v>
      </c>
      <c r="D713" s="6" t="str">
        <f>_xlfn.LET(
     _xlpm.a, TRIM(Employee_dataset[[#This Row],[Age]]),
     IF(
        _xlpm.a="","",
        IF(
           AND(ISNUMBER(--_xlpm.a),LEN(_xlpm.a)=2),_xlpm.a,""
          )
       )
    )</f>
        <v>40</v>
      </c>
      <c r="E713" t="str">
        <f>TRIM(_xlfn.TEXTBEFORE(Employee_dataset[[#This Row],[Department_Region]],"-"))</f>
        <v>DevOps</v>
      </c>
      <c r="F713" t="str">
        <f>TRIM(_xlfn.TEXTAFTER(Employee_dataset[[#This Row],[Department_Region]],"-"))</f>
        <v>Nevada</v>
      </c>
      <c r="G713" t="str">
        <f>TRIM(Employee_dataset[[#This Row],[Status]])</f>
        <v>Inactive</v>
      </c>
      <c r="H713" s="1">
        <f>_xlfn.LET(
     _xlpm.d, Employee_dataset[[#This Row],[Join_Date]],
     IF(
        ISNUMBER(_xlpm.d),_xlpm.d,""
       )
    )</f>
        <v>45639</v>
      </c>
      <c r="I713" s="6">
        <f>_xlfn.LET(
     _xlpm.s, TRIM(Employee_dataset[[#This Row],[Salary]]),
     IF(
        UPPER(_xlpm.s)="N/A","",
        IF(
           ISNUMBER(--_xlpm.s),ROUND(_xlfn.NUMBERVALUE(_xlpm.s),2),""
          )
       )
    )</f>
        <v>57287.17</v>
      </c>
      <c r="J713" t="str">
        <f>TRIM(Employee_dataset[[#This Row],[Email]])</f>
        <v>frank.johnson@example.com</v>
      </c>
      <c r="K713" t="str">
        <f>_xlfn.LET(
     _xlpm.p,TRIM(SUBSTITUTE(Employee_dataset[[#This Row],[Phone]],"-","")),
     IF(
        LEN(_xlpm.p)=10,_xlfn.CONCAT("("&amp;LEFT(_xlpm.p,3)&amp;") "&amp;MID(_xlpm.p,4,3)&amp;"-"&amp;RIGHT(_xlpm.p,4),"")
       )
     )</f>
        <v>(642) 585-6260</v>
      </c>
      <c r="L713" t="str">
        <f>TRIM(Employee_dataset[[#This Row],[Performance_Score]])</f>
        <v>Average</v>
      </c>
      <c r="M713" t="str">
        <f>TRIM(Employee_dataset[[#This Row],[Remote_Work]])</f>
        <v>TRUE</v>
      </c>
    </row>
    <row r="714" spans="1:13" x14ac:dyDescent="0.3">
      <c r="A714" t="str">
        <f>TRIM(Employee_dataset[[#This Row],[Employee_ID]])</f>
        <v>EMP1712</v>
      </c>
      <c r="B714" t="str">
        <f>PROPER(TRIM(Employee_dataset[[#This Row],[First_Name]]))</f>
        <v>Grace</v>
      </c>
      <c r="C714" t="str">
        <f>PROPER(TRIM(Employee_dataset[[#This Row],[Last_Name]]))</f>
        <v>Smith</v>
      </c>
      <c r="D714" s="6" t="str">
        <f>_xlfn.LET(
     _xlpm.a, TRIM(Employee_dataset[[#This Row],[Age]]),
     IF(
        _xlpm.a="","",
        IF(
           AND(ISNUMBER(--_xlpm.a),LEN(_xlpm.a)=2),_xlpm.a,""
          )
       )
    )</f>
        <v/>
      </c>
      <c r="E714" t="str">
        <f>TRIM(_xlfn.TEXTBEFORE(Employee_dataset[[#This Row],[Department_Region]],"-"))</f>
        <v>HR</v>
      </c>
      <c r="F714" t="str">
        <f>TRIM(_xlfn.TEXTAFTER(Employee_dataset[[#This Row],[Department_Region]],"-"))</f>
        <v>Nevada</v>
      </c>
      <c r="G714" t="str">
        <f>TRIM(Employee_dataset[[#This Row],[Status]])</f>
        <v>Active</v>
      </c>
      <c r="H714" s="1">
        <f>_xlfn.LET(
     _xlpm.d, Employee_dataset[[#This Row],[Join_Date]],
     IF(
        ISNUMBER(_xlpm.d),_xlpm.d,""
       )
    )</f>
        <v>44924</v>
      </c>
      <c r="I714" s="6">
        <f>_xlfn.LET(
     _xlpm.s, TRIM(Employee_dataset[[#This Row],[Salary]]),
     IF(
        UPPER(_xlpm.s)="N/A","",
        IF(
           ISNUMBER(--_xlpm.s),ROUND(_xlfn.NUMBERVALUE(_xlpm.s),2),""
          )
       )
    )</f>
        <v>119890.35</v>
      </c>
      <c r="J714" t="str">
        <f>TRIM(Employee_dataset[[#This Row],[Email]])</f>
        <v>grace.smith@example.com</v>
      </c>
      <c r="K714" t="str">
        <f>_xlfn.LET(
     _xlpm.p,TRIM(SUBSTITUTE(Employee_dataset[[#This Row],[Phone]],"-","")),
     IF(
        LEN(_xlpm.p)=10,_xlfn.CONCAT("("&amp;LEFT(_xlpm.p,3)&amp;") "&amp;MID(_xlpm.p,4,3)&amp;"-"&amp;RIGHT(_xlpm.p,4),"")
       )
     )</f>
        <v>(499) 153-7037</v>
      </c>
      <c r="L714" t="str">
        <f>TRIM(Employee_dataset[[#This Row],[Performance_Score]])</f>
        <v>Average</v>
      </c>
      <c r="M714" t="str">
        <f>TRIM(Employee_dataset[[#This Row],[Remote_Work]])</f>
        <v>TRUE</v>
      </c>
    </row>
    <row r="715" spans="1:13" x14ac:dyDescent="0.3">
      <c r="A715" t="str">
        <f>TRIM(Employee_dataset[[#This Row],[Employee_ID]])</f>
        <v>EMP1713</v>
      </c>
      <c r="B715" t="str">
        <f>PROPER(TRIM(Employee_dataset[[#This Row],[First_Name]]))</f>
        <v>Frank</v>
      </c>
      <c r="C715" t="str">
        <f>PROPER(TRIM(Employee_dataset[[#This Row],[Last_Name]]))</f>
        <v>Brown</v>
      </c>
      <c r="D715" s="6" t="str">
        <f>_xlfn.LET(
     _xlpm.a, TRIM(Employee_dataset[[#This Row],[Age]]),
     IF(
        _xlpm.a="","",
        IF(
           AND(ISNUMBER(--_xlpm.a),LEN(_xlpm.a)=2),_xlpm.a,""
          )
       )
    )</f>
        <v>35</v>
      </c>
      <c r="E715" t="str">
        <f>TRIM(_xlfn.TEXTBEFORE(Employee_dataset[[#This Row],[Department_Region]],"-"))</f>
        <v>Sales</v>
      </c>
      <c r="F715" t="str">
        <f>TRIM(_xlfn.TEXTAFTER(Employee_dataset[[#This Row],[Department_Region]],"-"))</f>
        <v>California</v>
      </c>
      <c r="G715" t="str">
        <f>TRIM(Employee_dataset[[#This Row],[Status]])</f>
        <v>Inactive</v>
      </c>
      <c r="H715" s="1">
        <f>_xlfn.LET(
     _xlpm.d, Employee_dataset[[#This Row],[Join_Date]],
     IF(
        ISNUMBER(_xlpm.d),_xlpm.d,""
       )
    )</f>
        <v>44675</v>
      </c>
      <c r="I715" s="6">
        <f>_xlfn.LET(
     _xlpm.s, TRIM(Employee_dataset[[#This Row],[Salary]]),
     IF(
        UPPER(_xlpm.s)="N/A","",
        IF(
           ISNUMBER(--_xlpm.s),ROUND(_xlfn.NUMBERVALUE(_xlpm.s),2),""
          )
       )
    )</f>
        <v>103492.91</v>
      </c>
      <c r="J715" t="str">
        <f>TRIM(Employee_dataset[[#This Row],[Email]])</f>
        <v>frank.brown@example.com</v>
      </c>
      <c r="K715" t="str">
        <f>_xlfn.LET(
     _xlpm.p,TRIM(SUBSTITUTE(Employee_dataset[[#This Row],[Phone]],"-","")),
     IF(
        LEN(_xlpm.p)=10,_xlfn.CONCAT("("&amp;LEFT(_xlpm.p,3)&amp;") "&amp;MID(_xlpm.p,4,3)&amp;"-"&amp;RIGHT(_xlpm.p,4),"")
       )
     )</f>
        <v>(240) 733-3372</v>
      </c>
      <c r="L715" t="str">
        <f>TRIM(Employee_dataset[[#This Row],[Performance_Score]])</f>
        <v>Poor</v>
      </c>
      <c r="M715" t="str">
        <f>TRIM(Employee_dataset[[#This Row],[Remote_Work]])</f>
        <v>FALSE</v>
      </c>
    </row>
    <row r="716" spans="1:13" x14ac:dyDescent="0.3">
      <c r="A716" t="str">
        <f>TRIM(Employee_dataset[[#This Row],[Employee_ID]])</f>
        <v>EMP1714</v>
      </c>
      <c r="B716" t="str">
        <f>PROPER(TRIM(Employee_dataset[[#This Row],[First_Name]]))</f>
        <v>Frank</v>
      </c>
      <c r="C716" t="str">
        <f>PROPER(TRIM(Employee_dataset[[#This Row],[Last_Name]]))</f>
        <v>Garcia</v>
      </c>
      <c r="D716" s="6" t="str">
        <f>_xlfn.LET(
     _xlpm.a, TRIM(Employee_dataset[[#This Row],[Age]]),
     IF(
        _xlpm.a="","",
        IF(
           AND(ISNUMBER(--_xlpm.a),LEN(_xlpm.a)=2),_xlpm.a,""
          )
       )
    )</f>
        <v/>
      </c>
      <c r="E716" t="str">
        <f>TRIM(_xlfn.TEXTBEFORE(Employee_dataset[[#This Row],[Department_Region]],"-"))</f>
        <v>Admin</v>
      </c>
      <c r="F716" t="str">
        <f>TRIM(_xlfn.TEXTAFTER(Employee_dataset[[#This Row],[Department_Region]],"-"))</f>
        <v>Illinois</v>
      </c>
      <c r="G716" t="str">
        <f>TRIM(Employee_dataset[[#This Row],[Status]])</f>
        <v>Pending</v>
      </c>
      <c r="H716" s="1">
        <f>_xlfn.LET(
     _xlpm.d, Employee_dataset[[#This Row],[Join_Date]],
     IF(
        ISNUMBER(_xlpm.d),_xlpm.d,""
       )
    )</f>
        <v>44269</v>
      </c>
      <c r="I716" s="6">
        <f>_xlfn.LET(
     _xlpm.s, TRIM(Employee_dataset[[#This Row],[Salary]]),
     IF(
        UPPER(_xlpm.s)="N/A","",
        IF(
           ISNUMBER(--_xlpm.s),ROUND(_xlfn.NUMBERVALUE(_xlpm.s),2),""
          )
       )
    )</f>
        <v>76254.42</v>
      </c>
      <c r="J716" t="str">
        <f>TRIM(Employee_dataset[[#This Row],[Email]])</f>
        <v>frank.garcia@example.com</v>
      </c>
      <c r="K716" t="str">
        <f>_xlfn.LET(
     _xlpm.p,TRIM(SUBSTITUTE(Employee_dataset[[#This Row],[Phone]],"-","")),
     IF(
        LEN(_xlpm.p)=10,_xlfn.CONCAT("("&amp;LEFT(_xlpm.p,3)&amp;") "&amp;MID(_xlpm.p,4,3)&amp;"-"&amp;RIGHT(_xlpm.p,4),"")
       )
     )</f>
        <v>(204) 309-7767</v>
      </c>
      <c r="L716" t="str">
        <f>TRIM(Employee_dataset[[#This Row],[Performance_Score]])</f>
        <v>Excellent</v>
      </c>
      <c r="M716" t="str">
        <f>TRIM(Employee_dataset[[#This Row],[Remote_Work]])</f>
        <v>FALSE</v>
      </c>
    </row>
    <row r="717" spans="1:13" x14ac:dyDescent="0.3">
      <c r="A717" t="str">
        <f>TRIM(Employee_dataset[[#This Row],[Employee_ID]])</f>
        <v>EMP1715</v>
      </c>
      <c r="B717" t="str">
        <f>PROPER(TRIM(Employee_dataset[[#This Row],[First_Name]]))</f>
        <v>Eva</v>
      </c>
      <c r="C717" t="str">
        <f>PROPER(TRIM(Employee_dataset[[#This Row],[Last_Name]]))</f>
        <v>Garcia</v>
      </c>
      <c r="D717" s="6" t="str">
        <f>_xlfn.LET(
     _xlpm.a, TRIM(Employee_dataset[[#This Row],[Age]]),
     IF(
        _xlpm.a="","",
        IF(
           AND(ISNUMBER(--_xlpm.a),LEN(_xlpm.a)=2),_xlpm.a,""
          )
       )
    )</f>
        <v>35</v>
      </c>
      <c r="E717" t="str">
        <f>TRIM(_xlfn.TEXTBEFORE(Employee_dataset[[#This Row],[Department_Region]],"-"))</f>
        <v>Finance</v>
      </c>
      <c r="F717" t="str">
        <f>TRIM(_xlfn.TEXTAFTER(Employee_dataset[[#This Row],[Department_Region]],"-"))</f>
        <v>Florida</v>
      </c>
      <c r="G717" t="str">
        <f>TRIM(Employee_dataset[[#This Row],[Status]])</f>
        <v>Inactive</v>
      </c>
      <c r="H717" s="1">
        <f>_xlfn.LET(
     _xlpm.d, Employee_dataset[[#This Row],[Join_Date]],
     IF(
        ISNUMBER(_xlpm.d),_xlpm.d,""
       )
    )</f>
        <v>43831</v>
      </c>
      <c r="I717" s="6">
        <f>_xlfn.LET(
     _xlpm.s, TRIM(Employee_dataset[[#This Row],[Salary]]),
     IF(
        UPPER(_xlpm.s)="N/A","",
        IF(
           ISNUMBER(--_xlpm.s),ROUND(_xlfn.NUMBERVALUE(_xlpm.s),2),""
          )
       )
    )</f>
        <v>100841.93</v>
      </c>
      <c r="J717" t="str">
        <f>TRIM(Employee_dataset[[#This Row],[Email]])</f>
        <v>eva.garcia@example.com</v>
      </c>
      <c r="K717" t="str">
        <f>_xlfn.LET(
     _xlpm.p,TRIM(SUBSTITUTE(Employee_dataset[[#This Row],[Phone]],"-","")),
     IF(
        LEN(_xlpm.p)=10,_xlfn.CONCAT("("&amp;LEFT(_xlpm.p,3)&amp;") "&amp;MID(_xlpm.p,4,3)&amp;"-"&amp;RIGHT(_xlpm.p,4),"")
       )
     )</f>
        <v>(893) 628-9695</v>
      </c>
      <c r="L717" t="str">
        <f>TRIM(Employee_dataset[[#This Row],[Performance_Score]])</f>
        <v>Poor</v>
      </c>
      <c r="M717" t="str">
        <f>TRIM(Employee_dataset[[#This Row],[Remote_Work]])</f>
        <v>TRUE</v>
      </c>
    </row>
    <row r="718" spans="1:13" x14ac:dyDescent="0.3">
      <c r="A718" t="str">
        <f>TRIM(Employee_dataset[[#This Row],[Employee_ID]])</f>
        <v>EMP1716</v>
      </c>
      <c r="B718" t="str">
        <f>PROPER(TRIM(Employee_dataset[[#This Row],[First_Name]]))</f>
        <v>Alice</v>
      </c>
      <c r="C718" t="str">
        <f>PROPER(TRIM(Employee_dataset[[#This Row],[Last_Name]]))</f>
        <v>Williams</v>
      </c>
      <c r="D718" s="6" t="str">
        <f>_xlfn.LET(
     _xlpm.a, TRIM(Employee_dataset[[#This Row],[Age]]),
     IF(
        _xlpm.a="","",
        IF(
           AND(ISNUMBER(--_xlpm.a),LEN(_xlpm.a)=2),_xlpm.a,""
          )
       )
    )</f>
        <v/>
      </c>
      <c r="E718" t="str">
        <f>TRIM(_xlfn.TEXTBEFORE(Employee_dataset[[#This Row],[Department_Region]],"-"))</f>
        <v>Admin</v>
      </c>
      <c r="F718" t="str">
        <f>TRIM(_xlfn.TEXTAFTER(Employee_dataset[[#This Row],[Department_Region]],"-"))</f>
        <v>California</v>
      </c>
      <c r="G718" t="str">
        <f>TRIM(Employee_dataset[[#This Row],[Status]])</f>
        <v>Active</v>
      </c>
      <c r="H718" s="1">
        <f>_xlfn.LET(
     _xlpm.d, Employee_dataset[[#This Row],[Join_Date]],
     IF(
        ISNUMBER(_xlpm.d),_xlpm.d,""
       )
    )</f>
        <v>44446</v>
      </c>
      <c r="I718" s="6">
        <f>_xlfn.LET(
     _xlpm.s, TRIM(Employee_dataset[[#This Row],[Salary]]),
     IF(
        UPPER(_xlpm.s)="N/A","",
        IF(
           ISNUMBER(--_xlpm.s),ROUND(_xlfn.NUMBERVALUE(_xlpm.s),2),""
          )
       )
    )</f>
        <v>118907.61</v>
      </c>
      <c r="J718" t="str">
        <f>TRIM(Employee_dataset[[#This Row],[Email]])</f>
        <v>alice.williams@example.com</v>
      </c>
      <c r="K718" t="str">
        <f>_xlfn.LET(
     _xlpm.p,TRIM(SUBSTITUTE(Employee_dataset[[#This Row],[Phone]],"-","")),
     IF(
        LEN(_xlpm.p)=10,_xlfn.CONCAT("("&amp;LEFT(_xlpm.p,3)&amp;") "&amp;MID(_xlpm.p,4,3)&amp;"-"&amp;RIGHT(_xlpm.p,4),"")
       )
     )</f>
        <v>(454) 655-3584</v>
      </c>
      <c r="L718" t="str">
        <f>TRIM(Employee_dataset[[#This Row],[Performance_Score]])</f>
        <v>Excellent</v>
      </c>
      <c r="M718" t="str">
        <f>TRIM(Employee_dataset[[#This Row],[Remote_Work]])</f>
        <v>TRUE</v>
      </c>
    </row>
    <row r="719" spans="1:13" x14ac:dyDescent="0.3">
      <c r="A719" t="str">
        <f>TRIM(Employee_dataset[[#This Row],[Employee_ID]])</f>
        <v>EMP1717</v>
      </c>
      <c r="B719" t="str">
        <f>PROPER(TRIM(Employee_dataset[[#This Row],[First_Name]]))</f>
        <v>Frank</v>
      </c>
      <c r="C719" t="str">
        <f>PROPER(TRIM(Employee_dataset[[#This Row],[Last_Name]]))</f>
        <v>Brown</v>
      </c>
      <c r="D719" s="6" t="str">
        <f>_xlfn.LET(
     _xlpm.a, TRIM(Employee_dataset[[#This Row],[Age]]),
     IF(
        _xlpm.a="","",
        IF(
           AND(ISNUMBER(--_xlpm.a),LEN(_xlpm.a)=2),_xlpm.a,""
          )
       )
    )</f>
        <v>25</v>
      </c>
      <c r="E719" t="str">
        <f>TRIM(_xlfn.TEXTBEFORE(Employee_dataset[[#This Row],[Department_Region]],"-"))</f>
        <v>DevOps</v>
      </c>
      <c r="F719" t="str">
        <f>TRIM(_xlfn.TEXTAFTER(Employee_dataset[[#This Row],[Department_Region]],"-"))</f>
        <v>California</v>
      </c>
      <c r="G719" t="str">
        <f>TRIM(Employee_dataset[[#This Row],[Status]])</f>
        <v>Pending</v>
      </c>
      <c r="H719" s="1">
        <f>_xlfn.LET(
     _xlpm.d, Employee_dataset[[#This Row],[Join_Date]],
     IF(
        ISNUMBER(_xlpm.d),_xlpm.d,""
       )
    )</f>
        <v>44878</v>
      </c>
      <c r="I719" s="6">
        <f>_xlfn.LET(
     _xlpm.s, TRIM(Employee_dataset[[#This Row],[Salary]]),
     IF(
        UPPER(_xlpm.s)="N/A","",
        IF(
           ISNUMBER(--_xlpm.s),ROUND(_xlfn.NUMBERVALUE(_xlpm.s),2),""
          )
       )
    )</f>
        <v>88942.62</v>
      </c>
      <c r="J719" t="str">
        <f>TRIM(Employee_dataset[[#This Row],[Email]])</f>
        <v>frank.brown@example.com</v>
      </c>
      <c r="K719" t="str">
        <f>_xlfn.LET(
     _xlpm.p,TRIM(SUBSTITUTE(Employee_dataset[[#This Row],[Phone]],"-","")),
     IF(
        LEN(_xlpm.p)=10,_xlfn.CONCAT("("&amp;LEFT(_xlpm.p,3)&amp;") "&amp;MID(_xlpm.p,4,3)&amp;"-"&amp;RIGHT(_xlpm.p,4),"")
       )
     )</f>
        <v>(125) 389-2186</v>
      </c>
      <c r="L719" t="str">
        <f>TRIM(Employee_dataset[[#This Row],[Performance_Score]])</f>
        <v>Average</v>
      </c>
      <c r="M719" t="str">
        <f>TRIM(Employee_dataset[[#This Row],[Remote_Work]])</f>
        <v>FALSE</v>
      </c>
    </row>
    <row r="720" spans="1:13" x14ac:dyDescent="0.3">
      <c r="A720" t="str">
        <f>TRIM(Employee_dataset[[#This Row],[Employee_ID]])</f>
        <v>EMP1718</v>
      </c>
      <c r="B720" t="str">
        <f>PROPER(TRIM(Employee_dataset[[#This Row],[First_Name]]))</f>
        <v>Charlie</v>
      </c>
      <c r="C720" t="str">
        <f>PROPER(TRIM(Employee_dataset[[#This Row],[Last_Name]]))</f>
        <v>Garcia</v>
      </c>
      <c r="D720" s="6" t="str">
        <f>_xlfn.LET(
     _xlpm.a, TRIM(Employee_dataset[[#This Row],[Age]]),
     IF(
        _xlpm.a="","",
        IF(
           AND(ISNUMBER(--_xlpm.a),LEN(_xlpm.a)=2),_xlpm.a,""
          )
       )
    )</f>
        <v>25</v>
      </c>
      <c r="E720" t="str">
        <f>TRIM(_xlfn.TEXTBEFORE(Employee_dataset[[#This Row],[Department_Region]],"-"))</f>
        <v>Cloud Tech</v>
      </c>
      <c r="F720" t="str">
        <f>TRIM(_xlfn.TEXTAFTER(Employee_dataset[[#This Row],[Department_Region]],"-"))</f>
        <v>Florida</v>
      </c>
      <c r="G720" t="str">
        <f>TRIM(Employee_dataset[[#This Row],[Status]])</f>
        <v>Inactive</v>
      </c>
      <c r="H720" s="1">
        <f>_xlfn.LET(
     _xlpm.d, Employee_dataset[[#This Row],[Join_Date]],
     IF(
        ISNUMBER(_xlpm.d),_xlpm.d,""
       )
    )</f>
        <v>44150</v>
      </c>
      <c r="I720" s="6">
        <f>_xlfn.LET(
     _xlpm.s, TRIM(Employee_dataset[[#This Row],[Salary]]),
     IF(
        UPPER(_xlpm.s)="N/A","",
        IF(
           ISNUMBER(--_xlpm.s),ROUND(_xlfn.NUMBERVALUE(_xlpm.s),2),""
          )
       )
    )</f>
        <v>59688.57</v>
      </c>
      <c r="J720" t="str">
        <f>TRIM(Employee_dataset[[#This Row],[Email]])</f>
        <v>charlie.garcia@example.com</v>
      </c>
      <c r="K720" t="str">
        <f>_xlfn.LET(
     _xlpm.p,TRIM(SUBSTITUTE(Employee_dataset[[#This Row],[Phone]],"-","")),
     IF(
        LEN(_xlpm.p)=10,_xlfn.CONCAT("("&amp;LEFT(_xlpm.p,3)&amp;") "&amp;MID(_xlpm.p,4,3)&amp;"-"&amp;RIGHT(_xlpm.p,4),"")
       )
     )</f>
        <v>(851) 935-8373</v>
      </c>
      <c r="L720" t="str">
        <f>TRIM(Employee_dataset[[#This Row],[Performance_Score]])</f>
        <v>Average</v>
      </c>
      <c r="M720" t="str">
        <f>TRIM(Employee_dataset[[#This Row],[Remote_Work]])</f>
        <v>FALSE</v>
      </c>
    </row>
    <row r="721" spans="1:13" x14ac:dyDescent="0.3">
      <c r="A721" t="str">
        <f>TRIM(Employee_dataset[[#This Row],[Employee_ID]])</f>
        <v>EMP1719</v>
      </c>
      <c r="B721" t="str">
        <f>PROPER(TRIM(Employee_dataset[[#This Row],[First_Name]]))</f>
        <v>David</v>
      </c>
      <c r="C721" t="str">
        <f>PROPER(TRIM(Employee_dataset[[#This Row],[Last_Name]]))</f>
        <v>Brown</v>
      </c>
      <c r="D721" s="6" t="str">
        <f>_xlfn.LET(
     _xlpm.a, TRIM(Employee_dataset[[#This Row],[Age]]),
     IF(
        _xlpm.a="","",
        IF(
           AND(ISNUMBER(--_xlpm.a),LEN(_xlpm.a)=2),_xlpm.a,""
          )
       )
    )</f>
        <v>30</v>
      </c>
      <c r="E721" t="str">
        <f>TRIM(_xlfn.TEXTBEFORE(Employee_dataset[[#This Row],[Department_Region]],"-"))</f>
        <v>HR</v>
      </c>
      <c r="F721" t="str">
        <f>TRIM(_xlfn.TEXTAFTER(Employee_dataset[[#This Row],[Department_Region]],"-"))</f>
        <v>California</v>
      </c>
      <c r="G721" t="str">
        <f>TRIM(Employee_dataset[[#This Row],[Status]])</f>
        <v>Active</v>
      </c>
      <c r="H721" s="1">
        <f>_xlfn.LET(
     _xlpm.d, Employee_dataset[[#This Row],[Join_Date]],
     IF(
        ISNUMBER(_xlpm.d),_xlpm.d,""
       )
    )</f>
        <v>44999</v>
      </c>
      <c r="I721" s="6">
        <f>_xlfn.LET(
     _xlpm.s, TRIM(Employee_dataset[[#This Row],[Salary]]),
     IF(
        UPPER(_xlpm.s)="N/A","",
        IF(
           ISNUMBER(--_xlpm.s),ROUND(_xlfn.NUMBERVALUE(_xlpm.s),2),""
          )
       )
    )</f>
        <v>77985.88</v>
      </c>
      <c r="J721" t="str">
        <f>TRIM(Employee_dataset[[#This Row],[Email]])</f>
        <v>david.brown@example.com</v>
      </c>
      <c r="K721" t="str">
        <f>_xlfn.LET(
     _xlpm.p,TRIM(SUBSTITUTE(Employee_dataset[[#This Row],[Phone]],"-","")),
     IF(
        LEN(_xlpm.p)=10,_xlfn.CONCAT("("&amp;LEFT(_xlpm.p,3)&amp;") "&amp;MID(_xlpm.p,4,3)&amp;"-"&amp;RIGHT(_xlpm.p,4),"")
       )
     )</f>
        <v>(907) 977-9611</v>
      </c>
      <c r="L721" t="str">
        <f>TRIM(Employee_dataset[[#This Row],[Performance_Score]])</f>
        <v>Average</v>
      </c>
      <c r="M721" t="str">
        <f>TRIM(Employee_dataset[[#This Row],[Remote_Work]])</f>
        <v>TRUE</v>
      </c>
    </row>
    <row r="722" spans="1:13" x14ac:dyDescent="0.3">
      <c r="A722" t="str">
        <f>TRIM(Employee_dataset[[#This Row],[Employee_ID]])</f>
        <v>EMP1720</v>
      </c>
      <c r="B722" t="str">
        <f>PROPER(TRIM(Employee_dataset[[#This Row],[First_Name]]))</f>
        <v>Bob</v>
      </c>
      <c r="C722" t="str">
        <f>PROPER(TRIM(Employee_dataset[[#This Row],[Last_Name]]))</f>
        <v>Johnson</v>
      </c>
      <c r="D722" s="6" t="str">
        <f>_xlfn.LET(
     _xlpm.a, TRIM(Employee_dataset[[#This Row],[Age]]),
     IF(
        _xlpm.a="","",
        IF(
           AND(ISNUMBER(--_xlpm.a),LEN(_xlpm.a)=2),_xlpm.a,""
          )
       )
    )</f>
        <v>35</v>
      </c>
      <c r="E722" t="str">
        <f>TRIM(_xlfn.TEXTBEFORE(Employee_dataset[[#This Row],[Department_Region]],"-"))</f>
        <v>Finance</v>
      </c>
      <c r="F722" t="str">
        <f>TRIM(_xlfn.TEXTAFTER(Employee_dataset[[#This Row],[Department_Region]],"-"))</f>
        <v>New York</v>
      </c>
      <c r="G722" t="str">
        <f>TRIM(Employee_dataset[[#This Row],[Status]])</f>
        <v>Inactive</v>
      </c>
      <c r="H722" s="1">
        <f>_xlfn.LET(
     _xlpm.d, Employee_dataset[[#This Row],[Join_Date]],
     IF(
        ISNUMBER(_xlpm.d),_xlpm.d,""
       )
    )</f>
        <v>45522</v>
      </c>
      <c r="I722" s="6">
        <f>_xlfn.LET(
     _xlpm.s, TRIM(Employee_dataset[[#This Row],[Salary]]),
     IF(
        UPPER(_xlpm.s)="N/A","",
        IF(
           ISNUMBER(--_xlpm.s),ROUND(_xlfn.NUMBERVALUE(_xlpm.s),2),""
          )
       )
    )</f>
        <v>112931.69</v>
      </c>
      <c r="J722" t="str">
        <f>TRIM(Employee_dataset[[#This Row],[Email]])</f>
        <v>bob.johnson@example.com</v>
      </c>
      <c r="K722" t="b">
        <f>_xlfn.LET(
     _xlpm.p,TRIM(SUBSTITUTE(Employee_dataset[[#This Row],[Phone]],"-","")),
     IF(
        LEN(_xlpm.p)=10,_xlfn.CONCAT("("&amp;LEFT(_xlpm.p,3)&amp;") "&amp;MID(_xlpm.p,4,3)&amp;"-"&amp;RIGHT(_xlpm.p,4),"")
       )
     )</f>
        <v>0</v>
      </c>
      <c r="L722" t="str">
        <f>TRIM(Employee_dataset[[#This Row],[Performance_Score]])</f>
        <v>Poor</v>
      </c>
      <c r="M722" t="str">
        <f>TRIM(Employee_dataset[[#This Row],[Remote_Work]])</f>
        <v>FALSE</v>
      </c>
    </row>
    <row r="723" spans="1:13" x14ac:dyDescent="0.3">
      <c r="A723" t="str">
        <f>TRIM(Employee_dataset[[#This Row],[Employee_ID]])</f>
        <v>EMP1721</v>
      </c>
      <c r="B723" t="str">
        <f>PROPER(TRIM(Employee_dataset[[#This Row],[First_Name]]))</f>
        <v>Bob</v>
      </c>
      <c r="C723" t="str">
        <f>PROPER(TRIM(Employee_dataset[[#This Row],[Last_Name]]))</f>
        <v>Williams</v>
      </c>
      <c r="D723" s="6" t="str">
        <f>_xlfn.LET(
     _xlpm.a, TRIM(Employee_dataset[[#This Row],[Age]]),
     IF(
        _xlpm.a="","",
        IF(
           AND(ISNUMBER(--_xlpm.a),LEN(_xlpm.a)=2),_xlpm.a,""
          )
       )
    )</f>
        <v/>
      </c>
      <c r="E723" t="str">
        <f>TRIM(_xlfn.TEXTBEFORE(Employee_dataset[[#This Row],[Department_Region]],"-"))</f>
        <v>DevOps</v>
      </c>
      <c r="F723" t="str">
        <f>TRIM(_xlfn.TEXTAFTER(Employee_dataset[[#This Row],[Department_Region]],"-"))</f>
        <v>California</v>
      </c>
      <c r="G723" t="str">
        <f>TRIM(Employee_dataset[[#This Row],[Status]])</f>
        <v>Active</v>
      </c>
      <c r="H723" s="1">
        <f>_xlfn.LET(
     _xlpm.d, Employee_dataset[[#This Row],[Join_Date]],
     IF(
        ISNUMBER(_xlpm.d),_xlpm.d,""
       )
    )</f>
        <v>45327</v>
      </c>
      <c r="I723" s="6">
        <f>_xlfn.LET(
     _xlpm.s, TRIM(Employee_dataset[[#This Row],[Salary]]),
     IF(
        UPPER(_xlpm.s)="N/A","",
        IF(
           ISNUMBER(--_xlpm.s),ROUND(_xlfn.NUMBERVALUE(_xlpm.s),2),""
          )
       )
    )</f>
        <v>106583.88</v>
      </c>
      <c r="J723" t="str">
        <f>TRIM(Employee_dataset[[#This Row],[Email]])</f>
        <v>bob.williams@example.com</v>
      </c>
      <c r="K723" t="str">
        <f>_xlfn.LET(
     _xlpm.p,TRIM(SUBSTITUTE(Employee_dataset[[#This Row],[Phone]],"-","")),
     IF(
        LEN(_xlpm.p)=10,_xlfn.CONCAT("("&amp;LEFT(_xlpm.p,3)&amp;") "&amp;MID(_xlpm.p,4,3)&amp;"-"&amp;RIGHT(_xlpm.p,4),"")
       )
     )</f>
        <v>(149) 409-7625</v>
      </c>
      <c r="L723" t="str">
        <f>TRIM(Employee_dataset[[#This Row],[Performance_Score]])</f>
        <v>Good</v>
      </c>
      <c r="M723" t="str">
        <f>TRIM(Employee_dataset[[#This Row],[Remote_Work]])</f>
        <v>TRUE</v>
      </c>
    </row>
    <row r="724" spans="1:13" x14ac:dyDescent="0.3">
      <c r="A724" t="str">
        <f>TRIM(Employee_dataset[[#This Row],[Employee_ID]])</f>
        <v>EMP1722</v>
      </c>
      <c r="B724" t="str">
        <f>PROPER(TRIM(Employee_dataset[[#This Row],[First_Name]]))</f>
        <v>Alice</v>
      </c>
      <c r="C724" t="str">
        <f>PROPER(TRIM(Employee_dataset[[#This Row],[Last_Name]]))</f>
        <v>Brown</v>
      </c>
      <c r="D724" s="6" t="str">
        <f>_xlfn.LET(
     _xlpm.a, TRIM(Employee_dataset[[#This Row],[Age]]),
     IF(
        _xlpm.a="","",
        IF(
           AND(ISNUMBER(--_xlpm.a),LEN(_xlpm.a)=2),_xlpm.a,""
          )
       )
    )</f>
        <v>35</v>
      </c>
      <c r="E724" t="str">
        <f>TRIM(_xlfn.TEXTBEFORE(Employee_dataset[[#This Row],[Department_Region]],"-"))</f>
        <v>HR</v>
      </c>
      <c r="F724" t="str">
        <f>TRIM(_xlfn.TEXTAFTER(Employee_dataset[[#This Row],[Department_Region]],"-"))</f>
        <v>Florida</v>
      </c>
      <c r="G724" t="str">
        <f>TRIM(Employee_dataset[[#This Row],[Status]])</f>
        <v>Inactive</v>
      </c>
      <c r="H724" s="1">
        <f>_xlfn.LET(
     _xlpm.d, Employee_dataset[[#This Row],[Join_Date]],
     IF(
        ISNUMBER(_xlpm.d),_xlpm.d,""
       )
    )</f>
        <v>45608</v>
      </c>
      <c r="I724" s="6">
        <f>_xlfn.LET(
     _xlpm.s, TRIM(Employee_dataset[[#This Row],[Salary]]),
     IF(
        UPPER(_xlpm.s)="N/A","",
        IF(
           ISNUMBER(--_xlpm.s),ROUND(_xlfn.NUMBERVALUE(_xlpm.s),2),""
          )
       )
    )</f>
        <v>58437.84</v>
      </c>
      <c r="J724" t="str">
        <f>TRIM(Employee_dataset[[#This Row],[Email]])</f>
        <v>alice.brown@example.com</v>
      </c>
      <c r="K724" t="str">
        <f>_xlfn.LET(
     _xlpm.p,TRIM(SUBSTITUTE(Employee_dataset[[#This Row],[Phone]],"-","")),
     IF(
        LEN(_xlpm.p)=10,_xlfn.CONCAT("("&amp;LEFT(_xlpm.p,3)&amp;") "&amp;MID(_xlpm.p,4,3)&amp;"-"&amp;RIGHT(_xlpm.p,4),"")
       )
     )</f>
        <v>(374) 845-3985</v>
      </c>
      <c r="L724" t="str">
        <f>TRIM(Employee_dataset[[#This Row],[Performance_Score]])</f>
        <v>Good</v>
      </c>
      <c r="M724" t="str">
        <f>TRIM(Employee_dataset[[#This Row],[Remote_Work]])</f>
        <v>TRUE</v>
      </c>
    </row>
    <row r="725" spans="1:13" x14ac:dyDescent="0.3">
      <c r="A725" t="str">
        <f>TRIM(Employee_dataset[[#This Row],[Employee_ID]])</f>
        <v>EMP1723</v>
      </c>
      <c r="B725" t="str">
        <f>PROPER(TRIM(Employee_dataset[[#This Row],[First_Name]]))</f>
        <v>Alice</v>
      </c>
      <c r="C725" t="str">
        <f>PROPER(TRIM(Employee_dataset[[#This Row],[Last_Name]]))</f>
        <v>Smith</v>
      </c>
      <c r="D725" s="6" t="str">
        <f>_xlfn.LET(
     _xlpm.a, TRIM(Employee_dataset[[#This Row],[Age]]),
     IF(
        _xlpm.a="","",
        IF(
           AND(ISNUMBER(--_xlpm.a),LEN(_xlpm.a)=2),_xlpm.a,""
          )
       )
    )</f>
        <v>40</v>
      </c>
      <c r="E725" t="str">
        <f>TRIM(_xlfn.TEXTBEFORE(Employee_dataset[[#This Row],[Department_Region]],"-"))</f>
        <v>Cloud Tech</v>
      </c>
      <c r="F725" t="str">
        <f>TRIM(_xlfn.TEXTAFTER(Employee_dataset[[#This Row],[Department_Region]],"-"))</f>
        <v>California</v>
      </c>
      <c r="G725" t="str">
        <f>TRIM(Employee_dataset[[#This Row],[Status]])</f>
        <v>Pending</v>
      </c>
      <c r="H725" s="1">
        <f>_xlfn.LET(
     _xlpm.d, Employee_dataset[[#This Row],[Join_Date]],
     IF(
        ISNUMBER(_xlpm.d),_xlpm.d,""
       )
    )</f>
        <v>43915</v>
      </c>
      <c r="I725" s="6">
        <f>_xlfn.LET(
     _xlpm.s, TRIM(Employee_dataset[[#This Row],[Salary]]),
     IF(
        UPPER(_xlpm.s)="N/A","",
        IF(
           ISNUMBER(--_xlpm.s),ROUND(_xlfn.NUMBERVALUE(_xlpm.s),2),""
          )
       )
    )</f>
        <v>72352.160000000003</v>
      </c>
      <c r="J725" t="str">
        <f>TRIM(Employee_dataset[[#This Row],[Email]])</f>
        <v>alice.smith@example.com</v>
      </c>
      <c r="K725" t="str">
        <f>_xlfn.LET(
     _xlpm.p,TRIM(SUBSTITUTE(Employee_dataset[[#This Row],[Phone]],"-","")),
     IF(
        LEN(_xlpm.p)=10,_xlfn.CONCAT("("&amp;LEFT(_xlpm.p,3)&amp;") "&amp;MID(_xlpm.p,4,3)&amp;"-"&amp;RIGHT(_xlpm.p,4),"")
       )
     )</f>
        <v>(289) 509-0590</v>
      </c>
      <c r="L725" t="str">
        <f>TRIM(Employee_dataset[[#This Row],[Performance_Score]])</f>
        <v>Average</v>
      </c>
      <c r="M725" t="str">
        <f>TRIM(Employee_dataset[[#This Row],[Remote_Work]])</f>
        <v>TRUE</v>
      </c>
    </row>
    <row r="726" spans="1:13" x14ac:dyDescent="0.3">
      <c r="A726" t="str">
        <f>TRIM(Employee_dataset[[#This Row],[Employee_ID]])</f>
        <v>EMP1724</v>
      </c>
      <c r="B726" t="str">
        <f>PROPER(TRIM(Employee_dataset[[#This Row],[First_Name]]))</f>
        <v>Frank</v>
      </c>
      <c r="C726" t="str">
        <f>PROPER(TRIM(Employee_dataset[[#This Row],[Last_Name]]))</f>
        <v>Smith</v>
      </c>
      <c r="D726" s="6" t="str">
        <f>_xlfn.LET(
     _xlpm.a, TRIM(Employee_dataset[[#This Row],[Age]]),
     IF(
        _xlpm.a="","",
        IF(
           AND(ISNUMBER(--_xlpm.a),LEN(_xlpm.a)=2),_xlpm.a,""
          )
       )
    )</f>
        <v/>
      </c>
      <c r="E726" t="str">
        <f>TRIM(_xlfn.TEXTBEFORE(Employee_dataset[[#This Row],[Department_Region]],"-"))</f>
        <v>DevOps</v>
      </c>
      <c r="F726" t="str">
        <f>TRIM(_xlfn.TEXTAFTER(Employee_dataset[[#This Row],[Department_Region]],"-"))</f>
        <v>New York</v>
      </c>
      <c r="G726" t="str">
        <f>TRIM(Employee_dataset[[#This Row],[Status]])</f>
        <v>Active</v>
      </c>
      <c r="H726" s="1">
        <f>_xlfn.LET(
     _xlpm.d, Employee_dataset[[#This Row],[Join_Date]],
     IF(
        ISNUMBER(_xlpm.d),_xlpm.d,""
       )
    )</f>
        <v>43934</v>
      </c>
      <c r="I726" s="6">
        <f>_xlfn.LET(
     _xlpm.s, TRIM(Employee_dataset[[#This Row],[Salary]]),
     IF(
        UPPER(_xlpm.s)="N/A","",
        IF(
           ISNUMBER(--_xlpm.s),ROUND(_xlfn.NUMBERVALUE(_xlpm.s),2),""
          )
       )
    )</f>
        <v>97154.47</v>
      </c>
      <c r="J726" t="str">
        <f>TRIM(Employee_dataset[[#This Row],[Email]])</f>
        <v>frank.smith@example.com</v>
      </c>
      <c r="K726" t="str">
        <f>_xlfn.LET(
     _xlpm.p,TRIM(SUBSTITUTE(Employee_dataset[[#This Row],[Phone]],"-","")),
     IF(
        LEN(_xlpm.p)=10,_xlfn.CONCAT("("&amp;LEFT(_xlpm.p,3)&amp;") "&amp;MID(_xlpm.p,4,3)&amp;"-"&amp;RIGHT(_xlpm.p,4),"")
       )
     )</f>
        <v>(191) 862-3391</v>
      </c>
      <c r="L726" t="str">
        <f>TRIM(Employee_dataset[[#This Row],[Performance_Score]])</f>
        <v>Good</v>
      </c>
      <c r="M726" t="str">
        <f>TRIM(Employee_dataset[[#This Row],[Remote_Work]])</f>
        <v>TRUE</v>
      </c>
    </row>
    <row r="727" spans="1:13" x14ac:dyDescent="0.3">
      <c r="A727" t="str">
        <f>TRIM(Employee_dataset[[#This Row],[Employee_ID]])</f>
        <v>EMP1725</v>
      </c>
      <c r="B727" t="str">
        <f>PROPER(TRIM(Employee_dataset[[#This Row],[First_Name]]))</f>
        <v>Heidi</v>
      </c>
      <c r="C727" t="str">
        <f>PROPER(TRIM(Employee_dataset[[#This Row],[Last_Name]]))</f>
        <v>Jones</v>
      </c>
      <c r="D727" s="6" t="str">
        <f>_xlfn.LET(
     _xlpm.a, TRIM(Employee_dataset[[#This Row],[Age]]),
     IF(
        _xlpm.a="","",
        IF(
           AND(ISNUMBER(--_xlpm.a),LEN(_xlpm.a)=2),_xlpm.a,""
          )
       )
    )</f>
        <v/>
      </c>
      <c r="E727" t="str">
        <f>TRIM(_xlfn.TEXTBEFORE(Employee_dataset[[#This Row],[Department_Region]],"-"))</f>
        <v>Sales</v>
      </c>
      <c r="F727" t="str">
        <f>TRIM(_xlfn.TEXTAFTER(Employee_dataset[[#This Row],[Department_Region]],"-"))</f>
        <v>Illinois</v>
      </c>
      <c r="G727" t="str">
        <f>TRIM(Employee_dataset[[#This Row],[Status]])</f>
        <v>Active</v>
      </c>
      <c r="H727" s="1">
        <f>_xlfn.LET(
     _xlpm.d, Employee_dataset[[#This Row],[Join_Date]],
     IF(
        ISNUMBER(_xlpm.d),_xlpm.d,""
       )
    )</f>
        <v>44285</v>
      </c>
      <c r="I727" s="6">
        <f>_xlfn.LET(
     _xlpm.s, TRIM(Employee_dataset[[#This Row],[Salary]]),
     IF(
        UPPER(_xlpm.s)="N/A","",
        IF(
           ISNUMBER(--_xlpm.s),ROUND(_xlfn.NUMBERVALUE(_xlpm.s),2),""
          )
       )
    )</f>
        <v>80235.5</v>
      </c>
      <c r="J727" t="str">
        <f>TRIM(Employee_dataset[[#This Row],[Email]])</f>
        <v>heidi.jones@example.com</v>
      </c>
      <c r="K727" t="str">
        <f>_xlfn.LET(
     _xlpm.p,TRIM(SUBSTITUTE(Employee_dataset[[#This Row],[Phone]],"-","")),
     IF(
        LEN(_xlpm.p)=10,_xlfn.CONCAT("("&amp;LEFT(_xlpm.p,3)&amp;") "&amp;MID(_xlpm.p,4,3)&amp;"-"&amp;RIGHT(_xlpm.p,4),"")
       )
     )</f>
        <v>(207) 151-1695</v>
      </c>
      <c r="L727" t="str">
        <f>TRIM(Employee_dataset[[#This Row],[Performance_Score]])</f>
        <v>Good</v>
      </c>
      <c r="M727" t="str">
        <f>TRIM(Employee_dataset[[#This Row],[Remote_Work]])</f>
        <v>FALSE</v>
      </c>
    </row>
    <row r="728" spans="1:13" x14ac:dyDescent="0.3">
      <c r="A728" t="str">
        <f>TRIM(Employee_dataset[[#This Row],[Employee_ID]])</f>
        <v>EMP1726</v>
      </c>
      <c r="B728" t="str">
        <f>PROPER(TRIM(Employee_dataset[[#This Row],[First_Name]]))</f>
        <v>Charlie</v>
      </c>
      <c r="C728" t="str">
        <f>PROPER(TRIM(Employee_dataset[[#This Row],[Last_Name]]))</f>
        <v>Williams</v>
      </c>
      <c r="D728" s="6" t="str">
        <f>_xlfn.LET(
     _xlpm.a, TRIM(Employee_dataset[[#This Row],[Age]]),
     IF(
        _xlpm.a="","",
        IF(
           AND(ISNUMBER(--_xlpm.a),LEN(_xlpm.a)=2),_xlpm.a,""
          )
       )
    )</f>
        <v>30</v>
      </c>
      <c r="E728" t="str">
        <f>TRIM(_xlfn.TEXTBEFORE(Employee_dataset[[#This Row],[Department_Region]],"-"))</f>
        <v>HR</v>
      </c>
      <c r="F728" t="str">
        <f>TRIM(_xlfn.TEXTAFTER(Employee_dataset[[#This Row],[Department_Region]],"-"))</f>
        <v>Texas</v>
      </c>
      <c r="G728" t="str">
        <f>TRIM(Employee_dataset[[#This Row],[Status]])</f>
        <v>Inactive</v>
      </c>
      <c r="H728" s="1">
        <f>_xlfn.LET(
     _xlpm.d, Employee_dataset[[#This Row],[Join_Date]],
     IF(
        ISNUMBER(_xlpm.d),_xlpm.d,""
       )
    )</f>
        <v>45001</v>
      </c>
      <c r="I728" s="6">
        <f>_xlfn.LET(
     _xlpm.s, TRIM(Employee_dataset[[#This Row],[Salary]]),
     IF(
        UPPER(_xlpm.s)="N/A","",
        IF(
           ISNUMBER(--_xlpm.s),ROUND(_xlfn.NUMBERVALUE(_xlpm.s),2),""
          )
       )
    )</f>
        <v>102172.05</v>
      </c>
      <c r="J728" t="str">
        <f>TRIM(Employee_dataset[[#This Row],[Email]])</f>
        <v>charlie.williams@example.com</v>
      </c>
      <c r="K728" t="str">
        <f>_xlfn.LET(
     _xlpm.p,TRIM(SUBSTITUTE(Employee_dataset[[#This Row],[Phone]],"-","")),
     IF(
        LEN(_xlpm.p)=10,_xlfn.CONCAT("("&amp;LEFT(_xlpm.p,3)&amp;") "&amp;MID(_xlpm.p,4,3)&amp;"-"&amp;RIGHT(_xlpm.p,4),"")
       )
     )</f>
        <v>(667) 252-1451</v>
      </c>
      <c r="L728" t="str">
        <f>TRIM(Employee_dataset[[#This Row],[Performance_Score]])</f>
        <v>Poor</v>
      </c>
      <c r="M728" t="str">
        <f>TRIM(Employee_dataset[[#This Row],[Remote_Work]])</f>
        <v>FALSE</v>
      </c>
    </row>
    <row r="729" spans="1:13" x14ac:dyDescent="0.3">
      <c r="A729" t="str">
        <f>TRIM(Employee_dataset[[#This Row],[Employee_ID]])</f>
        <v>EMP1727</v>
      </c>
      <c r="B729" t="str">
        <f>PROPER(TRIM(Employee_dataset[[#This Row],[First_Name]]))</f>
        <v>Eva</v>
      </c>
      <c r="C729" t="str">
        <f>PROPER(TRIM(Employee_dataset[[#This Row],[Last_Name]]))</f>
        <v>Williams</v>
      </c>
      <c r="D729" s="6" t="str">
        <f>_xlfn.LET(
     _xlpm.a, TRIM(Employee_dataset[[#This Row],[Age]]),
     IF(
        _xlpm.a="","",
        IF(
           AND(ISNUMBER(--_xlpm.a),LEN(_xlpm.a)=2),_xlpm.a,""
          )
       )
    )</f>
        <v>25</v>
      </c>
      <c r="E729" t="str">
        <f>TRIM(_xlfn.TEXTBEFORE(Employee_dataset[[#This Row],[Department_Region]],"-"))</f>
        <v>Finance</v>
      </c>
      <c r="F729" t="str">
        <f>TRIM(_xlfn.TEXTAFTER(Employee_dataset[[#This Row],[Department_Region]],"-"))</f>
        <v>Illinois</v>
      </c>
      <c r="G729" t="str">
        <f>TRIM(Employee_dataset[[#This Row],[Status]])</f>
        <v>Inactive</v>
      </c>
      <c r="H729" s="1">
        <f>_xlfn.LET(
     _xlpm.d, Employee_dataset[[#This Row],[Join_Date]],
     IF(
        ISNUMBER(_xlpm.d),_xlpm.d,""
       )
    )</f>
        <v>45415</v>
      </c>
      <c r="I729" s="6">
        <f>_xlfn.LET(
     _xlpm.s, TRIM(Employee_dataset[[#This Row],[Salary]]),
     IF(
        UPPER(_xlpm.s)="N/A","",
        IF(
           ISNUMBER(--_xlpm.s),ROUND(_xlfn.NUMBERVALUE(_xlpm.s),2),""
          )
       )
    )</f>
        <v>98850.94</v>
      </c>
      <c r="J729" t="str">
        <f>TRIM(Employee_dataset[[#This Row],[Email]])</f>
        <v>eva.williams@example.com</v>
      </c>
      <c r="K729" t="str">
        <f>_xlfn.LET(
     _xlpm.p,TRIM(SUBSTITUTE(Employee_dataset[[#This Row],[Phone]],"-","")),
     IF(
        LEN(_xlpm.p)=10,_xlfn.CONCAT("("&amp;LEFT(_xlpm.p,3)&amp;") "&amp;MID(_xlpm.p,4,3)&amp;"-"&amp;RIGHT(_xlpm.p,4),"")
       )
     )</f>
        <v>(647) 124-6334</v>
      </c>
      <c r="L729" t="str">
        <f>TRIM(Employee_dataset[[#This Row],[Performance_Score]])</f>
        <v>Excellent</v>
      </c>
      <c r="M729" t="str">
        <f>TRIM(Employee_dataset[[#This Row],[Remote_Work]])</f>
        <v>TRUE</v>
      </c>
    </row>
    <row r="730" spans="1:13" x14ac:dyDescent="0.3">
      <c r="A730" t="str">
        <f>TRIM(Employee_dataset[[#This Row],[Employee_ID]])</f>
        <v>EMP1728</v>
      </c>
      <c r="B730" t="str">
        <f>PROPER(TRIM(Employee_dataset[[#This Row],[First_Name]]))</f>
        <v>Heidi</v>
      </c>
      <c r="C730" t="str">
        <f>PROPER(TRIM(Employee_dataset[[#This Row],[Last_Name]]))</f>
        <v>Jones</v>
      </c>
      <c r="D730" s="6" t="str">
        <f>_xlfn.LET(
     _xlpm.a, TRIM(Employee_dataset[[#This Row],[Age]]),
     IF(
        _xlpm.a="","",
        IF(
           AND(ISNUMBER(--_xlpm.a),LEN(_xlpm.a)=2),_xlpm.a,""
          )
       )
    )</f>
        <v/>
      </c>
      <c r="E730" t="str">
        <f>TRIM(_xlfn.TEXTBEFORE(Employee_dataset[[#This Row],[Department_Region]],"-"))</f>
        <v>Admin</v>
      </c>
      <c r="F730" t="str">
        <f>TRIM(_xlfn.TEXTAFTER(Employee_dataset[[#This Row],[Department_Region]],"-"))</f>
        <v>Florida</v>
      </c>
      <c r="G730" t="str">
        <f>TRIM(Employee_dataset[[#This Row],[Status]])</f>
        <v>Inactive</v>
      </c>
      <c r="H730" s="1">
        <f>_xlfn.LET(
     _xlpm.d, Employee_dataset[[#This Row],[Join_Date]],
     IF(
        ISNUMBER(_xlpm.d),_xlpm.d,""
       )
    )</f>
        <v>45166</v>
      </c>
      <c r="I730" s="6">
        <f>_xlfn.LET(
     _xlpm.s, TRIM(Employee_dataset[[#This Row],[Salary]]),
     IF(
        UPPER(_xlpm.s)="N/A","",
        IF(
           ISNUMBER(--_xlpm.s),ROUND(_xlfn.NUMBERVALUE(_xlpm.s),2),""
          )
       )
    )</f>
        <v>89993.15</v>
      </c>
      <c r="J730" t="str">
        <f>TRIM(Employee_dataset[[#This Row],[Email]])</f>
        <v>heidi.jones@example.com</v>
      </c>
      <c r="K730" t="str">
        <f>_xlfn.LET(
     _xlpm.p,TRIM(SUBSTITUTE(Employee_dataset[[#This Row],[Phone]],"-","")),
     IF(
        LEN(_xlpm.p)=10,_xlfn.CONCAT("("&amp;LEFT(_xlpm.p,3)&amp;") "&amp;MID(_xlpm.p,4,3)&amp;"-"&amp;RIGHT(_xlpm.p,4),"")
       )
     )</f>
        <v>(157) 184-0907</v>
      </c>
      <c r="L730" t="str">
        <f>TRIM(Employee_dataset[[#This Row],[Performance_Score]])</f>
        <v>Average</v>
      </c>
      <c r="M730" t="str">
        <f>TRIM(Employee_dataset[[#This Row],[Remote_Work]])</f>
        <v>TRUE</v>
      </c>
    </row>
    <row r="731" spans="1:13" x14ac:dyDescent="0.3">
      <c r="A731" t="str">
        <f>TRIM(Employee_dataset[[#This Row],[Employee_ID]])</f>
        <v>EMP1729</v>
      </c>
      <c r="B731" t="str">
        <f>PROPER(TRIM(Employee_dataset[[#This Row],[First_Name]]))</f>
        <v>David</v>
      </c>
      <c r="C731" t="str">
        <f>PROPER(TRIM(Employee_dataset[[#This Row],[Last_Name]]))</f>
        <v>Brown</v>
      </c>
      <c r="D731" s="6" t="str">
        <f>_xlfn.LET(
     _xlpm.a, TRIM(Employee_dataset[[#This Row],[Age]]),
     IF(
        _xlpm.a="","",
        IF(
           AND(ISNUMBER(--_xlpm.a),LEN(_xlpm.a)=2),_xlpm.a,""
          )
       )
    )</f>
        <v>30</v>
      </c>
      <c r="E731" t="str">
        <f>TRIM(_xlfn.TEXTBEFORE(Employee_dataset[[#This Row],[Department_Region]],"-"))</f>
        <v>Cloud Tech</v>
      </c>
      <c r="F731" t="str">
        <f>TRIM(_xlfn.TEXTAFTER(Employee_dataset[[#This Row],[Department_Region]],"-"))</f>
        <v>California</v>
      </c>
      <c r="G731" t="str">
        <f>TRIM(Employee_dataset[[#This Row],[Status]])</f>
        <v>Inactive</v>
      </c>
      <c r="H731" s="1">
        <f>_xlfn.LET(
     _xlpm.d, Employee_dataset[[#This Row],[Join_Date]],
     IF(
        ISNUMBER(_xlpm.d),_xlpm.d,""
       )
    )</f>
        <v>44493</v>
      </c>
      <c r="I731" s="6">
        <f>_xlfn.LET(
     _xlpm.s, TRIM(Employee_dataset[[#This Row],[Salary]]),
     IF(
        UPPER(_xlpm.s)="N/A","",
        IF(
           ISNUMBER(--_xlpm.s),ROUND(_xlfn.NUMBERVALUE(_xlpm.s),2),""
          )
       )
    )</f>
        <v>97931.66</v>
      </c>
      <c r="J731" t="str">
        <f>TRIM(Employee_dataset[[#This Row],[Email]])</f>
        <v>david.brown@example.com</v>
      </c>
      <c r="K731" t="b">
        <f>_xlfn.LET(
     _xlpm.p,TRIM(SUBSTITUTE(Employee_dataset[[#This Row],[Phone]],"-","")),
     IF(
        LEN(_xlpm.p)=10,_xlfn.CONCAT("("&amp;LEFT(_xlpm.p,3)&amp;") "&amp;MID(_xlpm.p,4,3)&amp;"-"&amp;RIGHT(_xlpm.p,4),"")
       )
     )</f>
        <v>0</v>
      </c>
      <c r="L731" t="str">
        <f>TRIM(Employee_dataset[[#This Row],[Performance_Score]])</f>
        <v>Average</v>
      </c>
      <c r="M731" t="str">
        <f>TRIM(Employee_dataset[[#This Row],[Remote_Work]])</f>
        <v>TRUE</v>
      </c>
    </row>
    <row r="732" spans="1:13" x14ac:dyDescent="0.3">
      <c r="A732" t="str">
        <f>TRIM(Employee_dataset[[#This Row],[Employee_ID]])</f>
        <v>EMP1730</v>
      </c>
      <c r="B732" t="str">
        <f>PROPER(TRIM(Employee_dataset[[#This Row],[First_Name]]))</f>
        <v>Bob</v>
      </c>
      <c r="C732" t="str">
        <f>PROPER(TRIM(Employee_dataset[[#This Row],[Last_Name]]))</f>
        <v>Williams</v>
      </c>
      <c r="D732" s="6" t="str">
        <f>_xlfn.LET(
     _xlpm.a, TRIM(Employee_dataset[[#This Row],[Age]]),
     IF(
        _xlpm.a="","",
        IF(
           AND(ISNUMBER(--_xlpm.a),LEN(_xlpm.a)=2),_xlpm.a,""
          )
       )
    )</f>
        <v>40</v>
      </c>
      <c r="E732" t="str">
        <f>TRIM(_xlfn.TEXTBEFORE(Employee_dataset[[#This Row],[Department_Region]],"-"))</f>
        <v>Finance</v>
      </c>
      <c r="F732" t="str">
        <f>TRIM(_xlfn.TEXTAFTER(Employee_dataset[[#This Row],[Department_Region]],"-"))</f>
        <v>California</v>
      </c>
      <c r="G732" t="str">
        <f>TRIM(Employee_dataset[[#This Row],[Status]])</f>
        <v>Inactive</v>
      </c>
      <c r="H732" s="1">
        <f>_xlfn.LET(
     _xlpm.d, Employee_dataset[[#This Row],[Join_Date]],
     IF(
        ISNUMBER(_xlpm.d),_xlpm.d,""
       )
    )</f>
        <v>44221</v>
      </c>
      <c r="I732" s="6">
        <f>_xlfn.LET(
     _xlpm.s, TRIM(Employee_dataset[[#This Row],[Salary]]),
     IF(
        UPPER(_xlpm.s)="N/A","",
        IF(
           ISNUMBER(--_xlpm.s),ROUND(_xlfn.NUMBERVALUE(_xlpm.s),2),""
          )
       )
    )</f>
        <v>72451.69</v>
      </c>
      <c r="J732" t="str">
        <f>TRIM(Employee_dataset[[#This Row],[Email]])</f>
        <v>bob.williams@example.com</v>
      </c>
      <c r="K732" t="str">
        <f>_xlfn.LET(
     _xlpm.p,TRIM(SUBSTITUTE(Employee_dataset[[#This Row],[Phone]],"-","")),
     IF(
        LEN(_xlpm.p)=10,_xlfn.CONCAT("("&amp;LEFT(_xlpm.p,3)&amp;") "&amp;MID(_xlpm.p,4,3)&amp;"-"&amp;RIGHT(_xlpm.p,4),"")
       )
     )</f>
        <v>(409) 951-2396</v>
      </c>
      <c r="L732" t="str">
        <f>TRIM(Employee_dataset[[#This Row],[Performance_Score]])</f>
        <v>Poor</v>
      </c>
      <c r="M732" t="str">
        <f>TRIM(Employee_dataset[[#This Row],[Remote_Work]])</f>
        <v>TRUE</v>
      </c>
    </row>
    <row r="733" spans="1:13" x14ac:dyDescent="0.3">
      <c r="A733" t="str">
        <f>TRIM(Employee_dataset[[#This Row],[Employee_ID]])</f>
        <v>EMP1731</v>
      </c>
      <c r="B733" t="str">
        <f>PROPER(TRIM(Employee_dataset[[#This Row],[First_Name]]))</f>
        <v>Alice</v>
      </c>
      <c r="C733" t="str">
        <f>PROPER(TRIM(Employee_dataset[[#This Row],[Last_Name]]))</f>
        <v>Smith</v>
      </c>
      <c r="D733" s="6" t="str">
        <f>_xlfn.LET(
     _xlpm.a, TRIM(Employee_dataset[[#This Row],[Age]]),
     IF(
        _xlpm.a="","",
        IF(
           AND(ISNUMBER(--_xlpm.a),LEN(_xlpm.a)=2),_xlpm.a,""
          )
       )
    )</f>
        <v>35</v>
      </c>
      <c r="E733" t="str">
        <f>TRIM(_xlfn.TEXTBEFORE(Employee_dataset[[#This Row],[Department_Region]],"-"))</f>
        <v>Admin</v>
      </c>
      <c r="F733" t="str">
        <f>TRIM(_xlfn.TEXTAFTER(Employee_dataset[[#This Row],[Department_Region]],"-"))</f>
        <v>California</v>
      </c>
      <c r="G733" t="str">
        <f>TRIM(Employee_dataset[[#This Row],[Status]])</f>
        <v>Pending</v>
      </c>
      <c r="H733" s="1">
        <f>_xlfn.LET(
     _xlpm.d, Employee_dataset[[#This Row],[Join_Date]],
     IF(
        ISNUMBER(_xlpm.d),_xlpm.d,""
       )
    )</f>
        <v>45513</v>
      </c>
      <c r="I733" s="6">
        <f>_xlfn.LET(
     _xlpm.s, TRIM(Employee_dataset[[#This Row],[Salary]]),
     IF(
        UPPER(_xlpm.s)="N/A","",
        IF(
           ISNUMBER(--_xlpm.s),ROUND(_xlfn.NUMBERVALUE(_xlpm.s),2),""
          )
       )
    )</f>
        <v>119311.14</v>
      </c>
      <c r="J733" t="str">
        <f>TRIM(Employee_dataset[[#This Row],[Email]])</f>
        <v>alice.smith@example.com</v>
      </c>
      <c r="K733" t="str">
        <f>_xlfn.LET(
     _xlpm.p,TRIM(SUBSTITUTE(Employee_dataset[[#This Row],[Phone]],"-","")),
     IF(
        LEN(_xlpm.p)=10,_xlfn.CONCAT("("&amp;LEFT(_xlpm.p,3)&amp;") "&amp;MID(_xlpm.p,4,3)&amp;"-"&amp;RIGHT(_xlpm.p,4),"")
       )
     )</f>
        <v>(283) 512-9591</v>
      </c>
      <c r="L733" t="str">
        <f>TRIM(Employee_dataset[[#This Row],[Performance_Score]])</f>
        <v>Poor</v>
      </c>
      <c r="M733" t="str">
        <f>TRIM(Employee_dataset[[#This Row],[Remote_Work]])</f>
        <v>TRUE</v>
      </c>
    </row>
    <row r="734" spans="1:13" x14ac:dyDescent="0.3">
      <c r="A734" t="str">
        <f>TRIM(Employee_dataset[[#This Row],[Employee_ID]])</f>
        <v>EMP1732</v>
      </c>
      <c r="B734" t="str">
        <f>PROPER(TRIM(Employee_dataset[[#This Row],[First_Name]]))</f>
        <v>Charlie</v>
      </c>
      <c r="C734" t="str">
        <f>PROPER(TRIM(Employee_dataset[[#This Row],[Last_Name]]))</f>
        <v>Smith</v>
      </c>
      <c r="D734" s="6" t="str">
        <f>_xlfn.LET(
     _xlpm.a, TRIM(Employee_dataset[[#This Row],[Age]]),
     IF(
        _xlpm.a="","",
        IF(
           AND(ISNUMBER(--_xlpm.a),LEN(_xlpm.a)=2),_xlpm.a,""
          )
       )
    )</f>
        <v>40</v>
      </c>
      <c r="E734" t="str">
        <f>TRIM(_xlfn.TEXTBEFORE(Employee_dataset[[#This Row],[Department_Region]],"-"))</f>
        <v>Cloud Tech</v>
      </c>
      <c r="F734" t="str">
        <f>TRIM(_xlfn.TEXTAFTER(Employee_dataset[[#This Row],[Department_Region]],"-"))</f>
        <v>New York</v>
      </c>
      <c r="G734" t="str">
        <f>TRIM(Employee_dataset[[#This Row],[Status]])</f>
        <v>Active</v>
      </c>
      <c r="H734" s="1">
        <f>_xlfn.LET(
     _xlpm.d, Employee_dataset[[#This Row],[Join_Date]],
     IF(
        ISNUMBER(_xlpm.d),_xlpm.d,""
       )
    )</f>
        <v>45234</v>
      </c>
      <c r="I734" s="6">
        <f>_xlfn.LET(
     _xlpm.s, TRIM(Employee_dataset[[#This Row],[Salary]]),
     IF(
        UPPER(_xlpm.s)="N/A","",
        IF(
           ISNUMBER(--_xlpm.s),ROUND(_xlfn.NUMBERVALUE(_xlpm.s),2),""
          )
       )
    )</f>
        <v>76167.460000000006</v>
      </c>
      <c r="J734" t="str">
        <f>TRIM(Employee_dataset[[#This Row],[Email]])</f>
        <v>charlie.smith@example.com</v>
      </c>
      <c r="K734" t="str">
        <f>_xlfn.LET(
     _xlpm.p,TRIM(SUBSTITUTE(Employee_dataset[[#This Row],[Phone]],"-","")),
     IF(
        LEN(_xlpm.p)=10,_xlfn.CONCAT("("&amp;LEFT(_xlpm.p,3)&amp;") "&amp;MID(_xlpm.p,4,3)&amp;"-"&amp;RIGHT(_xlpm.p,4),"")
       )
     )</f>
        <v>(728) 270-9080</v>
      </c>
      <c r="L734" t="str">
        <f>TRIM(Employee_dataset[[#This Row],[Performance_Score]])</f>
        <v>Good</v>
      </c>
      <c r="M734" t="str">
        <f>TRIM(Employee_dataset[[#This Row],[Remote_Work]])</f>
        <v>FALSE</v>
      </c>
    </row>
    <row r="735" spans="1:13" x14ac:dyDescent="0.3">
      <c r="A735" t="str">
        <f>TRIM(Employee_dataset[[#This Row],[Employee_ID]])</f>
        <v>EMP1733</v>
      </c>
      <c r="B735" t="str">
        <f>PROPER(TRIM(Employee_dataset[[#This Row],[First_Name]]))</f>
        <v>Bob</v>
      </c>
      <c r="C735" t="str">
        <f>PROPER(TRIM(Employee_dataset[[#This Row],[Last_Name]]))</f>
        <v>Garcia</v>
      </c>
      <c r="D735" s="6" t="str">
        <f>_xlfn.LET(
     _xlpm.a, TRIM(Employee_dataset[[#This Row],[Age]]),
     IF(
        _xlpm.a="","",
        IF(
           AND(ISNUMBER(--_xlpm.a),LEN(_xlpm.a)=2),_xlpm.a,""
          )
       )
    )</f>
        <v>25</v>
      </c>
      <c r="E735" t="str">
        <f>TRIM(_xlfn.TEXTBEFORE(Employee_dataset[[#This Row],[Department_Region]],"-"))</f>
        <v>DevOps</v>
      </c>
      <c r="F735" t="str">
        <f>TRIM(_xlfn.TEXTAFTER(Employee_dataset[[#This Row],[Department_Region]],"-"))</f>
        <v>Texas</v>
      </c>
      <c r="G735" t="str">
        <f>TRIM(Employee_dataset[[#This Row],[Status]])</f>
        <v>Active</v>
      </c>
      <c r="H735" s="1">
        <f>_xlfn.LET(
     _xlpm.d, Employee_dataset[[#This Row],[Join_Date]],
     IF(
        ISNUMBER(_xlpm.d),_xlpm.d,""
       )
    )</f>
        <v>45102</v>
      </c>
      <c r="I735" s="6">
        <f>_xlfn.LET(
     _xlpm.s, TRIM(Employee_dataset[[#This Row],[Salary]]),
     IF(
        UPPER(_xlpm.s)="N/A","",
        IF(
           ISNUMBER(--_xlpm.s),ROUND(_xlfn.NUMBERVALUE(_xlpm.s),2),""
          )
       )
    )</f>
        <v>114871.08</v>
      </c>
      <c r="J735" t="str">
        <f>TRIM(Employee_dataset[[#This Row],[Email]])</f>
        <v>bob.garcia@example.com</v>
      </c>
      <c r="K735" t="str">
        <f>_xlfn.LET(
     _xlpm.p,TRIM(SUBSTITUTE(Employee_dataset[[#This Row],[Phone]],"-","")),
     IF(
        LEN(_xlpm.p)=10,_xlfn.CONCAT("("&amp;LEFT(_xlpm.p,3)&amp;") "&amp;MID(_xlpm.p,4,3)&amp;"-"&amp;RIGHT(_xlpm.p,4),"")
       )
     )</f>
        <v>(441) 529-8216</v>
      </c>
      <c r="L735" t="str">
        <f>TRIM(Employee_dataset[[#This Row],[Performance_Score]])</f>
        <v>Average</v>
      </c>
      <c r="M735" t="str">
        <f>TRIM(Employee_dataset[[#This Row],[Remote_Work]])</f>
        <v>FALSE</v>
      </c>
    </row>
    <row r="736" spans="1:13" x14ac:dyDescent="0.3">
      <c r="A736" t="str">
        <f>TRIM(Employee_dataset[[#This Row],[Employee_ID]])</f>
        <v>EMP1734</v>
      </c>
      <c r="B736" t="str">
        <f>PROPER(TRIM(Employee_dataset[[#This Row],[First_Name]]))</f>
        <v>Eva</v>
      </c>
      <c r="C736" t="str">
        <f>PROPER(TRIM(Employee_dataset[[#This Row],[Last_Name]]))</f>
        <v>Johnson</v>
      </c>
      <c r="D736" s="6" t="str">
        <f>_xlfn.LET(
     _xlpm.a, TRIM(Employee_dataset[[#This Row],[Age]]),
     IF(
        _xlpm.a="","",
        IF(
           AND(ISNUMBER(--_xlpm.a),LEN(_xlpm.a)=2),_xlpm.a,""
          )
       )
    )</f>
        <v>25</v>
      </c>
      <c r="E736" t="str">
        <f>TRIM(_xlfn.TEXTBEFORE(Employee_dataset[[#This Row],[Department_Region]],"-"))</f>
        <v>HR</v>
      </c>
      <c r="F736" t="str">
        <f>TRIM(_xlfn.TEXTAFTER(Employee_dataset[[#This Row],[Department_Region]],"-"))</f>
        <v>Nevada</v>
      </c>
      <c r="G736" t="str">
        <f>TRIM(Employee_dataset[[#This Row],[Status]])</f>
        <v>Active</v>
      </c>
      <c r="H736" s="1">
        <f>_xlfn.LET(
     _xlpm.d, Employee_dataset[[#This Row],[Join_Date]],
     IF(
        ISNUMBER(_xlpm.d),_xlpm.d,""
       )
    )</f>
        <v>44455</v>
      </c>
      <c r="I736" s="6">
        <f>_xlfn.LET(
     _xlpm.s, TRIM(Employee_dataset[[#This Row],[Salary]]),
     IF(
        UPPER(_xlpm.s)="N/A","",
        IF(
           ISNUMBER(--_xlpm.s),ROUND(_xlfn.NUMBERVALUE(_xlpm.s),2),""
          )
       )
    )</f>
        <v>81504.31</v>
      </c>
      <c r="J736" t="str">
        <f>TRIM(Employee_dataset[[#This Row],[Email]])</f>
        <v>eva.johnson@example.com</v>
      </c>
      <c r="K736" t="str">
        <f>_xlfn.LET(
     _xlpm.p,TRIM(SUBSTITUTE(Employee_dataset[[#This Row],[Phone]],"-","")),
     IF(
        LEN(_xlpm.p)=10,_xlfn.CONCAT("("&amp;LEFT(_xlpm.p,3)&amp;") "&amp;MID(_xlpm.p,4,3)&amp;"-"&amp;RIGHT(_xlpm.p,4),"")
       )
     )</f>
        <v>(392) 957-8670</v>
      </c>
      <c r="L736" t="str">
        <f>TRIM(Employee_dataset[[#This Row],[Performance_Score]])</f>
        <v>Excellent</v>
      </c>
      <c r="M736" t="str">
        <f>TRIM(Employee_dataset[[#This Row],[Remote_Work]])</f>
        <v>FALSE</v>
      </c>
    </row>
    <row r="737" spans="1:13" x14ac:dyDescent="0.3">
      <c r="A737" t="str">
        <f>TRIM(Employee_dataset[[#This Row],[Employee_ID]])</f>
        <v>EMP1735</v>
      </c>
      <c r="B737" t="str">
        <f>PROPER(TRIM(Employee_dataset[[#This Row],[First_Name]]))</f>
        <v>David</v>
      </c>
      <c r="C737" t="str">
        <f>PROPER(TRIM(Employee_dataset[[#This Row],[Last_Name]]))</f>
        <v>Williams</v>
      </c>
      <c r="D737" s="6" t="str">
        <f>_xlfn.LET(
     _xlpm.a, TRIM(Employee_dataset[[#This Row],[Age]]),
     IF(
        _xlpm.a="","",
        IF(
           AND(ISNUMBER(--_xlpm.a),LEN(_xlpm.a)=2),_xlpm.a,""
          )
       )
    )</f>
        <v/>
      </c>
      <c r="E737" t="str">
        <f>TRIM(_xlfn.TEXTBEFORE(Employee_dataset[[#This Row],[Department_Region]],"-"))</f>
        <v>Admin</v>
      </c>
      <c r="F737" t="str">
        <f>TRIM(_xlfn.TEXTAFTER(Employee_dataset[[#This Row],[Department_Region]],"-"))</f>
        <v>New York</v>
      </c>
      <c r="G737" t="str">
        <f>TRIM(Employee_dataset[[#This Row],[Status]])</f>
        <v>Pending</v>
      </c>
      <c r="H737" s="1">
        <f>_xlfn.LET(
     _xlpm.d, Employee_dataset[[#This Row],[Join_Date]],
     IF(
        ISNUMBER(_xlpm.d),_xlpm.d,""
       )
    )</f>
        <v>44902</v>
      </c>
      <c r="I737" s="6">
        <f>_xlfn.LET(
     _xlpm.s, TRIM(Employee_dataset[[#This Row],[Salary]]),
     IF(
        UPPER(_xlpm.s)="N/A","",
        IF(
           ISNUMBER(--_xlpm.s),ROUND(_xlfn.NUMBERVALUE(_xlpm.s),2),""
          )
       )
    )</f>
        <v>102524.86</v>
      </c>
      <c r="J737" t="str">
        <f>TRIM(Employee_dataset[[#This Row],[Email]])</f>
        <v>david.williams@example.com</v>
      </c>
      <c r="K737" t="str">
        <f>_xlfn.LET(
     _xlpm.p,TRIM(SUBSTITUTE(Employee_dataset[[#This Row],[Phone]],"-","")),
     IF(
        LEN(_xlpm.p)=10,_xlfn.CONCAT("("&amp;LEFT(_xlpm.p,3)&amp;") "&amp;MID(_xlpm.p,4,3)&amp;"-"&amp;RIGHT(_xlpm.p,4),"")
       )
     )</f>
        <v>(815) 352-3735</v>
      </c>
      <c r="L737" t="str">
        <f>TRIM(Employee_dataset[[#This Row],[Performance_Score]])</f>
        <v>Poor</v>
      </c>
      <c r="M737" t="str">
        <f>TRIM(Employee_dataset[[#This Row],[Remote_Work]])</f>
        <v>FALSE</v>
      </c>
    </row>
    <row r="738" spans="1:13" x14ac:dyDescent="0.3">
      <c r="A738" t="str">
        <f>TRIM(Employee_dataset[[#This Row],[Employee_ID]])</f>
        <v>EMP1736</v>
      </c>
      <c r="B738" t="str">
        <f>PROPER(TRIM(Employee_dataset[[#This Row],[First_Name]]))</f>
        <v>Charlie</v>
      </c>
      <c r="C738" t="str">
        <f>PROPER(TRIM(Employee_dataset[[#This Row],[Last_Name]]))</f>
        <v>Brown</v>
      </c>
      <c r="D738" s="6" t="str">
        <f>_xlfn.LET(
     _xlpm.a, TRIM(Employee_dataset[[#This Row],[Age]]),
     IF(
        _xlpm.a="","",
        IF(
           AND(ISNUMBER(--_xlpm.a),LEN(_xlpm.a)=2),_xlpm.a,""
          )
       )
    )</f>
        <v>25</v>
      </c>
      <c r="E738" t="str">
        <f>TRIM(_xlfn.TEXTBEFORE(Employee_dataset[[#This Row],[Department_Region]],"-"))</f>
        <v>Finance</v>
      </c>
      <c r="F738" t="str">
        <f>TRIM(_xlfn.TEXTAFTER(Employee_dataset[[#This Row],[Department_Region]],"-"))</f>
        <v>Illinois</v>
      </c>
      <c r="G738" t="str">
        <f>TRIM(Employee_dataset[[#This Row],[Status]])</f>
        <v>Pending</v>
      </c>
      <c r="H738" s="1">
        <f>_xlfn.LET(
     _xlpm.d, Employee_dataset[[#This Row],[Join_Date]],
     IF(
        ISNUMBER(_xlpm.d),_xlpm.d,""
       )
    )</f>
        <v>44909</v>
      </c>
      <c r="I738" s="6">
        <f>_xlfn.LET(
     _xlpm.s, TRIM(Employee_dataset[[#This Row],[Salary]]),
     IF(
        UPPER(_xlpm.s)="N/A","",
        IF(
           ISNUMBER(--_xlpm.s),ROUND(_xlfn.NUMBERVALUE(_xlpm.s),2),""
          )
       )
    )</f>
        <v>53043.74</v>
      </c>
      <c r="J738" t="str">
        <f>TRIM(Employee_dataset[[#This Row],[Email]])</f>
        <v>charlie.brown@example.com</v>
      </c>
      <c r="K738" t="b">
        <f>_xlfn.LET(
     _xlpm.p,TRIM(SUBSTITUTE(Employee_dataset[[#This Row],[Phone]],"-","")),
     IF(
        LEN(_xlpm.p)=10,_xlfn.CONCAT("("&amp;LEFT(_xlpm.p,3)&amp;") "&amp;MID(_xlpm.p,4,3)&amp;"-"&amp;RIGHT(_xlpm.p,4),"")
       )
     )</f>
        <v>0</v>
      </c>
      <c r="L738" t="str">
        <f>TRIM(Employee_dataset[[#This Row],[Performance_Score]])</f>
        <v>Excellent</v>
      </c>
      <c r="M738" t="str">
        <f>TRIM(Employee_dataset[[#This Row],[Remote_Work]])</f>
        <v>TRUE</v>
      </c>
    </row>
    <row r="739" spans="1:13" x14ac:dyDescent="0.3">
      <c r="A739" t="str">
        <f>TRIM(Employee_dataset[[#This Row],[Employee_ID]])</f>
        <v>EMP1737</v>
      </c>
      <c r="B739" t="str">
        <f>PROPER(TRIM(Employee_dataset[[#This Row],[First_Name]]))</f>
        <v>Eva</v>
      </c>
      <c r="C739" t="str">
        <f>PROPER(TRIM(Employee_dataset[[#This Row],[Last_Name]]))</f>
        <v>Jones</v>
      </c>
      <c r="D739" s="6" t="str">
        <f>_xlfn.LET(
     _xlpm.a, TRIM(Employee_dataset[[#This Row],[Age]]),
     IF(
        _xlpm.a="","",
        IF(
           AND(ISNUMBER(--_xlpm.a),LEN(_xlpm.a)=2),_xlpm.a,""
          )
       )
    )</f>
        <v>30</v>
      </c>
      <c r="E739" t="str">
        <f>TRIM(_xlfn.TEXTBEFORE(Employee_dataset[[#This Row],[Department_Region]],"-"))</f>
        <v>DevOps</v>
      </c>
      <c r="F739" t="str">
        <f>TRIM(_xlfn.TEXTAFTER(Employee_dataset[[#This Row],[Department_Region]],"-"))</f>
        <v>Illinois</v>
      </c>
      <c r="G739" t="str">
        <f>TRIM(Employee_dataset[[#This Row],[Status]])</f>
        <v>Inactive</v>
      </c>
      <c r="H739" s="1">
        <f>_xlfn.LET(
     _xlpm.d, Employee_dataset[[#This Row],[Join_Date]],
     IF(
        ISNUMBER(_xlpm.d),_xlpm.d,""
       )
    )</f>
        <v>43939</v>
      </c>
      <c r="I739" s="6">
        <f>_xlfn.LET(
     _xlpm.s, TRIM(Employee_dataset[[#This Row],[Salary]]),
     IF(
        UPPER(_xlpm.s)="N/A","",
        IF(
           ISNUMBER(--_xlpm.s),ROUND(_xlfn.NUMBERVALUE(_xlpm.s),2),""
          )
       )
    )</f>
        <v>82547.259999999995</v>
      </c>
      <c r="J739" t="str">
        <f>TRIM(Employee_dataset[[#This Row],[Email]])</f>
        <v>eva.jones@example.com</v>
      </c>
      <c r="K739" t="str">
        <f>_xlfn.LET(
     _xlpm.p,TRIM(SUBSTITUTE(Employee_dataset[[#This Row],[Phone]],"-","")),
     IF(
        LEN(_xlpm.p)=10,_xlfn.CONCAT("("&amp;LEFT(_xlpm.p,3)&amp;") "&amp;MID(_xlpm.p,4,3)&amp;"-"&amp;RIGHT(_xlpm.p,4),"")
       )
     )</f>
        <v>(998) 868-3451</v>
      </c>
      <c r="L739" t="str">
        <f>TRIM(Employee_dataset[[#This Row],[Performance_Score]])</f>
        <v>Excellent</v>
      </c>
      <c r="M739" t="str">
        <f>TRIM(Employee_dataset[[#This Row],[Remote_Work]])</f>
        <v>TRUE</v>
      </c>
    </row>
    <row r="740" spans="1:13" x14ac:dyDescent="0.3">
      <c r="A740" t="str">
        <f>TRIM(Employee_dataset[[#This Row],[Employee_ID]])</f>
        <v>EMP1738</v>
      </c>
      <c r="B740" t="str">
        <f>PROPER(TRIM(Employee_dataset[[#This Row],[First_Name]]))</f>
        <v>Bob</v>
      </c>
      <c r="C740" t="str">
        <f>PROPER(TRIM(Employee_dataset[[#This Row],[Last_Name]]))</f>
        <v>Jones</v>
      </c>
      <c r="D740" s="6" t="str">
        <f>_xlfn.LET(
     _xlpm.a, TRIM(Employee_dataset[[#This Row],[Age]]),
     IF(
        _xlpm.a="","",
        IF(
           AND(ISNUMBER(--_xlpm.a),LEN(_xlpm.a)=2),_xlpm.a,""
          )
       )
    )</f>
        <v>40</v>
      </c>
      <c r="E740" t="str">
        <f>TRIM(_xlfn.TEXTBEFORE(Employee_dataset[[#This Row],[Department_Region]],"-"))</f>
        <v>DevOps</v>
      </c>
      <c r="F740" t="str">
        <f>TRIM(_xlfn.TEXTAFTER(Employee_dataset[[#This Row],[Department_Region]],"-"))</f>
        <v>California</v>
      </c>
      <c r="G740" t="str">
        <f>TRIM(Employee_dataset[[#This Row],[Status]])</f>
        <v>Pending</v>
      </c>
      <c r="H740" s="1">
        <f>_xlfn.LET(
     _xlpm.d, Employee_dataset[[#This Row],[Join_Date]],
     IF(
        ISNUMBER(_xlpm.d),_xlpm.d,""
       )
    )</f>
        <v>45576</v>
      </c>
      <c r="I740" s="6">
        <f>_xlfn.LET(
     _xlpm.s, TRIM(Employee_dataset[[#This Row],[Salary]]),
     IF(
        UPPER(_xlpm.s)="N/A","",
        IF(
           ISNUMBER(--_xlpm.s),ROUND(_xlfn.NUMBERVALUE(_xlpm.s),2),""
          )
       )
    )</f>
        <v>113900.81</v>
      </c>
      <c r="J740" t="str">
        <f>TRIM(Employee_dataset[[#This Row],[Email]])</f>
        <v>bob.jones@example.com</v>
      </c>
      <c r="K740" t="str">
        <f>_xlfn.LET(
     _xlpm.p,TRIM(SUBSTITUTE(Employee_dataset[[#This Row],[Phone]],"-","")),
     IF(
        LEN(_xlpm.p)=10,_xlfn.CONCAT("("&amp;LEFT(_xlpm.p,3)&amp;") "&amp;MID(_xlpm.p,4,3)&amp;"-"&amp;RIGHT(_xlpm.p,4),"")
       )
     )</f>
        <v>(734) 666-6169</v>
      </c>
      <c r="L740" t="str">
        <f>TRIM(Employee_dataset[[#This Row],[Performance_Score]])</f>
        <v>Average</v>
      </c>
      <c r="M740" t="str">
        <f>TRIM(Employee_dataset[[#This Row],[Remote_Work]])</f>
        <v>TRUE</v>
      </c>
    </row>
    <row r="741" spans="1:13" x14ac:dyDescent="0.3">
      <c r="A741" t="str">
        <f>TRIM(Employee_dataset[[#This Row],[Employee_ID]])</f>
        <v>EMP1739</v>
      </c>
      <c r="B741" t="str">
        <f>PROPER(TRIM(Employee_dataset[[#This Row],[First_Name]]))</f>
        <v>Bob</v>
      </c>
      <c r="C741" t="str">
        <f>PROPER(TRIM(Employee_dataset[[#This Row],[Last_Name]]))</f>
        <v>Brown</v>
      </c>
      <c r="D741" s="6" t="str">
        <f>_xlfn.LET(
     _xlpm.a, TRIM(Employee_dataset[[#This Row],[Age]]),
     IF(
        _xlpm.a="","",
        IF(
           AND(ISNUMBER(--_xlpm.a),LEN(_xlpm.a)=2),_xlpm.a,""
          )
       )
    )</f>
        <v>25</v>
      </c>
      <c r="E741" t="str">
        <f>TRIM(_xlfn.TEXTBEFORE(Employee_dataset[[#This Row],[Department_Region]],"-"))</f>
        <v>HR</v>
      </c>
      <c r="F741" t="str">
        <f>TRIM(_xlfn.TEXTAFTER(Employee_dataset[[#This Row],[Department_Region]],"-"))</f>
        <v>Nevada</v>
      </c>
      <c r="G741" t="str">
        <f>TRIM(Employee_dataset[[#This Row],[Status]])</f>
        <v>Inactive</v>
      </c>
      <c r="H741" s="1">
        <f>_xlfn.LET(
     _xlpm.d, Employee_dataset[[#This Row],[Join_Date]],
     IF(
        ISNUMBER(_xlpm.d),_xlpm.d,""
       )
    )</f>
        <v>44304</v>
      </c>
      <c r="I741" s="6">
        <f>_xlfn.LET(
     _xlpm.s, TRIM(Employee_dataset[[#This Row],[Salary]]),
     IF(
        UPPER(_xlpm.s)="N/A","",
        IF(
           ISNUMBER(--_xlpm.s),ROUND(_xlfn.NUMBERVALUE(_xlpm.s),2),""
          )
       )
    )</f>
        <v>118585.5</v>
      </c>
      <c r="J741" t="str">
        <f>TRIM(Employee_dataset[[#This Row],[Email]])</f>
        <v>bob.brown@example.com</v>
      </c>
      <c r="K741" t="str">
        <f>_xlfn.LET(
     _xlpm.p,TRIM(SUBSTITUTE(Employee_dataset[[#This Row],[Phone]],"-","")),
     IF(
        LEN(_xlpm.p)=10,_xlfn.CONCAT("("&amp;LEFT(_xlpm.p,3)&amp;") "&amp;MID(_xlpm.p,4,3)&amp;"-"&amp;RIGHT(_xlpm.p,4),"")
       )
     )</f>
        <v>(715) 879-6473</v>
      </c>
      <c r="L741" t="str">
        <f>TRIM(Employee_dataset[[#This Row],[Performance_Score]])</f>
        <v>Average</v>
      </c>
      <c r="M741" t="str">
        <f>TRIM(Employee_dataset[[#This Row],[Remote_Work]])</f>
        <v>TRUE</v>
      </c>
    </row>
    <row r="742" spans="1:13" x14ac:dyDescent="0.3">
      <c r="A742" t="str">
        <f>TRIM(Employee_dataset[[#This Row],[Employee_ID]])</f>
        <v>EMP1740</v>
      </c>
      <c r="B742" t="str">
        <f>PROPER(TRIM(Employee_dataset[[#This Row],[First_Name]]))</f>
        <v>Bob</v>
      </c>
      <c r="C742" t="str">
        <f>PROPER(TRIM(Employee_dataset[[#This Row],[Last_Name]]))</f>
        <v>Davis</v>
      </c>
      <c r="D742" s="6" t="str">
        <f>_xlfn.LET(
     _xlpm.a, TRIM(Employee_dataset[[#This Row],[Age]]),
     IF(
        _xlpm.a="","",
        IF(
           AND(ISNUMBER(--_xlpm.a),LEN(_xlpm.a)=2),_xlpm.a,""
          )
       )
    )</f>
        <v>35</v>
      </c>
      <c r="E742" t="str">
        <f>TRIM(_xlfn.TEXTBEFORE(Employee_dataset[[#This Row],[Department_Region]],"-"))</f>
        <v>Finance</v>
      </c>
      <c r="F742" t="str">
        <f>TRIM(_xlfn.TEXTAFTER(Employee_dataset[[#This Row],[Department_Region]],"-"))</f>
        <v>Illinois</v>
      </c>
      <c r="G742" t="str">
        <f>TRIM(Employee_dataset[[#This Row],[Status]])</f>
        <v>Pending</v>
      </c>
      <c r="H742" s="1">
        <f>_xlfn.LET(
     _xlpm.d, Employee_dataset[[#This Row],[Join_Date]],
     IF(
        ISNUMBER(_xlpm.d),_xlpm.d,""
       )
    )</f>
        <v>44011</v>
      </c>
      <c r="I742" s="6">
        <f>_xlfn.LET(
     _xlpm.s, TRIM(Employee_dataset[[#This Row],[Salary]]),
     IF(
        UPPER(_xlpm.s)="N/A","",
        IF(
           ISNUMBER(--_xlpm.s),ROUND(_xlfn.NUMBERVALUE(_xlpm.s),2),""
          )
       )
    )</f>
        <v>63049.22</v>
      </c>
      <c r="J742" t="str">
        <f>TRIM(Employee_dataset[[#This Row],[Email]])</f>
        <v>bob.davis@example.com</v>
      </c>
      <c r="K742" t="b">
        <f>_xlfn.LET(
     _xlpm.p,TRIM(SUBSTITUTE(Employee_dataset[[#This Row],[Phone]],"-","")),
     IF(
        LEN(_xlpm.p)=10,_xlfn.CONCAT("("&amp;LEFT(_xlpm.p,3)&amp;") "&amp;MID(_xlpm.p,4,3)&amp;"-"&amp;RIGHT(_xlpm.p,4),"")
       )
     )</f>
        <v>0</v>
      </c>
      <c r="L742" t="str">
        <f>TRIM(Employee_dataset[[#This Row],[Performance_Score]])</f>
        <v>Poor</v>
      </c>
      <c r="M742" t="str">
        <f>TRIM(Employee_dataset[[#This Row],[Remote_Work]])</f>
        <v>TRUE</v>
      </c>
    </row>
    <row r="743" spans="1:13" x14ac:dyDescent="0.3">
      <c r="A743" t="str">
        <f>TRIM(Employee_dataset[[#This Row],[Employee_ID]])</f>
        <v>EMP1741</v>
      </c>
      <c r="B743" t="str">
        <f>PROPER(TRIM(Employee_dataset[[#This Row],[First_Name]]))</f>
        <v>Heidi</v>
      </c>
      <c r="C743" t="str">
        <f>PROPER(TRIM(Employee_dataset[[#This Row],[Last_Name]]))</f>
        <v>Miller</v>
      </c>
      <c r="D743" s="6" t="str">
        <f>_xlfn.LET(
     _xlpm.a, TRIM(Employee_dataset[[#This Row],[Age]]),
     IF(
        _xlpm.a="","",
        IF(
           AND(ISNUMBER(--_xlpm.a),LEN(_xlpm.a)=2),_xlpm.a,""
          )
       )
    )</f>
        <v/>
      </c>
      <c r="E743" t="str">
        <f>TRIM(_xlfn.TEXTBEFORE(Employee_dataset[[#This Row],[Department_Region]],"-"))</f>
        <v>DevOps</v>
      </c>
      <c r="F743" t="str">
        <f>TRIM(_xlfn.TEXTAFTER(Employee_dataset[[#This Row],[Department_Region]],"-"))</f>
        <v>Texas</v>
      </c>
      <c r="G743" t="str">
        <f>TRIM(Employee_dataset[[#This Row],[Status]])</f>
        <v>Active</v>
      </c>
      <c r="H743" s="1">
        <f>_xlfn.LET(
     _xlpm.d, Employee_dataset[[#This Row],[Join_Date]],
     IF(
        ISNUMBER(_xlpm.d),_xlpm.d,""
       )
    )</f>
        <v>44337</v>
      </c>
      <c r="I743" s="6">
        <f>_xlfn.LET(
     _xlpm.s, TRIM(Employee_dataset[[#This Row],[Salary]]),
     IF(
        UPPER(_xlpm.s)="N/A","",
        IF(
           ISNUMBER(--_xlpm.s),ROUND(_xlfn.NUMBERVALUE(_xlpm.s),2),""
          )
       )
    )</f>
        <v>114558.91</v>
      </c>
      <c r="J743" t="str">
        <f>TRIM(Employee_dataset[[#This Row],[Email]])</f>
        <v>heidi.miller@example.com</v>
      </c>
      <c r="K743" t="str">
        <f>_xlfn.LET(
     _xlpm.p,TRIM(SUBSTITUTE(Employee_dataset[[#This Row],[Phone]],"-","")),
     IF(
        LEN(_xlpm.p)=10,_xlfn.CONCAT("("&amp;LEFT(_xlpm.p,3)&amp;") "&amp;MID(_xlpm.p,4,3)&amp;"-"&amp;RIGHT(_xlpm.p,4),"")
       )
     )</f>
        <v>(508) 004-6357</v>
      </c>
      <c r="L743" t="str">
        <f>TRIM(Employee_dataset[[#This Row],[Performance_Score]])</f>
        <v>Average</v>
      </c>
      <c r="M743" t="str">
        <f>TRIM(Employee_dataset[[#This Row],[Remote_Work]])</f>
        <v>FALSE</v>
      </c>
    </row>
    <row r="744" spans="1:13" x14ac:dyDescent="0.3">
      <c r="A744" t="str">
        <f>TRIM(Employee_dataset[[#This Row],[Employee_ID]])</f>
        <v>EMP1742</v>
      </c>
      <c r="B744" t="str">
        <f>PROPER(TRIM(Employee_dataset[[#This Row],[First_Name]]))</f>
        <v>Heidi</v>
      </c>
      <c r="C744" t="str">
        <f>PROPER(TRIM(Employee_dataset[[#This Row],[Last_Name]]))</f>
        <v>Johnson</v>
      </c>
      <c r="D744" s="6" t="str">
        <f>_xlfn.LET(
     _xlpm.a, TRIM(Employee_dataset[[#This Row],[Age]]),
     IF(
        _xlpm.a="","",
        IF(
           AND(ISNUMBER(--_xlpm.a),LEN(_xlpm.a)=2),_xlpm.a,""
          )
       )
    )</f>
        <v>40</v>
      </c>
      <c r="E744" t="str">
        <f>TRIM(_xlfn.TEXTBEFORE(Employee_dataset[[#This Row],[Department_Region]],"-"))</f>
        <v>DevOps</v>
      </c>
      <c r="F744" t="str">
        <f>TRIM(_xlfn.TEXTAFTER(Employee_dataset[[#This Row],[Department_Region]],"-"))</f>
        <v>New York</v>
      </c>
      <c r="G744" t="str">
        <f>TRIM(Employee_dataset[[#This Row],[Status]])</f>
        <v>Active</v>
      </c>
      <c r="H744" s="1">
        <f>_xlfn.LET(
     _xlpm.d, Employee_dataset[[#This Row],[Join_Date]],
     IF(
        ISNUMBER(_xlpm.d),_xlpm.d,""
       )
    )</f>
        <v>44541</v>
      </c>
      <c r="I744" s="6">
        <f>_xlfn.LET(
     _xlpm.s, TRIM(Employee_dataset[[#This Row],[Salary]]),
     IF(
        UPPER(_xlpm.s)="N/A","",
        IF(
           ISNUMBER(--_xlpm.s),ROUND(_xlfn.NUMBERVALUE(_xlpm.s),2),""
          )
       )
    )</f>
        <v>97901.79</v>
      </c>
      <c r="J744" t="str">
        <f>TRIM(Employee_dataset[[#This Row],[Email]])</f>
        <v>heidi.johnson@example.com</v>
      </c>
      <c r="K744" t="b">
        <f>_xlfn.LET(
     _xlpm.p,TRIM(SUBSTITUTE(Employee_dataset[[#This Row],[Phone]],"-","")),
     IF(
        LEN(_xlpm.p)=10,_xlfn.CONCAT("("&amp;LEFT(_xlpm.p,3)&amp;") "&amp;MID(_xlpm.p,4,3)&amp;"-"&amp;RIGHT(_xlpm.p,4),"")
       )
     )</f>
        <v>0</v>
      </c>
      <c r="L744" t="str">
        <f>TRIM(Employee_dataset[[#This Row],[Performance_Score]])</f>
        <v>Average</v>
      </c>
      <c r="M744" t="str">
        <f>TRIM(Employee_dataset[[#This Row],[Remote_Work]])</f>
        <v>TRUE</v>
      </c>
    </row>
    <row r="745" spans="1:13" x14ac:dyDescent="0.3">
      <c r="A745" t="str">
        <f>TRIM(Employee_dataset[[#This Row],[Employee_ID]])</f>
        <v>EMP1743</v>
      </c>
      <c r="B745" t="str">
        <f>PROPER(TRIM(Employee_dataset[[#This Row],[First_Name]]))</f>
        <v>Eva</v>
      </c>
      <c r="C745" t="str">
        <f>PROPER(TRIM(Employee_dataset[[#This Row],[Last_Name]]))</f>
        <v>Jones</v>
      </c>
      <c r="D745" s="6" t="str">
        <f>_xlfn.LET(
     _xlpm.a, TRIM(Employee_dataset[[#This Row],[Age]]),
     IF(
        _xlpm.a="","",
        IF(
           AND(ISNUMBER(--_xlpm.a),LEN(_xlpm.a)=2),_xlpm.a,""
          )
       )
    )</f>
        <v>30</v>
      </c>
      <c r="E745" t="str">
        <f>TRIM(_xlfn.TEXTBEFORE(Employee_dataset[[#This Row],[Department_Region]],"-"))</f>
        <v>Sales</v>
      </c>
      <c r="F745" t="str">
        <f>TRIM(_xlfn.TEXTAFTER(Employee_dataset[[#This Row],[Department_Region]],"-"))</f>
        <v>California</v>
      </c>
      <c r="G745" t="str">
        <f>TRIM(Employee_dataset[[#This Row],[Status]])</f>
        <v>Active</v>
      </c>
      <c r="H745" s="1">
        <f>_xlfn.LET(
     _xlpm.d, Employee_dataset[[#This Row],[Join_Date]],
     IF(
        ISNUMBER(_xlpm.d),_xlpm.d,""
       )
    )</f>
        <v>45112</v>
      </c>
      <c r="I745" s="6">
        <f>_xlfn.LET(
     _xlpm.s, TRIM(Employee_dataset[[#This Row],[Salary]]),
     IF(
        UPPER(_xlpm.s)="N/A","",
        IF(
           ISNUMBER(--_xlpm.s),ROUND(_xlfn.NUMBERVALUE(_xlpm.s),2),""
          )
       )
    )</f>
        <v>68037.56</v>
      </c>
      <c r="J745" t="str">
        <f>TRIM(Employee_dataset[[#This Row],[Email]])</f>
        <v>eva.jones@example.com</v>
      </c>
      <c r="K745" t="str">
        <f>_xlfn.LET(
     _xlpm.p,TRIM(SUBSTITUTE(Employee_dataset[[#This Row],[Phone]],"-","")),
     IF(
        LEN(_xlpm.p)=10,_xlfn.CONCAT("("&amp;LEFT(_xlpm.p,3)&amp;") "&amp;MID(_xlpm.p,4,3)&amp;"-"&amp;RIGHT(_xlpm.p,4),"")
       )
     )</f>
        <v>(723) 513-7398</v>
      </c>
      <c r="L745" t="str">
        <f>TRIM(Employee_dataset[[#This Row],[Performance_Score]])</f>
        <v>Average</v>
      </c>
      <c r="M745" t="str">
        <f>TRIM(Employee_dataset[[#This Row],[Remote_Work]])</f>
        <v>FALSE</v>
      </c>
    </row>
    <row r="746" spans="1:13" x14ac:dyDescent="0.3">
      <c r="A746" t="str">
        <f>TRIM(Employee_dataset[[#This Row],[Employee_ID]])</f>
        <v>EMP1744</v>
      </c>
      <c r="B746" t="str">
        <f>PROPER(TRIM(Employee_dataset[[#This Row],[First_Name]]))</f>
        <v>Alice</v>
      </c>
      <c r="C746" t="str">
        <f>PROPER(TRIM(Employee_dataset[[#This Row],[Last_Name]]))</f>
        <v>Williams</v>
      </c>
      <c r="D746" s="6" t="str">
        <f>_xlfn.LET(
     _xlpm.a, TRIM(Employee_dataset[[#This Row],[Age]]),
     IF(
        _xlpm.a="","",
        IF(
           AND(ISNUMBER(--_xlpm.a),LEN(_xlpm.a)=2),_xlpm.a,""
          )
       )
    )</f>
        <v/>
      </c>
      <c r="E746" t="str">
        <f>TRIM(_xlfn.TEXTBEFORE(Employee_dataset[[#This Row],[Department_Region]],"-"))</f>
        <v>HR</v>
      </c>
      <c r="F746" t="str">
        <f>TRIM(_xlfn.TEXTAFTER(Employee_dataset[[#This Row],[Department_Region]],"-"))</f>
        <v>New York</v>
      </c>
      <c r="G746" t="str">
        <f>TRIM(Employee_dataset[[#This Row],[Status]])</f>
        <v>Active</v>
      </c>
      <c r="H746" s="1">
        <f>_xlfn.LET(
     _xlpm.d, Employee_dataset[[#This Row],[Join_Date]],
     IF(
        ISNUMBER(_xlpm.d),_xlpm.d,""
       )
    )</f>
        <v>44530</v>
      </c>
      <c r="I746" s="6">
        <f>_xlfn.LET(
     _xlpm.s, TRIM(Employee_dataset[[#This Row],[Salary]]),
     IF(
        UPPER(_xlpm.s)="N/A","",
        IF(
           ISNUMBER(--_xlpm.s),ROUND(_xlfn.NUMBERVALUE(_xlpm.s),2),""
          )
       )
    )</f>
        <v>112802.27</v>
      </c>
      <c r="J746" t="str">
        <f>TRIM(Employee_dataset[[#This Row],[Email]])</f>
        <v>alice.williams@example.com</v>
      </c>
      <c r="K746" t="b">
        <f>_xlfn.LET(
     _xlpm.p,TRIM(SUBSTITUTE(Employee_dataset[[#This Row],[Phone]],"-","")),
     IF(
        LEN(_xlpm.p)=10,_xlfn.CONCAT("("&amp;LEFT(_xlpm.p,3)&amp;") "&amp;MID(_xlpm.p,4,3)&amp;"-"&amp;RIGHT(_xlpm.p,4),"")
       )
     )</f>
        <v>0</v>
      </c>
      <c r="L746" t="str">
        <f>TRIM(Employee_dataset[[#This Row],[Performance_Score]])</f>
        <v>Excellent</v>
      </c>
      <c r="M746" t="str">
        <f>TRIM(Employee_dataset[[#This Row],[Remote_Work]])</f>
        <v>FALSE</v>
      </c>
    </row>
    <row r="747" spans="1:13" x14ac:dyDescent="0.3">
      <c r="A747" t="str">
        <f>TRIM(Employee_dataset[[#This Row],[Employee_ID]])</f>
        <v>EMP1745</v>
      </c>
      <c r="B747" t="str">
        <f>PROPER(TRIM(Employee_dataset[[#This Row],[First_Name]]))</f>
        <v>Bob</v>
      </c>
      <c r="C747" t="str">
        <f>PROPER(TRIM(Employee_dataset[[#This Row],[Last_Name]]))</f>
        <v>Johnson</v>
      </c>
      <c r="D747" s="6" t="str">
        <f>_xlfn.LET(
     _xlpm.a, TRIM(Employee_dataset[[#This Row],[Age]]),
     IF(
        _xlpm.a="","",
        IF(
           AND(ISNUMBER(--_xlpm.a),LEN(_xlpm.a)=2),_xlpm.a,""
          )
       )
    )</f>
        <v>40</v>
      </c>
      <c r="E747" t="str">
        <f>TRIM(_xlfn.TEXTBEFORE(Employee_dataset[[#This Row],[Department_Region]],"-"))</f>
        <v>Sales</v>
      </c>
      <c r="F747" t="str">
        <f>TRIM(_xlfn.TEXTAFTER(Employee_dataset[[#This Row],[Department_Region]],"-"))</f>
        <v>Nevada</v>
      </c>
      <c r="G747" t="str">
        <f>TRIM(Employee_dataset[[#This Row],[Status]])</f>
        <v>Pending</v>
      </c>
      <c r="H747" s="1">
        <f>_xlfn.LET(
     _xlpm.d, Employee_dataset[[#This Row],[Join_Date]],
     IF(
        ISNUMBER(_xlpm.d),_xlpm.d,""
       )
    )</f>
        <v>45618</v>
      </c>
      <c r="I747" s="6">
        <f>_xlfn.LET(
     _xlpm.s, TRIM(Employee_dataset[[#This Row],[Salary]]),
     IF(
        UPPER(_xlpm.s)="N/A","",
        IF(
           ISNUMBER(--_xlpm.s),ROUND(_xlfn.NUMBERVALUE(_xlpm.s),2),""
          )
       )
    )</f>
        <v>93786.72</v>
      </c>
      <c r="J747" t="str">
        <f>TRIM(Employee_dataset[[#This Row],[Email]])</f>
        <v>bob.johnson@example.com</v>
      </c>
      <c r="K747" t="str">
        <f>_xlfn.LET(
     _xlpm.p,TRIM(SUBSTITUTE(Employee_dataset[[#This Row],[Phone]],"-","")),
     IF(
        LEN(_xlpm.p)=10,_xlfn.CONCAT("("&amp;LEFT(_xlpm.p,3)&amp;") "&amp;MID(_xlpm.p,4,3)&amp;"-"&amp;RIGHT(_xlpm.p,4),"")
       )
     )</f>
        <v>(635) 602-2938</v>
      </c>
      <c r="L747" t="str">
        <f>TRIM(Employee_dataset[[#This Row],[Performance_Score]])</f>
        <v>Poor</v>
      </c>
      <c r="M747" t="str">
        <f>TRIM(Employee_dataset[[#This Row],[Remote_Work]])</f>
        <v>FALSE</v>
      </c>
    </row>
    <row r="748" spans="1:13" x14ac:dyDescent="0.3">
      <c r="A748" t="str">
        <f>TRIM(Employee_dataset[[#This Row],[Employee_ID]])</f>
        <v>EMP1746</v>
      </c>
      <c r="B748" t="str">
        <f>PROPER(TRIM(Employee_dataset[[#This Row],[First_Name]]))</f>
        <v>David</v>
      </c>
      <c r="C748" t="str">
        <f>PROPER(TRIM(Employee_dataset[[#This Row],[Last_Name]]))</f>
        <v>Williams</v>
      </c>
      <c r="D748" s="6" t="str">
        <f>_xlfn.LET(
     _xlpm.a, TRIM(Employee_dataset[[#This Row],[Age]]),
     IF(
        _xlpm.a="","",
        IF(
           AND(ISNUMBER(--_xlpm.a),LEN(_xlpm.a)=2),_xlpm.a,""
          )
       )
    )</f>
        <v/>
      </c>
      <c r="E748" t="str">
        <f>TRIM(_xlfn.TEXTBEFORE(Employee_dataset[[#This Row],[Department_Region]],"-"))</f>
        <v>Admin</v>
      </c>
      <c r="F748" t="str">
        <f>TRIM(_xlfn.TEXTAFTER(Employee_dataset[[#This Row],[Department_Region]],"-"))</f>
        <v>Florida</v>
      </c>
      <c r="G748" t="str">
        <f>TRIM(Employee_dataset[[#This Row],[Status]])</f>
        <v>Inactive</v>
      </c>
      <c r="H748" s="1">
        <f>_xlfn.LET(
     _xlpm.d, Employee_dataset[[#This Row],[Join_Date]],
     IF(
        ISNUMBER(_xlpm.d),_xlpm.d,""
       )
    )</f>
        <v>45070</v>
      </c>
      <c r="I748" s="6">
        <f>_xlfn.LET(
     _xlpm.s, TRIM(Employee_dataset[[#This Row],[Salary]]),
     IF(
        UPPER(_xlpm.s)="N/A","",
        IF(
           ISNUMBER(--_xlpm.s),ROUND(_xlfn.NUMBERVALUE(_xlpm.s),2),""
          )
       )
    )</f>
        <v>73049.929999999993</v>
      </c>
      <c r="J748" t="str">
        <f>TRIM(Employee_dataset[[#This Row],[Email]])</f>
        <v>david.williams@example.com</v>
      </c>
      <c r="K748" t="str">
        <f>_xlfn.LET(
     _xlpm.p,TRIM(SUBSTITUTE(Employee_dataset[[#This Row],[Phone]],"-","")),
     IF(
        LEN(_xlpm.p)=10,_xlfn.CONCAT("("&amp;LEFT(_xlpm.p,3)&amp;") "&amp;MID(_xlpm.p,4,3)&amp;"-"&amp;RIGHT(_xlpm.p,4),"")
       )
     )</f>
        <v>(469) 434-6065</v>
      </c>
      <c r="L748" t="str">
        <f>TRIM(Employee_dataset[[#This Row],[Performance_Score]])</f>
        <v>Good</v>
      </c>
      <c r="M748" t="str">
        <f>TRIM(Employee_dataset[[#This Row],[Remote_Work]])</f>
        <v>FALSE</v>
      </c>
    </row>
    <row r="749" spans="1:13" x14ac:dyDescent="0.3">
      <c r="A749" t="str">
        <f>TRIM(Employee_dataset[[#This Row],[Employee_ID]])</f>
        <v>EMP1747</v>
      </c>
      <c r="B749" t="str">
        <f>PROPER(TRIM(Employee_dataset[[#This Row],[First_Name]]))</f>
        <v>David</v>
      </c>
      <c r="C749" t="str">
        <f>PROPER(TRIM(Employee_dataset[[#This Row],[Last_Name]]))</f>
        <v>Davis</v>
      </c>
      <c r="D749" s="6" t="str">
        <f>_xlfn.LET(
     _xlpm.a, TRIM(Employee_dataset[[#This Row],[Age]]),
     IF(
        _xlpm.a="","",
        IF(
           AND(ISNUMBER(--_xlpm.a),LEN(_xlpm.a)=2),_xlpm.a,""
          )
       )
    )</f>
        <v>30</v>
      </c>
      <c r="E749" t="str">
        <f>TRIM(_xlfn.TEXTBEFORE(Employee_dataset[[#This Row],[Department_Region]],"-"))</f>
        <v>Sales</v>
      </c>
      <c r="F749" t="str">
        <f>TRIM(_xlfn.TEXTAFTER(Employee_dataset[[#This Row],[Department_Region]],"-"))</f>
        <v>Illinois</v>
      </c>
      <c r="G749" t="str">
        <f>TRIM(Employee_dataset[[#This Row],[Status]])</f>
        <v>Pending</v>
      </c>
      <c r="H749" s="1">
        <f>_xlfn.LET(
     _xlpm.d, Employee_dataset[[#This Row],[Join_Date]],
     IF(
        ISNUMBER(_xlpm.d),_xlpm.d,""
       )
    )</f>
        <v>45469</v>
      </c>
      <c r="I749" s="6">
        <f>_xlfn.LET(
     _xlpm.s, TRIM(Employee_dataset[[#This Row],[Salary]]),
     IF(
        UPPER(_xlpm.s)="N/A","",
        IF(
           ISNUMBER(--_xlpm.s),ROUND(_xlfn.NUMBERVALUE(_xlpm.s),2),""
          )
       )
    )</f>
        <v>64161.72</v>
      </c>
      <c r="J749" t="str">
        <f>TRIM(Employee_dataset[[#This Row],[Email]])</f>
        <v>david.davis@example.com</v>
      </c>
      <c r="K749" t="str">
        <f>_xlfn.LET(
     _xlpm.p,TRIM(SUBSTITUTE(Employee_dataset[[#This Row],[Phone]],"-","")),
     IF(
        LEN(_xlpm.p)=10,_xlfn.CONCAT("("&amp;LEFT(_xlpm.p,3)&amp;") "&amp;MID(_xlpm.p,4,3)&amp;"-"&amp;RIGHT(_xlpm.p,4),"")
       )
     )</f>
        <v>(643) 749-0606</v>
      </c>
      <c r="L749" t="str">
        <f>TRIM(Employee_dataset[[#This Row],[Performance_Score]])</f>
        <v>Excellent</v>
      </c>
      <c r="M749" t="str">
        <f>TRIM(Employee_dataset[[#This Row],[Remote_Work]])</f>
        <v>TRUE</v>
      </c>
    </row>
    <row r="750" spans="1:13" x14ac:dyDescent="0.3">
      <c r="A750" t="str">
        <f>TRIM(Employee_dataset[[#This Row],[Employee_ID]])</f>
        <v>EMP1748</v>
      </c>
      <c r="B750" t="str">
        <f>PROPER(TRIM(Employee_dataset[[#This Row],[First_Name]]))</f>
        <v>Charlie</v>
      </c>
      <c r="C750" t="str">
        <f>PROPER(TRIM(Employee_dataset[[#This Row],[Last_Name]]))</f>
        <v>Smith</v>
      </c>
      <c r="D750" s="6" t="str">
        <f>_xlfn.LET(
     _xlpm.a, TRIM(Employee_dataset[[#This Row],[Age]]),
     IF(
        _xlpm.a="","",
        IF(
           AND(ISNUMBER(--_xlpm.a),LEN(_xlpm.a)=2),_xlpm.a,""
          )
       )
    )</f>
        <v>40</v>
      </c>
      <c r="E750" t="str">
        <f>TRIM(_xlfn.TEXTBEFORE(Employee_dataset[[#This Row],[Department_Region]],"-"))</f>
        <v>Admin</v>
      </c>
      <c r="F750" t="str">
        <f>TRIM(_xlfn.TEXTAFTER(Employee_dataset[[#This Row],[Department_Region]],"-"))</f>
        <v>Nevada</v>
      </c>
      <c r="G750" t="str">
        <f>TRIM(Employee_dataset[[#This Row],[Status]])</f>
        <v>Pending</v>
      </c>
      <c r="H750" s="1">
        <f>_xlfn.LET(
     _xlpm.d, Employee_dataset[[#This Row],[Join_Date]],
     IF(
        ISNUMBER(_xlpm.d),_xlpm.d,""
       )
    )</f>
        <v>44154</v>
      </c>
      <c r="I750" s="6">
        <f>_xlfn.LET(
     _xlpm.s, TRIM(Employee_dataset[[#This Row],[Salary]]),
     IF(
        UPPER(_xlpm.s)="N/A","",
        IF(
           ISNUMBER(--_xlpm.s),ROUND(_xlfn.NUMBERVALUE(_xlpm.s),2),""
          )
       )
    )</f>
        <v>72224.73</v>
      </c>
      <c r="J750" t="str">
        <f>TRIM(Employee_dataset[[#This Row],[Email]])</f>
        <v>charlie.smith@example.com</v>
      </c>
      <c r="K750" t="str">
        <f>_xlfn.LET(
     _xlpm.p,TRIM(SUBSTITUTE(Employee_dataset[[#This Row],[Phone]],"-","")),
     IF(
        LEN(_xlpm.p)=10,_xlfn.CONCAT("("&amp;LEFT(_xlpm.p,3)&amp;") "&amp;MID(_xlpm.p,4,3)&amp;"-"&amp;RIGHT(_xlpm.p,4),"")
       )
     )</f>
        <v>(231) 112-7127</v>
      </c>
      <c r="L750" t="str">
        <f>TRIM(Employee_dataset[[#This Row],[Performance_Score]])</f>
        <v>Average</v>
      </c>
      <c r="M750" t="str">
        <f>TRIM(Employee_dataset[[#This Row],[Remote_Work]])</f>
        <v>FALSE</v>
      </c>
    </row>
    <row r="751" spans="1:13" x14ac:dyDescent="0.3">
      <c r="A751" t="str">
        <f>TRIM(Employee_dataset[[#This Row],[Employee_ID]])</f>
        <v>EMP1749</v>
      </c>
      <c r="B751" t="str">
        <f>PROPER(TRIM(Employee_dataset[[#This Row],[First_Name]]))</f>
        <v>Bob</v>
      </c>
      <c r="C751" t="str">
        <f>PROPER(TRIM(Employee_dataset[[#This Row],[Last_Name]]))</f>
        <v>Johnson</v>
      </c>
      <c r="D751" s="6" t="str">
        <f>_xlfn.LET(
     _xlpm.a, TRIM(Employee_dataset[[#This Row],[Age]]),
     IF(
        _xlpm.a="","",
        IF(
           AND(ISNUMBER(--_xlpm.a),LEN(_xlpm.a)=2),_xlpm.a,""
          )
       )
    )</f>
        <v>30</v>
      </c>
      <c r="E751" t="str">
        <f>TRIM(_xlfn.TEXTBEFORE(Employee_dataset[[#This Row],[Department_Region]],"-"))</f>
        <v>HR</v>
      </c>
      <c r="F751" t="str">
        <f>TRIM(_xlfn.TEXTAFTER(Employee_dataset[[#This Row],[Department_Region]],"-"))</f>
        <v>New York</v>
      </c>
      <c r="G751" t="str">
        <f>TRIM(Employee_dataset[[#This Row],[Status]])</f>
        <v>Pending</v>
      </c>
      <c r="H751" s="1">
        <f>_xlfn.LET(
     _xlpm.d, Employee_dataset[[#This Row],[Join_Date]],
     IF(
        ISNUMBER(_xlpm.d),_xlpm.d,""
       )
    )</f>
        <v>43891</v>
      </c>
      <c r="I751" s="6">
        <f>_xlfn.LET(
     _xlpm.s, TRIM(Employee_dataset[[#This Row],[Salary]]),
     IF(
        UPPER(_xlpm.s)="N/A","",
        IF(
           ISNUMBER(--_xlpm.s),ROUND(_xlfn.NUMBERVALUE(_xlpm.s),2),""
          )
       )
    )</f>
        <v>103580.45</v>
      </c>
      <c r="J751" t="str">
        <f>TRIM(Employee_dataset[[#This Row],[Email]])</f>
        <v>bob.johnson@example.com</v>
      </c>
      <c r="K751" t="str">
        <f>_xlfn.LET(
     _xlpm.p,TRIM(SUBSTITUTE(Employee_dataset[[#This Row],[Phone]],"-","")),
     IF(
        LEN(_xlpm.p)=10,_xlfn.CONCAT("("&amp;LEFT(_xlpm.p,3)&amp;") "&amp;MID(_xlpm.p,4,3)&amp;"-"&amp;RIGHT(_xlpm.p,4),"")
       )
     )</f>
        <v>(524) 648-4493</v>
      </c>
      <c r="L751" t="str">
        <f>TRIM(Employee_dataset[[#This Row],[Performance_Score]])</f>
        <v>Excellent</v>
      </c>
      <c r="M751" t="str">
        <f>TRIM(Employee_dataset[[#This Row],[Remote_Work]])</f>
        <v>FALSE</v>
      </c>
    </row>
    <row r="752" spans="1:13" x14ac:dyDescent="0.3">
      <c r="A752" t="str">
        <f>TRIM(Employee_dataset[[#This Row],[Employee_ID]])</f>
        <v>EMP1750</v>
      </c>
      <c r="B752" t="str">
        <f>PROPER(TRIM(Employee_dataset[[#This Row],[First_Name]]))</f>
        <v>Grace</v>
      </c>
      <c r="C752" t="str">
        <f>PROPER(TRIM(Employee_dataset[[#This Row],[Last_Name]]))</f>
        <v>Garcia</v>
      </c>
      <c r="D752" s="6" t="str">
        <f>_xlfn.LET(
     _xlpm.a, TRIM(Employee_dataset[[#This Row],[Age]]),
     IF(
        _xlpm.a="","",
        IF(
           AND(ISNUMBER(--_xlpm.a),LEN(_xlpm.a)=2),_xlpm.a,""
          )
       )
    )</f>
        <v>40</v>
      </c>
      <c r="E752" t="str">
        <f>TRIM(_xlfn.TEXTBEFORE(Employee_dataset[[#This Row],[Department_Region]],"-"))</f>
        <v>HR</v>
      </c>
      <c r="F752" t="str">
        <f>TRIM(_xlfn.TEXTAFTER(Employee_dataset[[#This Row],[Department_Region]],"-"))</f>
        <v>Florida</v>
      </c>
      <c r="G752" t="str">
        <f>TRIM(Employee_dataset[[#This Row],[Status]])</f>
        <v>Pending</v>
      </c>
      <c r="H752" s="1">
        <f>_xlfn.LET(
     _xlpm.d, Employee_dataset[[#This Row],[Join_Date]],
     IF(
        ISNUMBER(_xlpm.d),_xlpm.d,""
       )
    )</f>
        <v>45513</v>
      </c>
      <c r="I752" s="6">
        <f>_xlfn.LET(
     _xlpm.s, TRIM(Employee_dataset[[#This Row],[Salary]]),
     IF(
        UPPER(_xlpm.s)="N/A","",
        IF(
           ISNUMBER(--_xlpm.s),ROUND(_xlfn.NUMBERVALUE(_xlpm.s),2),""
          )
       )
    )</f>
        <v>112589.11</v>
      </c>
      <c r="J752" t="str">
        <f>TRIM(Employee_dataset[[#This Row],[Email]])</f>
        <v>grace.garcia@example.com</v>
      </c>
      <c r="K752" t="str">
        <f>_xlfn.LET(
     _xlpm.p,TRIM(SUBSTITUTE(Employee_dataset[[#This Row],[Phone]],"-","")),
     IF(
        LEN(_xlpm.p)=10,_xlfn.CONCAT("("&amp;LEFT(_xlpm.p,3)&amp;") "&amp;MID(_xlpm.p,4,3)&amp;"-"&amp;RIGHT(_xlpm.p,4),"")
       )
     )</f>
        <v>(116) 318-7327</v>
      </c>
      <c r="L752" t="str">
        <f>TRIM(Employee_dataset[[#This Row],[Performance_Score]])</f>
        <v>Average</v>
      </c>
      <c r="M752" t="str">
        <f>TRIM(Employee_dataset[[#This Row],[Remote_Work]])</f>
        <v>FALSE</v>
      </c>
    </row>
    <row r="753" spans="1:13" x14ac:dyDescent="0.3">
      <c r="A753" t="str">
        <f>TRIM(Employee_dataset[[#This Row],[Employee_ID]])</f>
        <v>EMP1751</v>
      </c>
      <c r="B753" t="str">
        <f>PROPER(TRIM(Employee_dataset[[#This Row],[First_Name]]))</f>
        <v>Eva</v>
      </c>
      <c r="C753" t="str">
        <f>PROPER(TRIM(Employee_dataset[[#This Row],[Last_Name]]))</f>
        <v>Jones</v>
      </c>
      <c r="D753" s="6" t="str">
        <f>_xlfn.LET(
     _xlpm.a, TRIM(Employee_dataset[[#This Row],[Age]]),
     IF(
        _xlpm.a="","",
        IF(
           AND(ISNUMBER(--_xlpm.a),LEN(_xlpm.a)=2),_xlpm.a,""
          )
       )
    )</f>
        <v>30</v>
      </c>
      <c r="E753" t="str">
        <f>TRIM(_xlfn.TEXTBEFORE(Employee_dataset[[#This Row],[Department_Region]],"-"))</f>
        <v>Admin</v>
      </c>
      <c r="F753" t="str">
        <f>TRIM(_xlfn.TEXTAFTER(Employee_dataset[[#This Row],[Department_Region]],"-"))</f>
        <v>Texas</v>
      </c>
      <c r="G753" t="str">
        <f>TRIM(Employee_dataset[[#This Row],[Status]])</f>
        <v>Active</v>
      </c>
      <c r="H753" s="1">
        <f>_xlfn.LET(
     _xlpm.d, Employee_dataset[[#This Row],[Join_Date]],
     IF(
        ISNUMBER(_xlpm.d),_xlpm.d,""
       )
    )</f>
        <v>44209</v>
      </c>
      <c r="I753" s="6">
        <f>_xlfn.LET(
     _xlpm.s, TRIM(Employee_dataset[[#This Row],[Salary]]),
     IF(
        UPPER(_xlpm.s)="N/A","",
        IF(
           ISNUMBER(--_xlpm.s),ROUND(_xlfn.NUMBERVALUE(_xlpm.s),2),""
          )
       )
    )</f>
        <v>51833.88</v>
      </c>
      <c r="J753" t="str">
        <f>TRIM(Employee_dataset[[#This Row],[Email]])</f>
        <v>eva.jones@example.com</v>
      </c>
      <c r="K753" t="b">
        <f>_xlfn.LET(
     _xlpm.p,TRIM(SUBSTITUTE(Employee_dataset[[#This Row],[Phone]],"-","")),
     IF(
        LEN(_xlpm.p)=10,_xlfn.CONCAT("("&amp;LEFT(_xlpm.p,3)&amp;") "&amp;MID(_xlpm.p,4,3)&amp;"-"&amp;RIGHT(_xlpm.p,4),"")
       )
     )</f>
        <v>0</v>
      </c>
      <c r="L753" t="str">
        <f>TRIM(Employee_dataset[[#This Row],[Performance_Score]])</f>
        <v>Average</v>
      </c>
      <c r="M753" t="str">
        <f>TRIM(Employee_dataset[[#This Row],[Remote_Work]])</f>
        <v>TRUE</v>
      </c>
    </row>
    <row r="754" spans="1:13" x14ac:dyDescent="0.3">
      <c r="A754" t="str">
        <f>TRIM(Employee_dataset[[#This Row],[Employee_ID]])</f>
        <v>EMP1752</v>
      </c>
      <c r="B754" t="str">
        <f>PROPER(TRIM(Employee_dataset[[#This Row],[First_Name]]))</f>
        <v>Eva</v>
      </c>
      <c r="C754" t="str">
        <f>PROPER(TRIM(Employee_dataset[[#This Row],[Last_Name]]))</f>
        <v>Johnson</v>
      </c>
      <c r="D754" s="6" t="str">
        <f>_xlfn.LET(
     _xlpm.a, TRIM(Employee_dataset[[#This Row],[Age]]),
     IF(
        _xlpm.a="","",
        IF(
           AND(ISNUMBER(--_xlpm.a),LEN(_xlpm.a)=2),_xlpm.a,""
          )
       )
    )</f>
        <v/>
      </c>
      <c r="E754" t="str">
        <f>TRIM(_xlfn.TEXTBEFORE(Employee_dataset[[#This Row],[Department_Region]],"-"))</f>
        <v>Sales</v>
      </c>
      <c r="F754" t="str">
        <f>TRIM(_xlfn.TEXTAFTER(Employee_dataset[[#This Row],[Department_Region]],"-"))</f>
        <v>Illinois</v>
      </c>
      <c r="G754" t="str">
        <f>TRIM(Employee_dataset[[#This Row],[Status]])</f>
        <v>Active</v>
      </c>
      <c r="H754" s="1">
        <f>_xlfn.LET(
     _xlpm.d, Employee_dataset[[#This Row],[Join_Date]],
     IF(
        ISNUMBER(_xlpm.d),_xlpm.d,""
       )
    )</f>
        <v>45052</v>
      </c>
      <c r="I754" s="6">
        <f>_xlfn.LET(
     _xlpm.s, TRIM(Employee_dataset[[#This Row],[Salary]]),
     IF(
        UPPER(_xlpm.s)="N/A","",
        IF(
           ISNUMBER(--_xlpm.s),ROUND(_xlfn.NUMBERVALUE(_xlpm.s),2),""
          )
       )
    )</f>
        <v>66252.78</v>
      </c>
      <c r="J754" t="str">
        <f>TRIM(Employee_dataset[[#This Row],[Email]])</f>
        <v>eva.johnson@example.com</v>
      </c>
      <c r="K754" t="str">
        <f>_xlfn.LET(
     _xlpm.p,TRIM(SUBSTITUTE(Employee_dataset[[#This Row],[Phone]],"-","")),
     IF(
        LEN(_xlpm.p)=10,_xlfn.CONCAT("("&amp;LEFT(_xlpm.p,3)&amp;") "&amp;MID(_xlpm.p,4,3)&amp;"-"&amp;RIGHT(_xlpm.p,4),"")
       )
     )</f>
        <v>(136) 957-2789</v>
      </c>
      <c r="L754" t="str">
        <f>TRIM(Employee_dataset[[#This Row],[Performance_Score]])</f>
        <v>Excellent</v>
      </c>
      <c r="M754" t="str">
        <f>TRIM(Employee_dataset[[#This Row],[Remote_Work]])</f>
        <v>TRUE</v>
      </c>
    </row>
    <row r="755" spans="1:13" x14ac:dyDescent="0.3">
      <c r="A755" t="str">
        <f>TRIM(Employee_dataset[[#This Row],[Employee_ID]])</f>
        <v>EMP1753</v>
      </c>
      <c r="B755" t="str">
        <f>PROPER(TRIM(Employee_dataset[[#This Row],[First_Name]]))</f>
        <v>Frank</v>
      </c>
      <c r="C755" t="str">
        <f>PROPER(TRIM(Employee_dataset[[#This Row],[Last_Name]]))</f>
        <v>Johnson</v>
      </c>
      <c r="D755" s="6" t="str">
        <f>_xlfn.LET(
     _xlpm.a, TRIM(Employee_dataset[[#This Row],[Age]]),
     IF(
        _xlpm.a="","",
        IF(
           AND(ISNUMBER(--_xlpm.a),LEN(_xlpm.a)=2),_xlpm.a,""
          )
       )
    )</f>
        <v>25</v>
      </c>
      <c r="E755" t="str">
        <f>TRIM(_xlfn.TEXTBEFORE(Employee_dataset[[#This Row],[Department_Region]],"-"))</f>
        <v>DevOps</v>
      </c>
      <c r="F755" t="str">
        <f>TRIM(_xlfn.TEXTAFTER(Employee_dataset[[#This Row],[Department_Region]],"-"))</f>
        <v>Florida</v>
      </c>
      <c r="G755" t="str">
        <f>TRIM(Employee_dataset[[#This Row],[Status]])</f>
        <v>Active</v>
      </c>
      <c r="H755" s="1">
        <f>_xlfn.LET(
     _xlpm.d, Employee_dataset[[#This Row],[Join_Date]],
     IF(
        ISNUMBER(_xlpm.d),_xlpm.d,""
       )
    )</f>
        <v>44859</v>
      </c>
      <c r="I755" s="6">
        <f>_xlfn.LET(
     _xlpm.s, TRIM(Employee_dataset[[#This Row],[Salary]]),
     IF(
        UPPER(_xlpm.s)="N/A","",
        IF(
           ISNUMBER(--_xlpm.s),ROUND(_xlfn.NUMBERVALUE(_xlpm.s),2),""
          )
       )
    )</f>
        <v>109229.68</v>
      </c>
      <c r="J755" t="str">
        <f>TRIM(Employee_dataset[[#This Row],[Email]])</f>
        <v>frank.johnson@example.com</v>
      </c>
      <c r="K755" t="str">
        <f>_xlfn.LET(
     _xlpm.p,TRIM(SUBSTITUTE(Employee_dataset[[#This Row],[Phone]],"-","")),
     IF(
        LEN(_xlpm.p)=10,_xlfn.CONCAT("("&amp;LEFT(_xlpm.p,3)&amp;") "&amp;MID(_xlpm.p,4,3)&amp;"-"&amp;RIGHT(_xlpm.p,4),"")
       )
     )</f>
        <v>(833) 509-0253</v>
      </c>
      <c r="L755" t="str">
        <f>TRIM(Employee_dataset[[#This Row],[Performance_Score]])</f>
        <v>Poor</v>
      </c>
      <c r="M755" t="str">
        <f>TRIM(Employee_dataset[[#This Row],[Remote_Work]])</f>
        <v>TRUE</v>
      </c>
    </row>
    <row r="756" spans="1:13" x14ac:dyDescent="0.3">
      <c r="A756" t="str">
        <f>TRIM(Employee_dataset[[#This Row],[Employee_ID]])</f>
        <v>EMP1754</v>
      </c>
      <c r="B756" t="str">
        <f>PROPER(TRIM(Employee_dataset[[#This Row],[First_Name]]))</f>
        <v>Frank</v>
      </c>
      <c r="C756" t="str">
        <f>PROPER(TRIM(Employee_dataset[[#This Row],[Last_Name]]))</f>
        <v>Johnson</v>
      </c>
      <c r="D756" s="6" t="str">
        <f>_xlfn.LET(
     _xlpm.a, TRIM(Employee_dataset[[#This Row],[Age]]),
     IF(
        _xlpm.a="","",
        IF(
           AND(ISNUMBER(--_xlpm.a),LEN(_xlpm.a)=2),_xlpm.a,""
          )
       )
    )</f>
        <v>30</v>
      </c>
      <c r="E756" t="str">
        <f>TRIM(_xlfn.TEXTBEFORE(Employee_dataset[[#This Row],[Department_Region]],"-"))</f>
        <v>Finance</v>
      </c>
      <c r="F756" t="str">
        <f>TRIM(_xlfn.TEXTAFTER(Employee_dataset[[#This Row],[Department_Region]],"-"))</f>
        <v>Florida</v>
      </c>
      <c r="G756" t="str">
        <f>TRIM(Employee_dataset[[#This Row],[Status]])</f>
        <v>Inactive</v>
      </c>
      <c r="H756" s="1">
        <f>_xlfn.LET(
     _xlpm.d, Employee_dataset[[#This Row],[Join_Date]],
     IF(
        ISNUMBER(_xlpm.d),_xlpm.d,""
       )
    )</f>
        <v>44112</v>
      </c>
      <c r="I756" s="6">
        <f>_xlfn.LET(
     _xlpm.s, TRIM(Employee_dataset[[#This Row],[Salary]]),
     IF(
        UPPER(_xlpm.s)="N/A","",
        IF(
           ISNUMBER(--_xlpm.s),ROUND(_xlfn.NUMBERVALUE(_xlpm.s),2),""
          )
       )
    )</f>
        <v>61465.05</v>
      </c>
      <c r="J756" t="str">
        <f>TRIM(Employee_dataset[[#This Row],[Email]])</f>
        <v>frank.johnson@example.com</v>
      </c>
      <c r="K756" t="str">
        <f>_xlfn.LET(
     _xlpm.p,TRIM(SUBSTITUTE(Employee_dataset[[#This Row],[Phone]],"-","")),
     IF(
        LEN(_xlpm.p)=10,_xlfn.CONCAT("("&amp;LEFT(_xlpm.p,3)&amp;") "&amp;MID(_xlpm.p,4,3)&amp;"-"&amp;RIGHT(_xlpm.p,4),"")
       )
     )</f>
        <v>(257) 306-6247</v>
      </c>
      <c r="L756" t="str">
        <f>TRIM(Employee_dataset[[#This Row],[Performance_Score]])</f>
        <v>Average</v>
      </c>
      <c r="M756" t="str">
        <f>TRIM(Employee_dataset[[#This Row],[Remote_Work]])</f>
        <v>FALSE</v>
      </c>
    </row>
    <row r="757" spans="1:13" x14ac:dyDescent="0.3">
      <c r="A757" t="str">
        <f>TRIM(Employee_dataset[[#This Row],[Employee_ID]])</f>
        <v>EMP1755</v>
      </c>
      <c r="B757" t="str">
        <f>PROPER(TRIM(Employee_dataset[[#This Row],[First_Name]]))</f>
        <v>Grace</v>
      </c>
      <c r="C757" t="str">
        <f>PROPER(TRIM(Employee_dataset[[#This Row],[Last_Name]]))</f>
        <v>Miller</v>
      </c>
      <c r="D757" s="6" t="str">
        <f>_xlfn.LET(
     _xlpm.a, TRIM(Employee_dataset[[#This Row],[Age]]),
     IF(
        _xlpm.a="","",
        IF(
           AND(ISNUMBER(--_xlpm.a),LEN(_xlpm.a)=2),_xlpm.a,""
          )
       )
    )</f>
        <v>25</v>
      </c>
      <c r="E757" t="str">
        <f>TRIM(_xlfn.TEXTBEFORE(Employee_dataset[[#This Row],[Department_Region]],"-"))</f>
        <v>HR</v>
      </c>
      <c r="F757" t="str">
        <f>TRIM(_xlfn.TEXTAFTER(Employee_dataset[[#This Row],[Department_Region]],"-"))</f>
        <v>Florida</v>
      </c>
      <c r="G757" t="str">
        <f>TRIM(Employee_dataset[[#This Row],[Status]])</f>
        <v>Active</v>
      </c>
      <c r="H757" s="1">
        <f>_xlfn.LET(
     _xlpm.d, Employee_dataset[[#This Row],[Join_Date]],
     IF(
        ISNUMBER(_xlpm.d),_xlpm.d,""
       )
    )</f>
        <v>45351</v>
      </c>
      <c r="I757" s="6">
        <f>_xlfn.LET(
     _xlpm.s, TRIM(Employee_dataset[[#This Row],[Salary]]),
     IF(
        UPPER(_xlpm.s)="N/A","",
        IF(
           ISNUMBER(--_xlpm.s),ROUND(_xlfn.NUMBERVALUE(_xlpm.s),2),""
          )
       )
    )</f>
        <v>96993.74</v>
      </c>
      <c r="J757" t="str">
        <f>TRIM(Employee_dataset[[#This Row],[Email]])</f>
        <v>grace.miller@example.com</v>
      </c>
      <c r="K757" t="str">
        <f>_xlfn.LET(
     _xlpm.p,TRIM(SUBSTITUTE(Employee_dataset[[#This Row],[Phone]],"-","")),
     IF(
        LEN(_xlpm.p)=10,_xlfn.CONCAT("("&amp;LEFT(_xlpm.p,3)&amp;") "&amp;MID(_xlpm.p,4,3)&amp;"-"&amp;RIGHT(_xlpm.p,4),"")
       )
     )</f>
        <v>(132) 357-0712</v>
      </c>
      <c r="L757" t="str">
        <f>TRIM(Employee_dataset[[#This Row],[Performance_Score]])</f>
        <v>Poor</v>
      </c>
      <c r="M757" t="str">
        <f>TRIM(Employee_dataset[[#This Row],[Remote_Work]])</f>
        <v>FALSE</v>
      </c>
    </row>
    <row r="758" spans="1:13" x14ac:dyDescent="0.3">
      <c r="A758" t="str">
        <f>TRIM(Employee_dataset[[#This Row],[Employee_ID]])</f>
        <v>EMP1756</v>
      </c>
      <c r="B758" t="str">
        <f>PROPER(TRIM(Employee_dataset[[#This Row],[First_Name]]))</f>
        <v>David</v>
      </c>
      <c r="C758" t="str">
        <f>PROPER(TRIM(Employee_dataset[[#This Row],[Last_Name]]))</f>
        <v>Johnson</v>
      </c>
      <c r="D758" s="6" t="str">
        <f>_xlfn.LET(
     _xlpm.a, TRIM(Employee_dataset[[#This Row],[Age]]),
     IF(
        _xlpm.a="","",
        IF(
           AND(ISNUMBER(--_xlpm.a),LEN(_xlpm.a)=2),_xlpm.a,""
          )
       )
    )</f>
        <v>25</v>
      </c>
      <c r="E758" t="str">
        <f>TRIM(_xlfn.TEXTBEFORE(Employee_dataset[[#This Row],[Department_Region]],"-"))</f>
        <v>Admin</v>
      </c>
      <c r="F758" t="str">
        <f>TRIM(_xlfn.TEXTAFTER(Employee_dataset[[#This Row],[Department_Region]],"-"))</f>
        <v>Florida</v>
      </c>
      <c r="G758" t="str">
        <f>TRIM(Employee_dataset[[#This Row],[Status]])</f>
        <v>Pending</v>
      </c>
      <c r="H758" s="1">
        <f>_xlfn.LET(
     _xlpm.d, Employee_dataset[[#This Row],[Join_Date]],
     IF(
        ISNUMBER(_xlpm.d),_xlpm.d,""
       )
    )</f>
        <v>44834</v>
      </c>
      <c r="I758" s="6">
        <f>_xlfn.LET(
     _xlpm.s, TRIM(Employee_dataset[[#This Row],[Salary]]),
     IF(
        UPPER(_xlpm.s)="N/A","",
        IF(
           ISNUMBER(--_xlpm.s),ROUND(_xlfn.NUMBERVALUE(_xlpm.s),2),""
          )
       )
    )</f>
        <v>98150.39</v>
      </c>
      <c r="J758" t="str">
        <f>TRIM(Employee_dataset[[#This Row],[Email]])</f>
        <v>david.johnson@example.com</v>
      </c>
      <c r="K758" t="str">
        <f>_xlfn.LET(
     _xlpm.p,TRIM(SUBSTITUTE(Employee_dataset[[#This Row],[Phone]],"-","")),
     IF(
        LEN(_xlpm.p)=10,_xlfn.CONCAT("("&amp;LEFT(_xlpm.p,3)&amp;") "&amp;MID(_xlpm.p,4,3)&amp;"-"&amp;RIGHT(_xlpm.p,4),"")
       )
     )</f>
        <v>(984) 822-8500</v>
      </c>
      <c r="L758" t="str">
        <f>TRIM(Employee_dataset[[#This Row],[Performance_Score]])</f>
        <v>Good</v>
      </c>
      <c r="M758" t="str">
        <f>TRIM(Employee_dataset[[#This Row],[Remote_Work]])</f>
        <v>TRUE</v>
      </c>
    </row>
    <row r="759" spans="1:13" x14ac:dyDescent="0.3">
      <c r="A759" t="str">
        <f>TRIM(Employee_dataset[[#This Row],[Employee_ID]])</f>
        <v>EMP1757</v>
      </c>
      <c r="B759" t="str">
        <f>PROPER(TRIM(Employee_dataset[[#This Row],[First_Name]]))</f>
        <v>David</v>
      </c>
      <c r="C759" t="str">
        <f>PROPER(TRIM(Employee_dataset[[#This Row],[Last_Name]]))</f>
        <v>Williams</v>
      </c>
      <c r="D759" s="6" t="str">
        <f>_xlfn.LET(
     _xlpm.a, TRIM(Employee_dataset[[#This Row],[Age]]),
     IF(
        _xlpm.a="","",
        IF(
           AND(ISNUMBER(--_xlpm.a),LEN(_xlpm.a)=2),_xlpm.a,""
          )
       )
    )</f>
        <v>40</v>
      </c>
      <c r="E759" t="str">
        <f>TRIM(_xlfn.TEXTBEFORE(Employee_dataset[[#This Row],[Department_Region]],"-"))</f>
        <v>Finance</v>
      </c>
      <c r="F759" t="str">
        <f>TRIM(_xlfn.TEXTAFTER(Employee_dataset[[#This Row],[Department_Region]],"-"))</f>
        <v>Texas</v>
      </c>
      <c r="G759" t="str">
        <f>TRIM(Employee_dataset[[#This Row],[Status]])</f>
        <v>Pending</v>
      </c>
      <c r="H759" s="1">
        <f>_xlfn.LET(
     _xlpm.d, Employee_dataset[[#This Row],[Join_Date]],
     IF(
        ISNUMBER(_xlpm.d),_xlpm.d,""
       )
    )</f>
        <v>45336</v>
      </c>
      <c r="I759" s="6">
        <f>_xlfn.LET(
     _xlpm.s, TRIM(Employee_dataset[[#This Row],[Salary]]),
     IF(
        UPPER(_xlpm.s)="N/A","",
        IF(
           ISNUMBER(--_xlpm.s),ROUND(_xlfn.NUMBERVALUE(_xlpm.s),2),""
          )
       )
    )</f>
        <v>107703</v>
      </c>
      <c r="J759" t="str">
        <f>TRIM(Employee_dataset[[#This Row],[Email]])</f>
        <v>david.williams@example.com</v>
      </c>
      <c r="K759" t="str">
        <f>_xlfn.LET(
     _xlpm.p,TRIM(SUBSTITUTE(Employee_dataset[[#This Row],[Phone]],"-","")),
     IF(
        LEN(_xlpm.p)=10,_xlfn.CONCAT("("&amp;LEFT(_xlpm.p,3)&amp;") "&amp;MID(_xlpm.p,4,3)&amp;"-"&amp;RIGHT(_xlpm.p,4),"")
       )
     )</f>
        <v>(168) 809-2549</v>
      </c>
      <c r="L759" t="str">
        <f>TRIM(Employee_dataset[[#This Row],[Performance_Score]])</f>
        <v>Average</v>
      </c>
      <c r="M759" t="str">
        <f>TRIM(Employee_dataset[[#This Row],[Remote_Work]])</f>
        <v>FALSE</v>
      </c>
    </row>
    <row r="760" spans="1:13" x14ac:dyDescent="0.3">
      <c r="A760" t="str">
        <f>TRIM(Employee_dataset[[#This Row],[Employee_ID]])</f>
        <v>EMP1758</v>
      </c>
      <c r="B760" t="str">
        <f>PROPER(TRIM(Employee_dataset[[#This Row],[First_Name]]))</f>
        <v>Grace</v>
      </c>
      <c r="C760" t="str">
        <f>PROPER(TRIM(Employee_dataset[[#This Row],[Last_Name]]))</f>
        <v>Smith</v>
      </c>
      <c r="D760" s="6" t="str">
        <f>_xlfn.LET(
     _xlpm.a, TRIM(Employee_dataset[[#This Row],[Age]]),
     IF(
        _xlpm.a="","",
        IF(
           AND(ISNUMBER(--_xlpm.a),LEN(_xlpm.a)=2),_xlpm.a,""
          )
       )
    )</f>
        <v/>
      </c>
      <c r="E760" t="str">
        <f>TRIM(_xlfn.TEXTBEFORE(Employee_dataset[[#This Row],[Department_Region]],"-"))</f>
        <v>DevOps</v>
      </c>
      <c r="F760" t="str">
        <f>TRIM(_xlfn.TEXTAFTER(Employee_dataset[[#This Row],[Department_Region]],"-"))</f>
        <v>Illinois</v>
      </c>
      <c r="G760" t="str">
        <f>TRIM(Employee_dataset[[#This Row],[Status]])</f>
        <v>Pending</v>
      </c>
      <c r="H760" s="1">
        <f>_xlfn.LET(
     _xlpm.d, Employee_dataset[[#This Row],[Join_Date]],
     IF(
        ISNUMBER(_xlpm.d),_xlpm.d,""
       )
    )</f>
        <v>44929</v>
      </c>
      <c r="I760" s="6">
        <f>_xlfn.LET(
     _xlpm.s, TRIM(Employee_dataset[[#This Row],[Salary]]),
     IF(
        UPPER(_xlpm.s)="N/A","",
        IF(
           ISNUMBER(--_xlpm.s),ROUND(_xlfn.NUMBERVALUE(_xlpm.s),2),""
          )
       )
    )</f>
        <v>86766.14</v>
      </c>
      <c r="J760" t="str">
        <f>TRIM(Employee_dataset[[#This Row],[Email]])</f>
        <v>grace.smith@example.com</v>
      </c>
      <c r="K760" t="str">
        <f>_xlfn.LET(
     _xlpm.p,TRIM(SUBSTITUTE(Employee_dataset[[#This Row],[Phone]],"-","")),
     IF(
        LEN(_xlpm.p)=10,_xlfn.CONCAT("("&amp;LEFT(_xlpm.p,3)&amp;") "&amp;MID(_xlpm.p,4,3)&amp;"-"&amp;RIGHT(_xlpm.p,4),"")
       )
     )</f>
        <v>(213) 060-9068</v>
      </c>
      <c r="L760" t="str">
        <f>TRIM(Employee_dataset[[#This Row],[Performance_Score]])</f>
        <v>Poor</v>
      </c>
      <c r="M760" t="str">
        <f>TRIM(Employee_dataset[[#This Row],[Remote_Work]])</f>
        <v>TRUE</v>
      </c>
    </row>
    <row r="761" spans="1:13" x14ac:dyDescent="0.3">
      <c r="A761" t="str">
        <f>TRIM(Employee_dataset[[#This Row],[Employee_ID]])</f>
        <v>EMP1759</v>
      </c>
      <c r="B761" t="str">
        <f>PROPER(TRIM(Employee_dataset[[#This Row],[First_Name]]))</f>
        <v>Alice</v>
      </c>
      <c r="C761" t="str">
        <f>PROPER(TRIM(Employee_dataset[[#This Row],[Last_Name]]))</f>
        <v>Davis</v>
      </c>
      <c r="D761" s="6" t="str">
        <f>_xlfn.LET(
     _xlpm.a, TRIM(Employee_dataset[[#This Row],[Age]]),
     IF(
        _xlpm.a="","",
        IF(
           AND(ISNUMBER(--_xlpm.a),LEN(_xlpm.a)=2),_xlpm.a,""
          )
       )
    )</f>
        <v/>
      </c>
      <c r="E761" t="str">
        <f>TRIM(_xlfn.TEXTBEFORE(Employee_dataset[[#This Row],[Department_Region]],"-"))</f>
        <v>Cloud Tech</v>
      </c>
      <c r="F761" t="str">
        <f>TRIM(_xlfn.TEXTAFTER(Employee_dataset[[#This Row],[Department_Region]],"-"))</f>
        <v>Florida</v>
      </c>
      <c r="G761" t="str">
        <f>TRIM(Employee_dataset[[#This Row],[Status]])</f>
        <v>Inactive</v>
      </c>
      <c r="H761" s="1">
        <f>_xlfn.LET(
     _xlpm.d, Employee_dataset[[#This Row],[Join_Date]],
     IF(
        ISNUMBER(_xlpm.d),_xlpm.d,""
       )
    )</f>
        <v>45524</v>
      </c>
      <c r="I761" s="6">
        <f>_xlfn.LET(
     _xlpm.s, TRIM(Employee_dataset[[#This Row],[Salary]]),
     IF(
        UPPER(_xlpm.s)="N/A","",
        IF(
           ISNUMBER(--_xlpm.s),ROUND(_xlfn.NUMBERVALUE(_xlpm.s),2),""
          )
       )
    )</f>
        <v>111443.69</v>
      </c>
      <c r="J761" t="str">
        <f>TRIM(Employee_dataset[[#This Row],[Email]])</f>
        <v>alice.davis@example.com</v>
      </c>
      <c r="K761" t="str">
        <f>_xlfn.LET(
     _xlpm.p,TRIM(SUBSTITUTE(Employee_dataset[[#This Row],[Phone]],"-","")),
     IF(
        LEN(_xlpm.p)=10,_xlfn.CONCAT("("&amp;LEFT(_xlpm.p,3)&amp;") "&amp;MID(_xlpm.p,4,3)&amp;"-"&amp;RIGHT(_xlpm.p,4),"")
       )
     )</f>
        <v>(130) 981-0795</v>
      </c>
      <c r="L761" t="str">
        <f>TRIM(Employee_dataset[[#This Row],[Performance_Score]])</f>
        <v>Poor</v>
      </c>
      <c r="M761" t="str">
        <f>TRIM(Employee_dataset[[#This Row],[Remote_Work]])</f>
        <v>TRUE</v>
      </c>
    </row>
    <row r="762" spans="1:13" x14ac:dyDescent="0.3">
      <c r="A762" t="str">
        <f>TRIM(Employee_dataset[[#This Row],[Employee_ID]])</f>
        <v>EMP1760</v>
      </c>
      <c r="B762" t="str">
        <f>PROPER(TRIM(Employee_dataset[[#This Row],[First_Name]]))</f>
        <v>David</v>
      </c>
      <c r="C762" t="str">
        <f>PROPER(TRIM(Employee_dataset[[#This Row],[Last_Name]]))</f>
        <v>Brown</v>
      </c>
      <c r="D762" s="6" t="str">
        <f>_xlfn.LET(
     _xlpm.a, TRIM(Employee_dataset[[#This Row],[Age]]),
     IF(
        _xlpm.a="","",
        IF(
           AND(ISNUMBER(--_xlpm.a),LEN(_xlpm.a)=2),_xlpm.a,""
          )
       )
    )</f>
        <v/>
      </c>
      <c r="E762" t="str">
        <f>TRIM(_xlfn.TEXTBEFORE(Employee_dataset[[#This Row],[Department_Region]],"-"))</f>
        <v>Sales</v>
      </c>
      <c r="F762" t="str">
        <f>TRIM(_xlfn.TEXTAFTER(Employee_dataset[[#This Row],[Department_Region]],"-"))</f>
        <v>Florida</v>
      </c>
      <c r="G762" t="str">
        <f>TRIM(Employee_dataset[[#This Row],[Status]])</f>
        <v>Pending</v>
      </c>
      <c r="H762" s="1">
        <f>_xlfn.LET(
     _xlpm.d, Employee_dataset[[#This Row],[Join_Date]],
     IF(
        ISNUMBER(_xlpm.d),_xlpm.d,""
       )
    )</f>
        <v>43911</v>
      </c>
      <c r="I762" s="6">
        <f>_xlfn.LET(
     _xlpm.s, TRIM(Employee_dataset[[#This Row],[Salary]]),
     IF(
        UPPER(_xlpm.s)="N/A","",
        IF(
           ISNUMBER(--_xlpm.s),ROUND(_xlfn.NUMBERVALUE(_xlpm.s),2),""
          )
       )
    )</f>
        <v>89039.07</v>
      </c>
      <c r="J762" t="str">
        <f>TRIM(Employee_dataset[[#This Row],[Email]])</f>
        <v>david.brown@example.com</v>
      </c>
      <c r="K762" t="str">
        <f>_xlfn.LET(
     _xlpm.p,TRIM(SUBSTITUTE(Employee_dataset[[#This Row],[Phone]],"-","")),
     IF(
        LEN(_xlpm.p)=10,_xlfn.CONCAT("("&amp;LEFT(_xlpm.p,3)&amp;") "&amp;MID(_xlpm.p,4,3)&amp;"-"&amp;RIGHT(_xlpm.p,4),"")
       )
     )</f>
        <v>(496) 737-9456</v>
      </c>
      <c r="L762" t="str">
        <f>TRIM(Employee_dataset[[#This Row],[Performance_Score]])</f>
        <v>Good</v>
      </c>
      <c r="M762" t="str">
        <f>TRIM(Employee_dataset[[#This Row],[Remote_Work]])</f>
        <v>FALSE</v>
      </c>
    </row>
    <row r="763" spans="1:13" x14ac:dyDescent="0.3">
      <c r="A763" t="str">
        <f>TRIM(Employee_dataset[[#This Row],[Employee_ID]])</f>
        <v>EMP1761</v>
      </c>
      <c r="B763" t="str">
        <f>PROPER(TRIM(Employee_dataset[[#This Row],[First_Name]]))</f>
        <v>Alice</v>
      </c>
      <c r="C763" t="str">
        <f>PROPER(TRIM(Employee_dataset[[#This Row],[Last_Name]]))</f>
        <v>Johnson</v>
      </c>
      <c r="D763" s="6" t="str">
        <f>_xlfn.LET(
     _xlpm.a, TRIM(Employee_dataset[[#This Row],[Age]]),
     IF(
        _xlpm.a="","",
        IF(
           AND(ISNUMBER(--_xlpm.a),LEN(_xlpm.a)=2),_xlpm.a,""
          )
       )
    )</f>
        <v>30</v>
      </c>
      <c r="E763" t="str">
        <f>TRIM(_xlfn.TEXTBEFORE(Employee_dataset[[#This Row],[Department_Region]],"-"))</f>
        <v>HR</v>
      </c>
      <c r="F763" t="str">
        <f>TRIM(_xlfn.TEXTAFTER(Employee_dataset[[#This Row],[Department_Region]],"-"))</f>
        <v>Florida</v>
      </c>
      <c r="G763" t="str">
        <f>TRIM(Employee_dataset[[#This Row],[Status]])</f>
        <v>Inactive</v>
      </c>
      <c r="H763" s="1">
        <f>_xlfn.LET(
     _xlpm.d, Employee_dataset[[#This Row],[Join_Date]],
     IF(
        ISNUMBER(_xlpm.d),_xlpm.d,""
       )
    )</f>
        <v>45642</v>
      </c>
      <c r="I763" s="6">
        <f>_xlfn.LET(
     _xlpm.s, TRIM(Employee_dataset[[#This Row],[Salary]]),
     IF(
        UPPER(_xlpm.s)="N/A","",
        IF(
           ISNUMBER(--_xlpm.s),ROUND(_xlfn.NUMBERVALUE(_xlpm.s),2),""
          )
       )
    )</f>
        <v>71318.789999999994</v>
      </c>
      <c r="J763" t="str">
        <f>TRIM(Employee_dataset[[#This Row],[Email]])</f>
        <v>alice.johnson@example.com</v>
      </c>
      <c r="K763" t="str">
        <f>_xlfn.LET(
     _xlpm.p,TRIM(SUBSTITUTE(Employee_dataset[[#This Row],[Phone]],"-","")),
     IF(
        LEN(_xlpm.p)=10,_xlfn.CONCAT("("&amp;LEFT(_xlpm.p,3)&amp;") "&amp;MID(_xlpm.p,4,3)&amp;"-"&amp;RIGHT(_xlpm.p,4),"")
       )
     )</f>
        <v>(727) 853-2425</v>
      </c>
      <c r="L763" t="str">
        <f>TRIM(Employee_dataset[[#This Row],[Performance_Score]])</f>
        <v>Poor</v>
      </c>
      <c r="M763" t="str">
        <f>TRIM(Employee_dataset[[#This Row],[Remote_Work]])</f>
        <v>FALSE</v>
      </c>
    </row>
    <row r="764" spans="1:13" x14ac:dyDescent="0.3">
      <c r="A764" t="str">
        <f>TRIM(Employee_dataset[[#This Row],[Employee_ID]])</f>
        <v>EMP1762</v>
      </c>
      <c r="B764" t="str">
        <f>PROPER(TRIM(Employee_dataset[[#This Row],[First_Name]]))</f>
        <v>Heidi</v>
      </c>
      <c r="C764" t="str">
        <f>PROPER(TRIM(Employee_dataset[[#This Row],[Last_Name]]))</f>
        <v>Jones</v>
      </c>
      <c r="D764" s="6" t="str">
        <f>_xlfn.LET(
     _xlpm.a, TRIM(Employee_dataset[[#This Row],[Age]]),
     IF(
        _xlpm.a="","",
        IF(
           AND(ISNUMBER(--_xlpm.a),LEN(_xlpm.a)=2),_xlpm.a,""
          )
       )
    )</f>
        <v>30</v>
      </c>
      <c r="E764" t="str">
        <f>TRIM(_xlfn.TEXTBEFORE(Employee_dataset[[#This Row],[Department_Region]],"-"))</f>
        <v>Finance</v>
      </c>
      <c r="F764" t="str">
        <f>TRIM(_xlfn.TEXTAFTER(Employee_dataset[[#This Row],[Department_Region]],"-"))</f>
        <v>California</v>
      </c>
      <c r="G764" t="str">
        <f>TRIM(Employee_dataset[[#This Row],[Status]])</f>
        <v>Pending</v>
      </c>
      <c r="H764" s="1">
        <f>_xlfn.LET(
     _xlpm.d, Employee_dataset[[#This Row],[Join_Date]],
     IF(
        ISNUMBER(_xlpm.d),_xlpm.d,""
       )
    )</f>
        <v>43942</v>
      </c>
      <c r="I764" s="6">
        <f>_xlfn.LET(
     _xlpm.s, TRIM(Employee_dataset[[#This Row],[Salary]]),
     IF(
        UPPER(_xlpm.s)="N/A","",
        IF(
           ISNUMBER(--_xlpm.s),ROUND(_xlfn.NUMBERVALUE(_xlpm.s),2),""
          )
       )
    )</f>
        <v>98296.71</v>
      </c>
      <c r="J764" t="str">
        <f>TRIM(Employee_dataset[[#This Row],[Email]])</f>
        <v>heidi.jones@example.com</v>
      </c>
      <c r="K764" t="str">
        <f>_xlfn.LET(
     _xlpm.p,TRIM(SUBSTITUTE(Employee_dataset[[#This Row],[Phone]],"-","")),
     IF(
        LEN(_xlpm.p)=10,_xlfn.CONCAT("("&amp;LEFT(_xlpm.p,3)&amp;") "&amp;MID(_xlpm.p,4,3)&amp;"-"&amp;RIGHT(_xlpm.p,4),"")
       )
     )</f>
        <v>(425) 064-2075</v>
      </c>
      <c r="L764" t="str">
        <f>TRIM(Employee_dataset[[#This Row],[Performance_Score]])</f>
        <v>Poor</v>
      </c>
      <c r="M764" t="str">
        <f>TRIM(Employee_dataset[[#This Row],[Remote_Work]])</f>
        <v>FALSE</v>
      </c>
    </row>
    <row r="765" spans="1:13" x14ac:dyDescent="0.3">
      <c r="A765" t="str">
        <f>TRIM(Employee_dataset[[#This Row],[Employee_ID]])</f>
        <v>EMP1763</v>
      </c>
      <c r="B765" t="str">
        <f>PROPER(TRIM(Employee_dataset[[#This Row],[First_Name]]))</f>
        <v>Heidi</v>
      </c>
      <c r="C765" t="str">
        <f>PROPER(TRIM(Employee_dataset[[#This Row],[Last_Name]]))</f>
        <v>Johnson</v>
      </c>
      <c r="D765" s="6" t="str">
        <f>_xlfn.LET(
     _xlpm.a, TRIM(Employee_dataset[[#This Row],[Age]]),
     IF(
        _xlpm.a="","",
        IF(
           AND(ISNUMBER(--_xlpm.a),LEN(_xlpm.a)=2),_xlpm.a,""
          )
       )
    )</f>
        <v>40</v>
      </c>
      <c r="E765" t="str">
        <f>TRIM(_xlfn.TEXTBEFORE(Employee_dataset[[#This Row],[Department_Region]],"-"))</f>
        <v>Cloud Tech</v>
      </c>
      <c r="F765" t="str">
        <f>TRIM(_xlfn.TEXTAFTER(Employee_dataset[[#This Row],[Department_Region]],"-"))</f>
        <v>Nevada</v>
      </c>
      <c r="G765" t="str">
        <f>TRIM(Employee_dataset[[#This Row],[Status]])</f>
        <v>Pending</v>
      </c>
      <c r="H765" s="1">
        <f>_xlfn.LET(
     _xlpm.d, Employee_dataset[[#This Row],[Join_Date]],
     IF(
        ISNUMBER(_xlpm.d),_xlpm.d,""
       )
    )</f>
        <v>44062</v>
      </c>
      <c r="I765" s="6">
        <f>_xlfn.LET(
     _xlpm.s, TRIM(Employee_dataset[[#This Row],[Salary]]),
     IF(
        UPPER(_xlpm.s)="N/A","",
        IF(
           ISNUMBER(--_xlpm.s),ROUND(_xlfn.NUMBERVALUE(_xlpm.s),2),""
          )
       )
    )</f>
        <v>62584</v>
      </c>
      <c r="J765" t="str">
        <f>TRIM(Employee_dataset[[#This Row],[Email]])</f>
        <v>heidi.johnson@example.com</v>
      </c>
      <c r="K765" t="str">
        <f>_xlfn.LET(
     _xlpm.p,TRIM(SUBSTITUTE(Employee_dataset[[#This Row],[Phone]],"-","")),
     IF(
        LEN(_xlpm.p)=10,_xlfn.CONCAT("("&amp;LEFT(_xlpm.p,3)&amp;") "&amp;MID(_xlpm.p,4,3)&amp;"-"&amp;RIGHT(_xlpm.p,4),"")
       )
     )</f>
        <v>(836) 253-6666</v>
      </c>
      <c r="L765" t="str">
        <f>TRIM(Employee_dataset[[#This Row],[Performance_Score]])</f>
        <v>Good</v>
      </c>
      <c r="M765" t="str">
        <f>TRIM(Employee_dataset[[#This Row],[Remote_Work]])</f>
        <v>FALSE</v>
      </c>
    </row>
    <row r="766" spans="1:13" x14ac:dyDescent="0.3">
      <c r="A766" t="str">
        <f>TRIM(Employee_dataset[[#This Row],[Employee_ID]])</f>
        <v>EMP1764</v>
      </c>
      <c r="B766" t="str">
        <f>PROPER(TRIM(Employee_dataset[[#This Row],[First_Name]]))</f>
        <v>Charlie</v>
      </c>
      <c r="C766" t="str">
        <f>PROPER(TRIM(Employee_dataset[[#This Row],[Last_Name]]))</f>
        <v>Jones</v>
      </c>
      <c r="D766" s="6" t="str">
        <f>_xlfn.LET(
     _xlpm.a, TRIM(Employee_dataset[[#This Row],[Age]]),
     IF(
        _xlpm.a="","",
        IF(
           AND(ISNUMBER(--_xlpm.a),LEN(_xlpm.a)=2),_xlpm.a,""
          )
       )
    )</f>
        <v>40</v>
      </c>
      <c r="E766" t="str">
        <f>TRIM(_xlfn.TEXTBEFORE(Employee_dataset[[#This Row],[Department_Region]],"-"))</f>
        <v>Finance</v>
      </c>
      <c r="F766" t="str">
        <f>TRIM(_xlfn.TEXTAFTER(Employee_dataset[[#This Row],[Department_Region]],"-"))</f>
        <v>California</v>
      </c>
      <c r="G766" t="str">
        <f>TRIM(Employee_dataset[[#This Row],[Status]])</f>
        <v>Inactive</v>
      </c>
      <c r="H766" s="1">
        <f>_xlfn.LET(
     _xlpm.d, Employee_dataset[[#This Row],[Join_Date]],
     IF(
        ISNUMBER(_xlpm.d),_xlpm.d,""
       )
    )</f>
        <v>43882</v>
      </c>
      <c r="I766" s="6">
        <f>_xlfn.LET(
     _xlpm.s, TRIM(Employee_dataset[[#This Row],[Salary]]),
     IF(
        UPPER(_xlpm.s)="N/A","",
        IF(
           ISNUMBER(--_xlpm.s),ROUND(_xlfn.NUMBERVALUE(_xlpm.s),2),""
          )
       )
    )</f>
        <v>62521.5</v>
      </c>
      <c r="J766" t="str">
        <f>TRIM(Employee_dataset[[#This Row],[Email]])</f>
        <v>charlie.jones@example.com</v>
      </c>
      <c r="K766" t="str">
        <f>_xlfn.LET(
     _xlpm.p,TRIM(SUBSTITUTE(Employee_dataset[[#This Row],[Phone]],"-","")),
     IF(
        LEN(_xlpm.p)=10,_xlfn.CONCAT("("&amp;LEFT(_xlpm.p,3)&amp;") "&amp;MID(_xlpm.p,4,3)&amp;"-"&amp;RIGHT(_xlpm.p,4),"")
       )
     )</f>
        <v>(776) 755-5627</v>
      </c>
      <c r="L766" t="str">
        <f>TRIM(Employee_dataset[[#This Row],[Performance_Score]])</f>
        <v>Average</v>
      </c>
      <c r="M766" t="str">
        <f>TRIM(Employee_dataset[[#This Row],[Remote_Work]])</f>
        <v>TRUE</v>
      </c>
    </row>
    <row r="767" spans="1:13" x14ac:dyDescent="0.3">
      <c r="A767" t="str">
        <f>TRIM(Employee_dataset[[#This Row],[Employee_ID]])</f>
        <v>EMP1765</v>
      </c>
      <c r="B767" t="str">
        <f>PROPER(TRIM(Employee_dataset[[#This Row],[First_Name]]))</f>
        <v>David</v>
      </c>
      <c r="C767" t="str">
        <f>PROPER(TRIM(Employee_dataset[[#This Row],[Last_Name]]))</f>
        <v>Williams</v>
      </c>
      <c r="D767" s="6" t="str">
        <f>_xlfn.LET(
     _xlpm.a, TRIM(Employee_dataset[[#This Row],[Age]]),
     IF(
        _xlpm.a="","",
        IF(
           AND(ISNUMBER(--_xlpm.a),LEN(_xlpm.a)=2),_xlpm.a,""
          )
       )
    )</f>
        <v>40</v>
      </c>
      <c r="E767" t="str">
        <f>TRIM(_xlfn.TEXTBEFORE(Employee_dataset[[#This Row],[Department_Region]],"-"))</f>
        <v>Cloud Tech</v>
      </c>
      <c r="F767" t="str">
        <f>TRIM(_xlfn.TEXTAFTER(Employee_dataset[[#This Row],[Department_Region]],"-"))</f>
        <v>California</v>
      </c>
      <c r="G767" t="str">
        <f>TRIM(Employee_dataset[[#This Row],[Status]])</f>
        <v>Inactive</v>
      </c>
      <c r="H767" s="1">
        <f>_xlfn.LET(
     _xlpm.d, Employee_dataset[[#This Row],[Join_Date]],
     IF(
        ISNUMBER(_xlpm.d),_xlpm.d,""
       )
    )</f>
        <v>45247</v>
      </c>
      <c r="I767" s="6">
        <f>_xlfn.LET(
     _xlpm.s, TRIM(Employee_dataset[[#This Row],[Salary]]),
     IF(
        UPPER(_xlpm.s)="N/A","",
        IF(
           ISNUMBER(--_xlpm.s),ROUND(_xlfn.NUMBERVALUE(_xlpm.s),2),""
          )
       )
    )</f>
        <v>95400.35</v>
      </c>
      <c r="J767" t="str">
        <f>TRIM(Employee_dataset[[#This Row],[Email]])</f>
        <v>david.williams@example.com</v>
      </c>
      <c r="K767" t="str">
        <f>_xlfn.LET(
     _xlpm.p,TRIM(SUBSTITUTE(Employee_dataset[[#This Row],[Phone]],"-","")),
     IF(
        LEN(_xlpm.p)=10,_xlfn.CONCAT("("&amp;LEFT(_xlpm.p,3)&amp;") "&amp;MID(_xlpm.p,4,3)&amp;"-"&amp;RIGHT(_xlpm.p,4),"")
       )
     )</f>
        <v>(333) 393-9577</v>
      </c>
      <c r="L767" t="str">
        <f>TRIM(Employee_dataset[[#This Row],[Performance_Score]])</f>
        <v>Poor</v>
      </c>
      <c r="M767" t="str">
        <f>TRIM(Employee_dataset[[#This Row],[Remote_Work]])</f>
        <v>TRUE</v>
      </c>
    </row>
    <row r="768" spans="1:13" x14ac:dyDescent="0.3">
      <c r="A768" t="str">
        <f>TRIM(Employee_dataset[[#This Row],[Employee_ID]])</f>
        <v>EMP1766</v>
      </c>
      <c r="B768" t="str">
        <f>PROPER(TRIM(Employee_dataset[[#This Row],[First_Name]]))</f>
        <v>Charlie</v>
      </c>
      <c r="C768" t="str">
        <f>PROPER(TRIM(Employee_dataset[[#This Row],[Last_Name]]))</f>
        <v>Jones</v>
      </c>
      <c r="D768" s="6" t="str">
        <f>_xlfn.LET(
     _xlpm.a, TRIM(Employee_dataset[[#This Row],[Age]]),
     IF(
        _xlpm.a="","",
        IF(
           AND(ISNUMBER(--_xlpm.a),LEN(_xlpm.a)=2),_xlpm.a,""
          )
       )
    )</f>
        <v>25</v>
      </c>
      <c r="E768" t="str">
        <f>TRIM(_xlfn.TEXTBEFORE(Employee_dataset[[#This Row],[Department_Region]],"-"))</f>
        <v>Cloud Tech</v>
      </c>
      <c r="F768" t="str">
        <f>TRIM(_xlfn.TEXTAFTER(Employee_dataset[[#This Row],[Department_Region]],"-"))</f>
        <v>Texas</v>
      </c>
      <c r="G768" t="str">
        <f>TRIM(Employee_dataset[[#This Row],[Status]])</f>
        <v>Pending</v>
      </c>
      <c r="H768" s="1">
        <f>_xlfn.LET(
     _xlpm.d, Employee_dataset[[#This Row],[Join_Date]],
     IF(
        ISNUMBER(_xlpm.d),_xlpm.d,""
       )
    )</f>
        <v>44751</v>
      </c>
      <c r="I768" s="6">
        <f>_xlfn.LET(
     _xlpm.s, TRIM(Employee_dataset[[#This Row],[Salary]]),
     IF(
        UPPER(_xlpm.s)="N/A","",
        IF(
           ISNUMBER(--_xlpm.s),ROUND(_xlfn.NUMBERVALUE(_xlpm.s),2),""
          )
       )
    )</f>
        <v>94385.07</v>
      </c>
      <c r="J768" t="str">
        <f>TRIM(Employee_dataset[[#This Row],[Email]])</f>
        <v>charlie.jones@example.com</v>
      </c>
      <c r="K768" t="str">
        <f>_xlfn.LET(
     _xlpm.p,TRIM(SUBSTITUTE(Employee_dataset[[#This Row],[Phone]],"-","")),
     IF(
        LEN(_xlpm.p)=10,_xlfn.CONCAT("("&amp;LEFT(_xlpm.p,3)&amp;") "&amp;MID(_xlpm.p,4,3)&amp;"-"&amp;RIGHT(_xlpm.p,4),"")
       )
     )</f>
        <v>(654) 362-7186</v>
      </c>
      <c r="L768" t="str">
        <f>TRIM(Employee_dataset[[#This Row],[Performance_Score]])</f>
        <v>Poor</v>
      </c>
      <c r="M768" t="str">
        <f>TRIM(Employee_dataset[[#This Row],[Remote_Work]])</f>
        <v>TRUE</v>
      </c>
    </row>
    <row r="769" spans="1:13" x14ac:dyDescent="0.3">
      <c r="A769" t="str">
        <f>TRIM(Employee_dataset[[#This Row],[Employee_ID]])</f>
        <v>EMP1767</v>
      </c>
      <c r="B769" t="str">
        <f>PROPER(TRIM(Employee_dataset[[#This Row],[First_Name]]))</f>
        <v>Grace</v>
      </c>
      <c r="C769" t="str">
        <f>PROPER(TRIM(Employee_dataset[[#This Row],[Last_Name]]))</f>
        <v>Garcia</v>
      </c>
      <c r="D769" s="6" t="str">
        <f>_xlfn.LET(
     _xlpm.a, TRIM(Employee_dataset[[#This Row],[Age]]),
     IF(
        _xlpm.a="","",
        IF(
           AND(ISNUMBER(--_xlpm.a),LEN(_xlpm.a)=2),_xlpm.a,""
          )
       )
    )</f>
        <v/>
      </c>
      <c r="E769" t="str">
        <f>TRIM(_xlfn.TEXTBEFORE(Employee_dataset[[#This Row],[Department_Region]],"-"))</f>
        <v>Sales</v>
      </c>
      <c r="F769" t="str">
        <f>TRIM(_xlfn.TEXTAFTER(Employee_dataset[[#This Row],[Department_Region]],"-"))</f>
        <v>New York</v>
      </c>
      <c r="G769" t="str">
        <f>TRIM(Employee_dataset[[#This Row],[Status]])</f>
        <v>Inactive</v>
      </c>
      <c r="H769" s="1">
        <f>_xlfn.LET(
     _xlpm.d, Employee_dataset[[#This Row],[Join_Date]],
     IF(
        ISNUMBER(_xlpm.d),_xlpm.d,""
       )
    )</f>
        <v>44958</v>
      </c>
      <c r="I769" s="6">
        <f>_xlfn.LET(
     _xlpm.s, TRIM(Employee_dataset[[#This Row],[Salary]]),
     IF(
        UPPER(_xlpm.s)="N/A","",
        IF(
           ISNUMBER(--_xlpm.s),ROUND(_xlfn.NUMBERVALUE(_xlpm.s),2),""
          )
       )
    )</f>
        <v>76642.490000000005</v>
      </c>
      <c r="J769" t="str">
        <f>TRIM(Employee_dataset[[#This Row],[Email]])</f>
        <v>grace.garcia@example.com</v>
      </c>
      <c r="K769" t="str">
        <f>_xlfn.LET(
     _xlpm.p,TRIM(SUBSTITUTE(Employee_dataset[[#This Row],[Phone]],"-","")),
     IF(
        LEN(_xlpm.p)=10,_xlfn.CONCAT("("&amp;LEFT(_xlpm.p,3)&amp;") "&amp;MID(_xlpm.p,4,3)&amp;"-"&amp;RIGHT(_xlpm.p,4),"")
       )
     )</f>
        <v>(496) 033-5825</v>
      </c>
      <c r="L769" t="str">
        <f>TRIM(Employee_dataset[[#This Row],[Performance_Score]])</f>
        <v>Poor</v>
      </c>
      <c r="M769" t="str">
        <f>TRIM(Employee_dataset[[#This Row],[Remote_Work]])</f>
        <v>TRUE</v>
      </c>
    </row>
    <row r="770" spans="1:13" x14ac:dyDescent="0.3">
      <c r="A770" t="str">
        <f>TRIM(Employee_dataset[[#This Row],[Employee_ID]])</f>
        <v>EMP1768</v>
      </c>
      <c r="B770" t="str">
        <f>PROPER(TRIM(Employee_dataset[[#This Row],[First_Name]]))</f>
        <v>Frank</v>
      </c>
      <c r="C770" t="str">
        <f>PROPER(TRIM(Employee_dataset[[#This Row],[Last_Name]]))</f>
        <v>Brown</v>
      </c>
      <c r="D770" s="6" t="str">
        <f>_xlfn.LET(
     _xlpm.a, TRIM(Employee_dataset[[#This Row],[Age]]),
     IF(
        _xlpm.a="","",
        IF(
           AND(ISNUMBER(--_xlpm.a),LEN(_xlpm.a)=2),_xlpm.a,""
          )
       )
    )</f>
        <v/>
      </c>
      <c r="E770" t="str">
        <f>TRIM(_xlfn.TEXTBEFORE(Employee_dataset[[#This Row],[Department_Region]],"-"))</f>
        <v>DevOps</v>
      </c>
      <c r="F770" t="str">
        <f>TRIM(_xlfn.TEXTAFTER(Employee_dataset[[#This Row],[Department_Region]],"-"))</f>
        <v>New York</v>
      </c>
      <c r="G770" t="str">
        <f>TRIM(Employee_dataset[[#This Row],[Status]])</f>
        <v>Active</v>
      </c>
      <c r="H770" s="1">
        <f>_xlfn.LET(
     _xlpm.d, Employee_dataset[[#This Row],[Join_Date]],
     IF(
        ISNUMBER(_xlpm.d),_xlpm.d,""
       )
    )</f>
        <v>45610</v>
      </c>
      <c r="I770" s="6">
        <f>_xlfn.LET(
     _xlpm.s, TRIM(Employee_dataset[[#This Row],[Salary]]),
     IF(
        UPPER(_xlpm.s)="N/A","",
        IF(
           ISNUMBER(--_xlpm.s),ROUND(_xlfn.NUMBERVALUE(_xlpm.s),2),""
          )
       )
    )</f>
        <v>60122.52</v>
      </c>
      <c r="J770" t="str">
        <f>TRIM(Employee_dataset[[#This Row],[Email]])</f>
        <v>frank.brown@example.com</v>
      </c>
      <c r="K770" t="str">
        <f>_xlfn.LET(
     _xlpm.p,TRIM(SUBSTITUTE(Employee_dataset[[#This Row],[Phone]],"-","")),
     IF(
        LEN(_xlpm.p)=10,_xlfn.CONCAT("("&amp;LEFT(_xlpm.p,3)&amp;") "&amp;MID(_xlpm.p,4,3)&amp;"-"&amp;RIGHT(_xlpm.p,4),"")
       )
     )</f>
        <v>(862) 703-6923</v>
      </c>
      <c r="L770" t="str">
        <f>TRIM(Employee_dataset[[#This Row],[Performance_Score]])</f>
        <v>Excellent</v>
      </c>
      <c r="M770" t="str">
        <f>TRIM(Employee_dataset[[#This Row],[Remote_Work]])</f>
        <v>TRUE</v>
      </c>
    </row>
    <row r="771" spans="1:13" x14ac:dyDescent="0.3">
      <c r="A771" t="str">
        <f>TRIM(Employee_dataset[[#This Row],[Employee_ID]])</f>
        <v>EMP1769</v>
      </c>
      <c r="B771" t="str">
        <f>PROPER(TRIM(Employee_dataset[[#This Row],[First_Name]]))</f>
        <v>Alice</v>
      </c>
      <c r="C771" t="str">
        <f>PROPER(TRIM(Employee_dataset[[#This Row],[Last_Name]]))</f>
        <v>Smith</v>
      </c>
      <c r="D771" s="6" t="str">
        <f>_xlfn.LET(
     _xlpm.a, TRIM(Employee_dataset[[#This Row],[Age]]),
     IF(
        _xlpm.a="","",
        IF(
           AND(ISNUMBER(--_xlpm.a),LEN(_xlpm.a)=2),_xlpm.a,""
          )
       )
    )</f>
        <v>40</v>
      </c>
      <c r="E771" t="str">
        <f>TRIM(_xlfn.TEXTBEFORE(Employee_dataset[[#This Row],[Department_Region]],"-"))</f>
        <v>HR</v>
      </c>
      <c r="F771" t="str">
        <f>TRIM(_xlfn.TEXTAFTER(Employee_dataset[[#This Row],[Department_Region]],"-"))</f>
        <v>California</v>
      </c>
      <c r="G771" t="str">
        <f>TRIM(Employee_dataset[[#This Row],[Status]])</f>
        <v>Pending</v>
      </c>
      <c r="H771" s="1">
        <f>_xlfn.LET(
     _xlpm.d, Employee_dataset[[#This Row],[Join_Date]],
     IF(
        ISNUMBER(_xlpm.d),_xlpm.d,""
       )
    )</f>
        <v>45405</v>
      </c>
      <c r="I771" s="6">
        <f>_xlfn.LET(
     _xlpm.s, TRIM(Employee_dataset[[#This Row],[Salary]]),
     IF(
        UPPER(_xlpm.s)="N/A","",
        IF(
           ISNUMBER(--_xlpm.s),ROUND(_xlfn.NUMBERVALUE(_xlpm.s),2),""
          )
       )
    )</f>
        <v>117267.63</v>
      </c>
      <c r="J771" t="str">
        <f>TRIM(Employee_dataset[[#This Row],[Email]])</f>
        <v>alice.smith@example.com</v>
      </c>
      <c r="K771" t="str">
        <f>_xlfn.LET(
     _xlpm.p,TRIM(SUBSTITUTE(Employee_dataset[[#This Row],[Phone]],"-","")),
     IF(
        LEN(_xlpm.p)=10,_xlfn.CONCAT("("&amp;LEFT(_xlpm.p,3)&amp;") "&amp;MID(_xlpm.p,4,3)&amp;"-"&amp;RIGHT(_xlpm.p,4),"")
       )
     )</f>
        <v>(926) 932-6572</v>
      </c>
      <c r="L771" t="str">
        <f>TRIM(Employee_dataset[[#This Row],[Performance_Score]])</f>
        <v>Good</v>
      </c>
      <c r="M771" t="str">
        <f>TRIM(Employee_dataset[[#This Row],[Remote_Work]])</f>
        <v>FALSE</v>
      </c>
    </row>
    <row r="772" spans="1:13" x14ac:dyDescent="0.3">
      <c r="A772" t="str">
        <f>TRIM(Employee_dataset[[#This Row],[Employee_ID]])</f>
        <v>EMP1770</v>
      </c>
      <c r="B772" t="str">
        <f>PROPER(TRIM(Employee_dataset[[#This Row],[First_Name]]))</f>
        <v>Charlie</v>
      </c>
      <c r="C772" t="str">
        <f>PROPER(TRIM(Employee_dataset[[#This Row],[Last_Name]]))</f>
        <v>Jones</v>
      </c>
      <c r="D772" s="6" t="str">
        <f>_xlfn.LET(
     _xlpm.a, TRIM(Employee_dataset[[#This Row],[Age]]),
     IF(
        _xlpm.a="","",
        IF(
           AND(ISNUMBER(--_xlpm.a),LEN(_xlpm.a)=2),_xlpm.a,""
          )
       )
    )</f>
        <v>25</v>
      </c>
      <c r="E772" t="str">
        <f>TRIM(_xlfn.TEXTBEFORE(Employee_dataset[[#This Row],[Department_Region]],"-"))</f>
        <v>Admin</v>
      </c>
      <c r="F772" t="str">
        <f>TRIM(_xlfn.TEXTAFTER(Employee_dataset[[#This Row],[Department_Region]],"-"))</f>
        <v>New York</v>
      </c>
      <c r="G772" t="str">
        <f>TRIM(Employee_dataset[[#This Row],[Status]])</f>
        <v>Active</v>
      </c>
      <c r="H772" s="1">
        <f>_xlfn.LET(
     _xlpm.d, Employee_dataset[[#This Row],[Join_Date]],
     IF(
        ISNUMBER(_xlpm.d),_xlpm.d,""
       )
    )</f>
        <v>45106</v>
      </c>
      <c r="I772" s="6" t="str">
        <f>_xlfn.LET(
     _xlpm.s, TRIM(Employee_dataset[[#This Row],[Salary]]),
     IF(
        UPPER(_xlpm.s)="N/A","",
        IF(
           ISNUMBER(--_xlpm.s),ROUND(_xlfn.NUMBERVALUE(_xlpm.s),2),""
          )
       )
    )</f>
        <v/>
      </c>
      <c r="J772" t="str">
        <f>TRIM(Employee_dataset[[#This Row],[Email]])</f>
        <v>charlie.jones@example.com</v>
      </c>
      <c r="K772" t="str">
        <f>_xlfn.LET(
     _xlpm.p,TRIM(SUBSTITUTE(Employee_dataset[[#This Row],[Phone]],"-","")),
     IF(
        LEN(_xlpm.p)=10,_xlfn.CONCAT("("&amp;LEFT(_xlpm.p,3)&amp;") "&amp;MID(_xlpm.p,4,3)&amp;"-"&amp;RIGHT(_xlpm.p,4),"")
       )
     )</f>
        <v>(275) 998-0110</v>
      </c>
      <c r="L772" t="str">
        <f>TRIM(Employee_dataset[[#This Row],[Performance_Score]])</f>
        <v>Excellent</v>
      </c>
      <c r="M772" t="str">
        <f>TRIM(Employee_dataset[[#This Row],[Remote_Work]])</f>
        <v>TRUE</v>
      </c>
    </row>
    <row r="773" spans="1:13" x14ac:dyDescent="0.3">
      <c r="A773" t="str">
        <f>TRIM(Employee_dataset[[#This Row],[Employee_ID]])</f>
        <v>EMP1771</v>
      </c>
      <c r="B773" t="str">
        <f>PROPER(TRIM(Employee_dataset[[#This Row],[First_Name]]))</f>
        <v>Heidi</v>
      </c>
      <c r="C773" t="str">
        <f>PROPER(TRIM(Employee_dataset[[#This Row],[Last_Name]]))</f>
        <v>Jones</v>
      </c>
      <c r="D773" s="6" t="str">
        <f>_xlfn.LET(
     _xlpm.a, TRIM(Employee_dataset[[#This Row],[Age]]),
     IF(
        _xlpm.a="","",
        IF(
           AND(ISNUMBER(--_xlpm.a),LEN(_xlpm.a)=2),_xlpm.a,""
          )
       )
    )</f>
        <v>40</v>
      </c>
      <c r="E773" t="str">
        <f>TRIM(_xlfn.TEXTBEFORE(Employee_dataset[[#This Row],[Department_Region]],"-"))</f>
        <v>Sales</v>
      </c>
      <c r="F773" t="str">
        <f>TRIM(_xlfn.TEXTAFTER(Employee_dataset[[#This Row],[Department_Region]],"-"))</f>
        <v>Texas</v>
      </c>
      <c r="G773" t="str">
        <f>TRIM(Employee_dataset[[#This Row],[Status]])</f>
        <v>Pending</v>
      </c>
      <c r="H773" s="1">
        <f>_xlfn.LET(
     _xlpm.d, Employee_dataset[[#This Row],[Join_Date]],
     IF(
        ISNUMBER(_xlpm.d),_xlpm.d,""
       )
    )</f>
        <v>45638</v>
      </c>
      <c r="I773" s="6">
        <f>_xlfn.LET(
     _xlpm.s, TRIM(Employee_dataset[[#This Row],[Salary]]),
     IF(
        UPPER(_xlpm.s)="N/A","",
        IF(
           ISNUMBER(--_xlpm.s),ROUND(_xlfn.NUMBERVALUE(_xlpm.s),2),""
          )
       )
    )</f>
        <v>84542.68</v>
      </c>
      <c r="J773" t="str">
        <f>TRIM(Employee_dataset[[#This Row],[Email]])</f>
        <v>heidi.jones@example.com</v>
      </c>
      <c r="K773" t="b">
        <f>_xlfn.LET(
     _xlpm.p,TRIM(SUBSTITUTE(Employee_dataset[[#This Row],[Phone]],"-","")),
     IF(
        LEN(_xlpm.p)=10,_xlfn.CONCAT("("&amp;LEFT(_xlpm.p,3)&amp;") "&amp;MID(_xlpm.p,4,3)&amp;"-"&amp;RIGHT(_xlpm.p,4),"")
       )
     )</f>
        <v>0</v>
      </c>
      <c r="L773" t="str">
        <f>TRIM(Employee_dataset[[#This Row],[Performance_Score]])</f>
        <v>Good</v>
      </c>
      <c r="M773" t="str">
        <f>TRIM(Employee_dataset[[#This Row],[Remote_Work]])</f>
        <v>TRUE</v>
      </c>
    </row>
    <row r="774" spans="1:13" x14ac:dyDescent="0.3">
      <c r="A774" t="str">
        <f>TRIM(Employee_dataset[[#This Row],[Employee_ID]])</f>
        <v>EMP1772</v>
      </c>
      <c r="B774" t="str">
        <f>PROPER(TRIM(Employee_dataset[[#This Row],[First_Name]]))</f>
        <v>Heidi</v>
      </c>
      <c r="C774" t="str">
        <f>PROPER(TRIM(Employee_dataset[[#This Row],[Last_Name]]))</f>
        <v>Smith</v>
      </c>
      <c r="D774" s="6" t="str">
        <f>_xlfn.LET(
     _xlpm.a, TRIM(Employee_dataset[[#This Row],[Age]]),
     IF(
        _xlpm.a="","",
        IF(
           AND(ISNUMBER(--_xlpm.a),LEN(_xlpm.a)=2),_xlpm.a,""
          )
       )
    )</f>
        <v>40</v>
      </c>
      <c r="E774" t="str">
        <f>TRIM(_xlfn.TEXTBEFORE(Employee_dataset[[#This Row],[Department_Region]],"-"))</f>
        <v>Finance</v>
      </c>
      <c r="F774" t="str">
        <f>TRIM(_xlfn.TEXTAFTER(Employee_dataset[[#This Row],[Department_Region]],"-"))</f>
        <v>Florida</v>
      </c>
      <c r="G774" t="str">
        <f>TRIM(Employee_dataset[[#This Row],[Status]])</f>
        <v>Active</v>
      </c>
      <c r="H774" s="1">
        <f>_xlfn.LET(
     _xlpm.d, Employee_dataset[[#This Row],[Join_Date]],
     IF(
        ISNUMBER(_xlpm.d),_xlpm.d,""
       )
    )</f>
        <v>45062</v>
      </c>
      <c r="I774" s="6">
        <f>_xlfn.LET(
     _xlpm.s, TRIM(Employee_dataset[[#This Row],[Salary]]),
     IF(
        UPPER(_xlpm.s)="N/A","",
        IF(
           ISNUMBER(--_xlpm.s),ROUND(_xlfn.NUMBERVALUE(_xlpm.s),2),""
          )
       )
    )</f>
        <v>92007.15</v>
      </c>
      <c r="J774" t="str">
        <f>TRIM(Employee_dataset[[#This Row],[Email]])</f>
        <v>heidi.smith@example.com</v>
      </c>
      <c r="K774" t="str">
        <f>_xlfn.LET(
     _xlpm.p,TRIM(SUBSTITUTE(Employee_dataset[[#This Row],[Phone]],"-","")),
     IF(
        LEN(_xlpm.p)=10,_xlfn.CONCAT("("&amp;LEFT(_xlpm.p,3)&amp;") "&amp;MID(_xlpm.p,4,3)&amp;"-"&amp;RIGHT(_xlpm.p,4),"")
       )
     )</f>
        <v>(415) 959-7751</v>
      </c>
      <c r="L774" t="str">
        <f>TRIM(Employee_dataset[[#This Row],[Performance_Score]])</f>
        <v>Average</v>
      </c>
      <c r="M774" t="str">
        <f>TRIM(Employee_dataset[[#This Row],[Remote_Work]])</f>
        <v>TRUE</v>
      </c>
    </row>
    <row r="775" spans="1:13" x14ac:dyDescent="0.3">
      <c r="A775" t="str">
        <f>TRIM(Employee_dataset[[#This Row],[Employee_ID]])</f>
        <v>EMP1773</v>
      </c>
      <c r="B775" t="str">
        <f>PROPER(TRIM(Employee_dataset[[#This Row],[First_Name]]))</f>
        <v>Eva</v>
      </c>
      <c r="C775" t="str">
        <f>PROPER(TRIM(Employee_dataset[[#This Row],[Last_Name]]))</f>
        <v>Brown</v>
      </c>
      <c r="D775" s="6" t="str">
        <f>_xlfn.LET(
     _xlpm.a, TRIM(Employee_dataset[[#This Row],[Age]]),
     IF(
        _xlpm.a="","",
        IF(
           AND(ISNUMBER(--_xlpm.a),LEN(_xlpm.a)=2),_xlpm.a,""
          )
       )
    )</f>
        <v/>
      </c>
      <c r="E775" t="str">
        <f>TRIM(_xlfn.TEXTBEFORE(Employee_dataset[[#This Row],[Department_Region]],"-"))</f>
        <v>DevOps</v>
      </c>
      <c r="F775" t="str">
        <f>TRIM(_xlfn.TEXTAFTER(Employee_dataset[[#This Row],[Department_Region]],"-"))</f>
        <v>Illinois</v>
      </c>
      <c r="G775" t="str">
        <f>TRIM(Employee_dataset[[#This Row],[Status]])</f>
        <v>Active</v>
      </c>
      <c r="H775" s="1">
        <f>_xlfn.LET(
     _xlpm.d, Employee_dataset[[#This Row],[Join_Date]],
     IF(
        ISNUMBER(_xlpm.d),_xlpm.d,""
       )
    )</f>
        <v>43931</v>
      </c>
      <c r="I775" s="6">
        <f>_xlfn.LET(
     _xlpm.s, TRIM(Employee_dataset[[#This Row],[Salary]]),
     IF(
        UPPER(_xlpm.s)="N/A","",
        IF(
           ISNUMBER(--_xlpm.s),ROUND(_xlfn.NUMBERVALUE(_xlpm.s),2),""
          )
       )
    )</f>
        <v>62938.8</v>
      </c>
      <c r="J775" t="str">
        <f>TRIM(Employee_dataset[[#This Row],[Email]])</f>
        <v>eva.brown@example.com</v>
      </c>
      <c r="K775" t="str">
        <f>_xlfn.LET(
     _xlpm.p,TRIM(SUBSTITUTE(Employee_dataset[[#This Row],[Phone]],"-","")),
     IF(
        LEN(_xlpm.p)=10,_xlfn.CONCAT("("&amp;LEFT(_xlpm.p,3)&amp;") "&amp;MID(_xlpm.p,4,3)&amp;"-"&amp;RIGHT(_xlpm.p,4),"")
       )
     )</f>
        <v>(441) 822-2617</v>
      </c>
      <c r="L775" t="str">
        <f>TRIM(Employee_dataset[[#This Row],[Performance_Score]])</f>
        <v>Average</v>
      </c>
      <c r="M775" t="str">
        <f>TRIM(Employee_dataset[[#This Row],[Remote_Work]])</f>
        <v>FALSE</v>
      </c>
    </row>
    <row r="776" spans="1:13" x14ac:dyDescent="0.3">
      <c r="A776" t="str">
        <f>TRIM(Employee_dataset[[#This Row],[Employee_ID]])</f>
        <v>EMP1774</v>
      </c>
      <c r="B776" t="str">
        <f>PROPER(TRIM(Employee_dataset[[#This Row],[First_Name]]))</f>
        <v>Frank</v>
      </c>
      <c r="C776" t="str">
        <f>PROPER(TRIM(Employee_dataset[[#This Row],[Last_Name]]))</f>
        <v>Johnson</v>
      </c>
      <c r="D776" s="6" t="str">
        <f>_xlfn.LET(
     _xlpm.a, TRIM(Employee_dataset[[#This Row],[Age]]),
     IF(
        _xlpm.a="","",
        IF(
           AND(ISNUMBER(--_xlpm.a),LEN(_xlpm.a)=2),_xlpm.a,""
          )
       )
    )</f>
        <v>25</v>
      </c>
      <c r="E776" t="str">
        <f>TRIM(_xlfn.TEXTBEFORE(Employee_dataset[[#This Row],[Department_Region]],"-"))</f>
        <v>Admin</v>
      </c>
      <c r="F776" t="str">
        <f>TRIM(_xlfn.TEXTAFTER(Employee_dataset[[#This Row],[Department_Region]],"-"))</f>
        <v>Texas</v>
      </c>
      <c r="G776" t="str">
        <f>TRIM(Employee_dataset[[#This Row],[Status]])</f>
        <v>Pending</v>
      </c>
      <c r="H776" s="1">
        <f>_xlfn.LET(
     _xlpm.d, Employee_dataset[[#This Row],[Join_Date]],
     IF(
        ISNUMBER(_xlpm.d),_xlpm.d,""
       )
    )</f>
        <v>45014</v>
      </c>
      <c r="I776" s="6">
        <f>_xlfn.LET(
     _xlpm.s, TRIM(Employee_dataset[[#This Row],[Salary]]),
     IF(
        UPPER(_xlpm.s)="N/A","",
        IF(
           ISNUMBER(--_xlpm.s),ROUND(_xlfn.NUMBERVALUE(_xlpm.s),2),""
          )
       )
    )</f>
        <v>108661.01</v>
      </c>
      <c r="J776" t="str">
        <f>TRIM(Employee_dataset[[#This Row],[Email]])</f>
        <v>frank.johnson@example.com</v>
      </c>
      <c r="K776" t="str">
        <f>_xlfn.LET(
     _xlpm.p,TRIM(SUBSTITUTE(Employee_dataset[[#This Row],[Phone]],"-","")),
     IF(
        LEN(_xlpm.p)=10,_xlfn.CONCAT("("&amp;LEFT(_xlpm.p,3)&amp;") "&amp;MID(_xlpm.p,4,3)&amp;"-"&amp;RIGHT(_xlpm.p,4),"")
       )
     )</f>
        <v>(962) 887-4311</v>
      </c>
      <c r="L776" t="str">
        <f>TRIM(Employee_dataset[[#This Row],[Performance_Score]])</f>
        <v>Poor</v>
      </c>
      <c r="M776" t="str">
        <f>TRIM(Employee_dataset[[#This Row],[Remote_Work]])</f>
        <v>FALSE</v>
      </c>
    </row>
    <row r="777" spans="1:13" x14ac:dyDescent="0.3">
      <c r="A777" t="str">
        <f>TRIM(Employee_dataset[[#This Row],[Employee_ID]])</f>
        <v>EMP1775</v>
      </c>
      <c r="B777" t="str">
        <f>PROPER(TRIM(Employee_dataset[[#This Row],[First_Name]]))</f>
        <v>Bob</v>
      </c>
      <c r="C777" t="str">
        <f>PROPER(TRIM(Employee_dataset[[#This Row],[Last_Name]]))</f>
        <v>Jones</v>
      </c>
      <c r="D777" s="6" t="str">
        <f>_xlfn.LET(
     _xlpm.a, TRIM(Employee_dataset[[#This Row],[Age]]),
     IF(
        _xlpm.a="","",
        IF(
           AND(ISNUMBER(--_xlpm.a),LEN(_xlpm.a)=2),_xlpm.a,""
          )
       )
    )</f>
        <v>25</v>
      </c>
      <c r="E777" t="str">
        <f>TRIM(_xlfn.TEXTBEFORE(Employee_dataset[[#This Row],[Department_Region]],"-"))</f>
        <v>Cloud Tech</v>
      </c>
      <c r="F777" t="str">
        <f>TRIM(_xlfn.TEXTAFTER(Employee_dataset[[#This Row],[Department_Region]],"-"))</f>
        <v>Florida</v>
      </c>
      <c r="G777" t="str">
        <f>TRIM(Employee_dataset[[#This Row],[Status]])</f>
        <v>Active</v>
      </c>
      <c r="H777" s="1">
        <f>_xlfn.LET(
     _xlpm.d, Employee_dataset[[#This Row],[Join_Date]],
     IF(
        ISNUMBER(_xlpm.d),_xlpm.d,""
       )
    )</f>
        <v>44161</v>
      </c>
      <c r="I777" s="6">
        <f>_xlfn.LET(
     _xlpm.s, TRIM(Employee_dataset[[#This Row],[Salary]]),
     IF(
        UPPER(_xlpm.s)="N/A","",
        IF(
           ISNUMBER(--_xlpm.s),ROUND(_xlfn.NUMBERVALUE(_xlpm.s),2),""
          )
       )
    )</f>
        <v>97046.33</v>
      </c>
      <c r="J777" t="str">
        <f>TRIM(Employee_dataset[[#This Row],[Email]])</f>
        <v>bob.jones@example.com</v>
      </c>
      <c r="K777" t="str">
        <f>_xlfn.LET(
     _xlpm.p,TRIM(SUBSTITUTE(Employee_dataset[[#This Row],[Phone]],"-","")),
     IF(
        LEN(_xlpm.p)=10,_xlfn.CONCAT("("&amp;LEFT(_xlpm.p,3)&amp;") "&amp;MID(_xlpm.p,4,3)&amp;"-"&amp;RIGHT(_xlpm.p,4),"")
       )
     )</f>
        <v>(710) 267-6719</v>
      </c>
      <c r="L777" t="str">
        <f>TRIM(Employee_dataset[[#This Row],[Performance_Score]])</f>
        <v>Good</v>
      </c>
      <c r="M777" t="str">
        <f>TRIM(Employee_dataset[[#This Row],[Remote_Work]])</f>
        <v>FALSE</v>
      </c>
    </row>
    <row r="778" spans="1:13" x14ac:dyDescent="0.3">
      <c r="A778" t="str">
        <f>TRIM(Employee_dataset[[#This Row],[Employee_ID]])</f>
        <v>EMP1776</v>
      </c>
      <c r="B778" t="str">
        <f>PROPER(TRIM(Employee_dataset[[#This Row],[First_Name]]))</f>
        <v>Charlie</v>
      </c>
      <c r="C778" t="str">
        <f>PROPER(TRIM(Employee_dataset[[#This Row],[Last_Name]]))</f>
        <v>Smith</v>
      </c>
      <c r="D778" s="6" t="str">
        <f>_xlfn.LET(
     _xlpm.a, TRIM(Employee_dataset[[#This Row],[Age]]),
     IF(
        _xlpm.a="","",
        IF(
           AND(ISNUMBER(--_xlpm.a),LEN(_xlpm.a)=2),_xlpm.a,""
          )
       )
    )</f>
        <v>40</v>
      </c>
      <c r="E778" t="str">
        <f>TRIM(_xlfn.TEXTBEFORE(Employee_dataset[[#This Row],[Department_Region]],"-"))</f>
        <v>DevOps</v>
      </c>
      <c r="F778" t="str">
        <f>TRIM(_xlfn.TEXTAFTER(Employee_dataset[[#This Row],[Department_Region]],"-"))</f>
        <v>Illinois</v>
      </c>
      <c r="G778" t="str">
        <f>TRIM(Employee_dataset[[#This Row],[Status]])</f>
        <v>Inactive</v>
      </c>
      <c r="H778" s="1">
        <f>_xlfn.LET(
     _xlpm.d, Employee_dataset[[#This Row],[Join_Date]],
     IF(
        ISNUMBER(_xlpm.d),_xlpm.d,""
       )
    )</f>
        <v>43904</v>
      </c>
      <c r="I778" s="6">
        <f>_xlfn.LET(
     _xlpm.s, TRIM(Employee_dataset[[#This Row],[Salary]]),
     IF(
        UPPER(_xlpm.s)="N/A","",
        IF(
           ISNUMBER(--_xlpm.s),ROUND(_xlfn.NUMBERVALUE(_xlpm.s),2),""
          )
       )
    )</f>
        <v>56518.84</v>
      </c>
      <c r="J778" t="str">
        <f>TRIM(Employee_dataset[[#This Row],[Email]])</f>
        <v>charlie.smith@example.com</v>
      </c>
      <c r="K778" t="str">
        <f>_xlfn.LET(
     _xlpm.p,TRIM(SUBSTITUTE(Employee_dataset[[#This Row],[Phone]],"-","")),
     IF(
        LEN(_xlpm.p)=10,_xlfn.CONCAT("("&amp;LEFT(_xlpm.p,3)&amp;") "&amp;MID(_xlpm.p,4,3)&amp;"-"&amp;RIGHT(_xlpm.p,4),"")
       )
     )</f>
        <v>(957) 992-7078</v>
      </c>
      <c r="L778" t="str">
        <f>TRIM(Employee_dataset[[#This Row],[Performance_Score]])</f>
        <v>Average</v>
      </c>
      <c r="M778" t="str">
        <f>TRIM(Employee_dataset[[#This Row],[Remote_Work]])</f>
        <v>FALSE</v>
      </c>
    </row>
    <row r="779" spans="1:13" x14ac:dyDescent="0.3">
      <c r="A779" t="str">
        <f>TRIM(Employee_dataset[[#This Row],[Employee_ID]])</f>
        <v>EMP1777</v>
      </c>
      <c r="B779" t="str">
        <f>PROPER(TRIM(Employee_dataset[[#This Row],[First_Name]]))</f>
        <v>Frank</v>
      </c>
      <c r="C779" t="str">
        <f>PROPER(TRIM(Employee_dataset[[#This Row],[Last_Name]]))</f>
        <v>Garcia</v>
      </c>
      <c r="D779" s="6" t="str">
        <f>_xlfn.LET(
     _xlpm.a, TRIM(Employee_dataset[[#This Row],[Age]]),
     IF(
        _xlpm.a="","",
        IF(
           AND(ISNUMBER(--_xlpm.a),LEN(_xlpm.a)=2),_xlpm.a,""
          )
       )
    )</f>
        <v>40</v>
      </c>
      <c r="E779" t="str">
        <f>TRIM(_xlfn.TEXTBEFORE(Employee_dataset[[#This Row],[Department_Region]],"-"))</f>
        <v>Cloud Tech</v>
      </c>
      <c r="F779" t="str">
        <f>TRIM(_xlfn.TEXTAFTER(Employee_dataset[[#This Row],[Department_Region]],"-"))</f>
        <v>Florida</v>
      </c>
      <c r="G779" t="str">
        <f>TRIM(Employee_dataset[[#This Row],[Status]])</f>
        <v>Pending</v>
      </c>
      <c r="H779" s="1">
        <f>_xlfn.LET(
     _xlpm.d, Employee_dataset[[#This Row],[Join_Date]],
     IF(
        ISNUMBER(_xlpm.d),_xlpm.d,""
       )
    )</f>
        <v>43963</v>
      </c>
      <c r="I779" s="6">
        <f>_xlfn.LET(
     _xlpm.s, TRIM(Employee_dataset[[#This Row],[Salary]]),
     IF(
        UPPER(_xlpm.s)="N/A","",
        IF(
           ISNUMBER(--_xlpm.s),ROUND(_xlfn.NUMBERVALUE(_xlpm.s),2),""
          )
       )
    )</f>
        <v>70498.289999999994</v>
      </c>
      <c r="J779" t="str">
        <f>TRIM(Employee_dataset[[#This Row],[Email]])</f>
        <v>frank.garcia@example.com</v>
      </c>
      <c r="K779" t="str">
        <f>_xlfn.LET(
     _xlpm.p,TRIM(SUBSTITUTE(Employee_dataset[[#This Row],[Phone]],"-","")),
     IF(
        LEN(_xlpm.p)=10,_xlfn.CONCAT("("&amp;LEFT(_xlpm.p,3)&amp;") "&amp;MID(_xlpm.p,4,3)&amp;"-"&amp;RIGHT(_xlpm.p,4),"")
       )
     )</f>
        <v>(551) 512-2945</v>
      </c>
      <c r="L779" t="str">
        <f>TRIM(Employee_dataset[[#This Row],[Performance_Score]])</f>
        <v>Good</v>
      </c>
      <c r="M779" t="str">
        <f>TRIM(Employee_dataset[[#This Row],[Remote_Work]])</f>
        <v>TRUE</v>
      </c>
    </row>
    <row r="780" spans="1:13" x14ac:dyDescent="0.3">
      <c r="A780" t="str">
        <f>TRIM(Employee_dataset[[#This Row],[Employee_ID]])</f>
        <v>EMP1778</v>
      </c>
      <c r="B780" t="str">
        <f>PROPER(TRIM(Employee_dataset[[#This Row],[First_Name]]))</f>
        <v>Eva</v>
      </c>
      <c r="C780" t="str">
        <f>PROPER(TRIM(Employee_dataset[[#This Row],[Last_Name]]))</f>
        <v>Garcia</v>
      </c>
      <c r="D780" s="6" t="str">
        <f>_xlfn.LET(
     _xlpm.a, TRIM(Employee_dataset[[#This Row],[Age]]),
     IF(
        _xlpm.a="","",
        IF(
           AND(ISNUMBER(--_xlpm.a),LEN(_xlpm.a)=2),_xlpm.a,""
          )
       )
    )</f>
        <v>35</v>
      </c>
      <c r="E780" t="str">
        <f>TRIM(_xlfn.TEXTBEFORE(Employee_dataset[[#This Row],[Department_Region]],"-"))</f>
        <v>Sales</v>
      </c>
      <c r="F780" t="str">
        <f>TRIM(_xlfn.TEXTAFTER(Employee_dataset[[#This Row],[Department_Region]],"-"))</f>
        <v>Florida</v>
      </c>
      <c r="G780" t="str">
        <f>TRIM(Employee_dataset[[#This Row],[Status]])</f>
        <v>Pending</v>
      </c>
      <c r="H780" s="1">
        <f>_xlfn.LET(
     _xlpm.d, Employee_dataset[[#This Row],[Join_Date]],
     IF(
        ISNUMBER(_xlpm.d),_xlpm.d,""
       )
    )</f>
        <v>44260</v>
      </c>
      <c r="I780" s="6">
        <f>_xlfn.LET(
     _xlpm.s, TRIM(Employee_dataset[[#This Row],[Salary]]),
     IF(
        UPPER(_xlpm.s)="N/A","",
        IF(
           ISNUMBER(--_xlpm.s),ROUND(_xlfn.NUMBERVALUE(_xlpm.s),2),""
          )
       )
    )</f>
        <v>98708.06</v>
      </c>
      <c r="J780" t="str">
        <f>TRIM(Employee_dataset[[#This Row],[Email]])</f>
        <v>eva.garcia@example.com</v>
      </c>
      <c r="K780" t="str">
        <f>_xlfn.LET(
     _xlpm.p,TRIM(SUBSTITUTE(Employee_dataset[[#This Row],[Phone]],"-","")),
     IF(
        LEN(_xlpm.p)=10,_xlfn.CONCAT("("&amp;LEFT(_xlpm.p,3)&amp;") "&amp;MID(_xlpm.p,4,3)&amp;"-"&amp;RIGHT(_xlpm.p,4),"")
       )
     )</f>
        <v>(213) 541-5969</v>
      </c>
      <c r="L780" t="str">
        <f>TRIM(Employee_dataset[[#This Row],[Performance_Score]])</f>
        <v>Average</v>
      </c>
      <c r="M780" t="str">
        <f>TRIM(Employee_dataset[[#This Row],[Remote_Work]])</f>
        <v>TRUE</v>
      </c>
    </row>
    <row r="781" spans="1:13" x14ac:dyDescent="0.3">
      <c r="A781" t="str">
        <f>TRIM(Employee_dataset[[#This Row],[Employee_ID]])</f>
        <v>EMP1779</v>
      </c>
      <c r="B781" t="str">
        <f>PROPER(TRIM(Employee_dataset[[#This Row],[First_Name]]))</f>
        <v>Bob</v>
      </c>
      <c r="C781" t="str">
        <f>PROPER(TRIM(Employee_dataset[[#This Row],[Last_Name]]))</f>
        <v>Williams</v>
      </c>
      <c r="D781" s="6" t="str">
        <f>_xlfn.LET(
     _xlpm.a, TRIM(Employee_dataset[[#This Row],[Age]]),
     IF(
        _xlpm.a="","",
        IF(
           AND(ISNUMBER(--_xlpm.a),LEN(_xlpm.a)=2),_xlpm.a,""
          )
       )
    )</f>
        <v/>
      </c>
      <c r="E781" t="str">
        <f>TRIM(_xlfn.TEXTBEFORE(Employee_dataset[[#This Row],[Department_Region]],"-"))</f>
        <v>DevOps</v>
      </c>
      <c r="F781" t="str">
        <f>TRIM(_xlfn.TEXTAFTER(Employee_dataset[[#This Row],[Department_Region]],"-"))</f>
        <v>Nevada</v>
      </c>
      <c r="G781" t="str">
        <f>TRIM(Employee_dataset[[#This Row],[Status]])</f>
        <v>Pending</v>
      </c>
      <c r="H781" s="1">
        <f>_xlfn.LET(
     _xlpm.d, Employee_dataset[[#This Row],[Join_Date]],
     IF(
        ISNUMBER(_xlpm.d),_xlpm.d,""
       )
    )</f>
        <v>44010</v>
      </c>
      <c r="I781" s="6">
        <f>_xlfn.LET(
     _xlpm.s, TRIM(Employee_dataset[[#This Row],[Salary]]),
     IF(
        UPPER(_xlpm.s)="N/A","",
        IF(
           ISNUMBER(--_xlpm.s),ROUND(_xlfn.NUMBERVALUE(_xlpm.s),2),""
          )
       )
    )</f>
        <v>83856.41</v>
      </c>
      <c r="J781" t="str">
        <f>TRIM(Employee_dataset[[#This Row],[Email]])</f>
        <v>bob.williams@example.com</v>
      </c>
      <c r="K781" t="str">
        <f>_xlfn.LET(
     _xlpm.p,TRIM(SUBSTITUTE(Employee_dataset[[#This Row],[Phone]],"-","")),
     IF(
        LEN(_xlpm.p)=10,_xlfn.CONCAT("("&amp;LEFT(_xlpm.p,3)&amp;") "&amp;MID(_xlpm.p,4,3)&amp;"-"&amp;RIGHT(_xlpm.p,4),"")
       )
     )</f>
        <v>(996) 254-3847</v>
      </c>
      <c r="L781" t="str">
        <f>TRIM(Employee_dataset[[#This Row],[Performance_Score]])</f>
        <v>Excellent</v>
      </c>
      <c r="M781" t="str">
        <f>TRIM(Employee_dataset[[#This Row],[Remote_Work]])</f>
        <v>FALSE</v>
      </c>
    </row>
    <row r="782" spans="1:13" x14ac:dyDescent="0.3">
      <c r="A782" t="str">
        <f>TRIM(Employee_dataset[[#This Row],[Employee_ID]])</f>
        <v>EMP1780</v>
      </c>
      <c r="B782" t="str">
        <f>PROPER(TRIM(Employee_dataset[[#This Row],[First_Name]]))</f>
        <v>Eva</v>
      </c>
      <c r="C782" t="str">
        <f>PROPER(TRIM(Employee_dataset[[#This Row],[Last_Name]]))</f>
        <v>Smith</v>
      </c>
      <c r="D782" s="6" t="str">
        <f>_xlfn.LET(
     _xlpm.a, TRIM(Employee_dataset[[#This Row],[Age]]),
     IF(
        _xlpm.a="","",
        IF(
           AND(ISNUMBER(--_xlpm.a),LEN(_xlpm.a)=2),_xlpm.a,""
          )
       )
    )</f>
        <v>40</v>
      </c>
      <c r="E782" t="str">
        <f>TRIM(_xlfn.TEXTBEFORE(Employee_dataset[[#This Row],[Department_Region]],"-"))</f>
        <v>Sales</v>
      </c>
      <c r="F782" t="str">
        <f>TRIM(_xlfn.TEXTAFTER(Employee_dataset[[#This Row],[Department_Region]],"-"))</f>
        <v>California</v>
      </c>
      <c r="G782" t="str">
        <f>TRIM(Employee_dataset[[#This Row],[Status]])</f>
        <v>Inactive</v>
      </c>
      <c r="H782" s="1">
        <f>_xlfn.LET(
     _xlpm.d, Employee_dataset[[#This Row],[Join_Date]],
     IF(
        ISNUMBER(_xlpm.d),_xlpm.d,""
       )
    )</f>
        <v>44907</v>
      </c>
      <c r="I782" s="6">
        <f>_xlfn.LET(
     _xlpm.s, TRIM(Employee_dataset[[#This Row],[Salary]]),
     IF(
        UPPER(_xlpm.s)="N/A","",
        IF(
           ISNUMBER(--_xlpm.s),ROUND(_xlfn.NUMBERVALUE(_xlpm.s),2),""
          )
       )
    )</f>
        <v>90259.99</v>
      </c>
      <c r="J782" t="str">
        <f>TRIM(Employee_dataset[[#This Row],[Email]])</f>
        <v>eva.smith@example.com</v>
      </c>
      <c r="K782" t="b">
        <f>_xlfn.LET(
     _xlpm.p,TRIM(SUBSTITUTE(Employee_dataset[[#This Row],[Phone]],"-","")),
     IF(
        LEN(_xlpm.p)=10,_xlfn.CONCAT("("&amp;LEFT(_xlpm.p,3)&amp;") "&amp;MID(_xlpm.p,4,3)&amp;"-"&amp;RIGHT(_xlpm.p,4),"")
       )
     )</f>
        <v>0</v>
      </c>
      <c r="L782" t="str">
        <f>TRIM(Employee_dataset[[#This Row],[Performance_Score]])</f>
        <v>Average</v>
      </c>
      <c r="M782" t="str">
        <f>TRIM(Employee_dataset[[#This Row],[Remote_Work]])</f>
        <v>FALSE</v>
      </c>
    </row>
    <row r="783" spans="1:13" x14ac:dyDescent="0.3">
      <c r="A783" t="str">
        <f>TRIM(Employee_dataset[[#This Row],[Employee_ID]])</f>
        <v>EMP1781</v>
      </c>
      <c r="B783" t="str">
        <f>PROPER(TRIM(Employee_dataset[[#This Row],[First_Name]]))</f>
        <v>Charlie</v>
      </c>
      <c r="C783" t="str">
        <f>PROPER(TRIM(Employee_dataset[[#This Row],[Last_Name]]))</f>
        <v>Williams</v>
      </c>
      <c r="D783" s="6" t="str">
        <f>_xlfn.LET(
     _xlpm.a, TRIM(Employee_dataset[[#This Row],[Age]]),
     IF(
        _xlpm.a="","",
        IF(
           AND(ISNUMBER(--_xlpm.a),LEN(_xlpm.a)=2),_xlpm.a,""
          )
       )
    )</f>
        <v/>
      </c>
      <c r="E783" t="str">
        <f>TRIM(_xlfn.TEXTBEFORE(Employee_dataset[[#This Row],[Department_Region]],"-"))</f>
        <v>Sales</v>
      </c>
      <c r="F783" t="str">
        <f>TRIM(_xlfn.TEXTAFTER(Employee_dataset[[#This Row],[Department_Region]],"-"))</f>
        <v>Florida</v>
      </c>
      <c r="G783" t="str">
        <f>TRIM(Employee_dataset[[#This Row],[Status]])</f>
        <v>Pending</v>
      </c>
      <c r="H783" s="1">
        <f>_xlfn.LET(
     _xlpm.d, Employee_dataset[[#This Row],[Join_Date]],
     IF(
        ISNUMBER(_xlpm.d),_xlpm.d,""
       )
    )</f>
        <v>45324</v>
      </c>
      <c r="I783" s="6">
        <f>_xlfn.LET(
     _xlpm.s, TRIM(Employee_dataset[[#This Row],[Salary]]),
     IF(
        UPPER(_xlpm.s)="N/A","",
        IF(
           ISNUMBER(--_xlpm.s),ROUND(_xlfn.NUMBERVALUE(_xlpm.s),2),""
          )
       )
    )</f>
        <v>94230.03</v>
      </c>
      <c r="J783" t="str">
        <f>TRIM(Employee_dataset[[#This Row],[Email]])</f>
        <v>charlie.williams@example.com</v>
      </c>
      <c r="K783" t="str">
        <f>_xlfn.LET(
     _xlpm.p,TRIM(SUBSTITUTE(Employee_dataset[[#This Row],[Phone]],"-","")),
     IF(
        LEN(_xlpm.p)=10,_xlfn.CONCAT("("&amp;LEFT(_xlpm.p,3)&amp;") "&amp;MID(_xlpm.p,4,3)&amp;"-"&amp;RIGHT(_xlpm.p,4),"")
       )
     )</f>
        <v>(504) 715-8028</v>
      </c>
      <c r="L783" t="str">
        <f>TRIM(Employee_dataset[[#This Row],[Performance_Score]])</f>
        <v>Excellent</v>
      </c>
      <c r="M783" t="str">
        <f>TRIM(Employee_dataset[[#This Row],[Remote_Work]])</f>
        <v>TRUE</v>
      </c>
    </row>
    <row r="784" spans="1:13" x14ac:dyDescent="0.3">
      <c r="A784" t="str">
        <f>TRIM(Employee_dataset[[#This Row],[Employee_ID]])</f>
        <v>EMP1782</v>
      </c>
      <c r="B784" t="str">
        <f>PROPER(TRIM(Employee_dataset[[#This Row],[First_Name]]))</f>
        <v>Charlie</v>
      </c>
      <c r="C784" t="str">
        <f>PROPER(TRIM(Employee_dataset[[#This Row],[Last_Name]]))</f>
        <v>Garcia</v>
      </c>
      <c r="D784" s="6" t="str">
        <f>_xlfn.LET(
     _xlpm.a, TRIM(Employee_dataset[[#This Row],[Age]]),
     IF(
        _xlpm.a="","",
        IF(
           AND(ISNUMBER(--_xlpm.a),LEN(_xlpm.a)=2),_xlpm.a,""
          )
       )
    )</f>
        <v/>
      </c>
      <c r="E784" t="str">
        <f>TRIM(_xlfn.TEXTBEFORE(Employee_dataset[[#This Row],[Department_Region]],"-"))</f>
        <v>Admin</v>
      </c>
      <c r="F784" t="str">
        <f>TRIM(_xlfn.TEXTAFTER(Employee_dataset[[#This Row],[Department_Region]],"-"))</f>
        <v>Nevada</v>
      </c>
      <c r="G784" t="str">
        <f>TRIM(Employee_dataset[[#This Row],[Status]])</f>
        <v>Inactive</v>
      </c>
      <c r="H784" s="1">
        <f>_xlfn.LET(
     _xlpm.d, Employee_dataset[[#This Row],[Join_Date]],
     IF(
        ISNUMBER(_xlpm.d),_xlpm.d,""
       )
    )</f>
        <v>44227</v>
      </c>
      <c r="I784" s="6">
        <f>_xlfn.LET(
     _xlpm.s, TRIM(Employee_dataset[[#This Row],[Salary]]),
     IF(
        UPPER(_xlpm.s)="N/A","",
        IF(
           ISNUMBER(--_xlpm.s),ROUND(_xlfn.NUMBERVALUE(_xlpm.s),2),""
          )
       )
    )</f>
        <v>50110.66</v>
      </c>
      <c r="J784" t="str">
        <f>TRIM(Employee_dataset[[#This Row],[Email]])</f>
        <v>charlie.garcia@example.com</v>
      </c>
      <c r="K784" t="b">
        <f>_xlfn.LET(
     _xlpm.p,TRIM(SUBSTITUTE(Employee_dataset[[#This Row],[Phone]],"-","")),
     IF(
        LEN(_xlpm.p)=10,_xlfn.CONCAT("("&amp;LEFT(_xlpm.p,3)&amp;") "&amp;MID(_xlpm.p,4,3)&amp;"-"&amp;RIGHT(_xlpm.p,4),"")
       )
     )</f>
        <v>0</v>
      </c>
      <c r="L784" t="str">
        <f>TRIM(Employee_dataset[[#This Row],[Performance_Score]])</f>
        <v>Average</v>
      </c>
      <c r="M784" t="str">
        <f>TRIM(Employee_dataset[[#This Row],[Remote_Work]])</f>
        <v>TRUE</v>
      </c>
    </row>
    <row r="785" spans="1:13" x14ac:dyDescent="0.3">
      <c r="A785" t="str">
        <f>TRIM(Employee_dataset[[#This Row],[Employee_ID]])</f>
        <v>EMP1783</v>
      </c>
      <c r="B785" t="str">
        <f>PROPER(TRIM(Employee_dataset[[#This Row],[First_Name]]))</f>
        <v>Bob</v>
      </c>
      <c r="C785" t="str">
        <f>PROPER(TRIM(Employee_dataset[[#This Row],[Last_Name]]))</f>
        <v>Brown</v>
      </c>
      <c r="D785" s="6" t="str">
        <f>_xlfn.LET(
     _xlpm.a, TRIM(Employee_dataset[[#This Row],[Age]]),
     IF(
        _xlpm.a="","",
        IF(
           AND(ISNUMBER(--_xlpm.a),LEN(_xlpm.a)=2),_xlpm.a,""
          )
       )
    )</f>
        <v>30</v>
      </c>
      <c r="E785" t="str">
        <f>TRIM(_xlfn.TEXTBEFORE(Employee_dataset[[#This Row],[Department_Region]],"-"))</f>
        <v>Sales</v>
      </c>
      <c r="F785" t="str">
        <f>TRIM(_xlfn.TEXTAFTER(Employee_dataset[[#This Row],[Department_Region]],"-"))</f>
        <v>Florida</v>
      </c>
      <c r="G785" t="str">
        <f>TRIM(Employee_dataset[[#This Row],[Status]])</f>
        <v>Inactive</v>
      </c>
      <c r="H785" s="1">
        <f>_xlfn.LET(
     _xlpm.d, Employee_dataset[[#This Row],[Join_Date]],
     IF(
        ISNUMBER(_xlpm.d),_xlpm.d,""
       )
    )</f>
        <v>43924</v>
      </c>
      <c r="I785" s="6">
        <f>_xlfn.LET(
     _xlpm.s, TRIM(Employee_dataset[[#This Row],[Salary]]),
     IF(
        UPPER(_xlpm.s)="N/A","",
        IF(
           ISNUMBER(--_xlpm.s),ROUND(_xlfn.NUMBERVALUE(_xlpm.s),2),""
          )
       )
    )</f>
        <v>73365.460000000006</v>
      </c>
      <c r="J785" t="str">
        <f>TRIM(Employee_dataset[[#This Row],[Email]])</f>
        <v>bob.brown@example.com</v>
      </c>
      <c r="K785" t="str">
        <f>_xlfn.LET(
     _xlpm.p,TRIM(SUBSTITUTE(Employee_dataset[[#This Row],[Phone]],"-","")),
     IF(
        LEN(_xlpm.p)=10,_xlfn.CONCAT("("&amp;LEFT(_xlpm.p,3)&amp;") "&amp;MID(_xlpm.p,4,3)&amp;"-"&amp;RIGHT(_xlpm.p,4),"")
       )
     )</f>
        <v>(465) 586-6524</v>
      </c>
      <c r="L785" t="str">
        <f>TRIM(Employee_dataset[[#This Row],[Performance_Score]])</f>
        <v>Poor</v>
      </c>
      <c r="M785" t="str">
        <f>TRIM(Employee_dataset[[#This Row],[Remote_Work]])</f>
        <v>FALSE</v>
      </c>
    </row>
    <row r="786" spans="1:13" x14ac:dyDescent="0.3">
      <c r="A786" t="str">
        <f>TRIM(Employee_dataset[[#This Row],[Employee_ID]])</f>
        <v>EMP1784</v>
      </c>
      <c r="B786" t="str">
        <f>PROPER(TRIM(Employee_dataset[[#This Row],[First_Name]]))</f>
        <v>David</v>
      </c>
      <c r="C786" t="str">
        <f>PROPER(TRIM(Employee_dataset[[#This Row],[Last_Name]]))</f>
        <v>Johnson</v>
      </c>
      <c r="D786" s="6" t="str">
        <f>_xlfn.LET(
     _xlpm.a, TRIM(Employee_dataset[[#This Row],[Age]]),
     IF(
        _xlpm.a="","",
        IF(
           AND(ISNUMBER(--_xlpm.a),LEN(_xlpm.a)=2),_xlpm.a,""
          )
       )
    )</f>
        <v>25</v>
      </c>
      <c r="E786" t="str">
        <f>TRIM(_xlfn.TEXTBEFORE(Employee_dataset[[#This Row],[Department_Region]],"-"))</f>
        <v>DevOps</v>
      </c>
      <c r="F786" t="str">
        <f>TRIM(_xlfn.TEXTAFTER(Employee_dataset[[#This Row],[Department_Region]],"-"))</f>
        <v>New York</v>
      </c>
      <c r="G786" t="str">
        <f>TRIM(Employee_dataset[[#This Row],[Status]])</f>
        <v>Pending</v>
      </c>
      <c r="H786" s="1">
        <f>_xlfn.LET(
     _xlpm.d, Employee_dataset[[#This Row],[Join_Date]],
     IF(
        ISNUMBER(_xlpm.d),_xlpm.d,""
       )
    )</f>
        <v>44407</v>
      </c>
      <c r="I786" s="6">
        <f>_xlfn.LET(
     _xlpm.s, TRIM(Employee_dataset[[#This Row],[Salary]]),
     IF(
        UPPER(_xlpm.s)="N/A","",
        IF(
           ISNUMBER(--_xlpm.s),ROUND(_xlfn.NUMBERVALUE(_xlpm.s),2),""
          )
       )
    )</f>
        <v>67809.23</v>
      </c>
      <c r="J786" t="str">
        <f>TRIM(Employee_dataset[[#This Row],[Email]])</f>
        <v>david.johnson@example.com</v>
      </c>
      <c r="K786" t="str">
        <f>_xlfn.LET(
     _xlpm.p,TRIM(SUBSTITUTE(Employee_dataset[[#This Row],[Phone]],"-","")),
     IF(
        LEN(_xlpm.p)=10,_xlfn.CONCAT("("&amp;LEFT(_xlpm.p,3)&amp;") "&amp;MID(_xlpm.p,4,3)&amp;"-"&amp;RIGHT(_xlpm.p,4),"")
       )
     )</f>
        <v>(483) 744-1714</v>
      </c>
      <c r="L786" t="str">
        <f>TRIM(Employee_dataset[[#This Row],[Performance_Score]])</f>
        <v>Excellent</v>
      </c>
      <c r="M786" t="str">
        <f>TRIM(Employee_dataset[[#This Row],[Remote_Work]])</f>
        <v>FALSE</v>
      </c>
    </row>
    <row r="787" spans="1:13" x14ac:dyDescent="0.3">
      <c r="A787" t="str">
        <f>TRIM(Employee_dataset[[#This Row],[Employee_ID]])</f>
        <v>EMP1785</v>
      </c>
      <c r="B787" t="str">
        <f>PROPER(TRIM(Employee_dataset[[#This Row],[First_Name]]))</f>
        <v>Eva</v>
      </c>
      <c r="C787" t="str">
        <f>PROPER(TRIM(Employee_dataset[[#This Row],[Last_Name]]))</f>
        <v>Smith</v>
      </c>
      <c r="D787" s="6" t="str">
        <f>_xlfn.LET(
     _xlpm.a, TRIM(Employee_dataset[[#This Row],[Age]]),
     IF(
        _xlpm.a="","",
        IF(
           AND(ISNUMBER(--_xlpm.a),LEN(_xlpm.a)=2),_xlpm.a,""
          )
       )
    )</f>
        <v/>
      </c>
      <c r="E787" t="str">
        <f>TRIM(_xlfn.TEXTBEFORE(Employee_dataset[[#This Row],[Department_Region]],"-"))</f>
        <v>Sales</v>
      </c>
      <c r="F787" t="str">
        <f>TRIM(_xlfn.TEXTAFTER(Employee_dataset[[#This Row],[Department_Region]],"-"))</f>
        <v>California</v>
      </c>
      <c r="G787" t="str">
        <f>TRIM(Employee_dataset[[#This Row],[Status]])</f>
        <v>Active</v>
      </c>
      <c r="H787" s="1">
        <f>_xlfn.LET(
     _xlpm.d, Employee_dataset[[#This Row],[Join_Date]],
     IF(
        ISNUMBER(_xlpm.d),_xlpm.d,""
       )
    )</f>
        <v>44064</v>
      </c>
      <c r="I787" s="6">
        <f>_xlfn.LET(
     _xlpm.s, TRIM(Employee_dataset[[#This Row],[Salary]]),
     IF(
        UPPER(_xlpm.s)="N/A","",
        IF(
           ISNUMBER(--_xlpm.s),ROUND(_xlfn.NUMBERVALUE(_xlpm.s),2),""
          )
       )
    )</f>
        <v>98008.51</v>
      </c>
      <c r="J787" t="str">
        <f>TRIM(Employee_dataset[[#This Row],[Email]])</f>
        <v>eva.smith@example.com</v>
      </c>
      <c r="K787" t="str">
        <f>_xlfn.LET(
     _xlpm.p,TRIM(SUBSTITUTE(Employee_dataset[[#This Row],[Phone]],"-","")),
     IF(
        LEN(_xlpm.p)=10,_xlfn.CONCAT("("&amp;LEFT(_xlpm.p,3)&amp;") "&amp;MID(_xlpm.p,4,3)&amp;"-"&amp;RIGHT(_xlpm.p,4),"")
       )
     )</f>
        <v>(810) 213-1250</v>
      </c>
      <c r="L787" t="str">
        <f>TRIM(Employee_dataset[[#This Row],[Performance_Score]])</f>
        <v>Average</v>
      </c>
      <c r="M787" t="str">
        <f>TRIM(Employee_dataset[[#This Row],[Remote_Work]])</f>
        <v>FALSE</v>
      </c>
    </row>
    <row r="788" spans="1:13" x14ac:dyDescent="0.3">
      <c r="A788" t="str">
        <f>TRIM(Employee_dataset[[#This Row],[Employee_ID]])</f>
        <v>EMP1786</v>
      </c>
      <c r="B788" t="str">
        <f>PROPER(TRIM(Employee_dataset[[#This Row],[First_Name]]))</f>
        <v>Alice</v>
      </c>
      <c r="C788" t="str">
        <f>PROPER(TRIM(Employee_dataset[[#This Row],[Last_Name]]))</f>
        <v>Davis</v>
      </c>
      <c r="D788" s="6" t="str">
        <f>_xlfn.LET(
     _xlpm.a, TRIM(Employee_dataset[[#This Row],[Age]]),
     IF(
        _xlpm.a="","",
        IF(
           AND(ISNUMBER(--_xlpm.a),LEN(_xlpm.a)=2),_xlpm.a,""
          )
       )
    )</f>
        <v>30</v>
      </c>
      <c r="E788" t="str">
        <f>TRIM(_xlfn.TEXTBEFORE(Employee_dataset[[#This Row],[Department_Region]],"-"))</f>
        <v>Admin</v>
      </c>
      <c r="F788" t="str">
        <f>TRIM(_xlfn.TEXTAFTER(Employee_dataset[[#This Row],[Department_Region]],"-"))</f>
        <v>California</v>
      </c>
      <c r="G788" t="str">
        <f>TRIM(Employee_dataset[[#This Row],[Status]])</f>
        <v>Inactive</v>
      </c>
      <c r="H788" s="1">
        <f>_xlfn.LET(
     _xlpm.d, Employee_dataset[[#This Row],[Join_Date]],
     IF(
        ISNUMBER(_xlpm.d),_xlpm.d,""
       )
    )</f>
        <v>45208</v>
      </c>
      <c r="I788" s="6">
        <f>_xlfn.LET(
     _xlpm.s, TRIM(Employee_dataset[[#This Row],[Salary]]),
     IF(
        UPPER(_xlpm.s)="N/A","",
        IF(
           ISNUMBER(--_xlpm.s),ROUND(_xlfn.NUMBERVALUE(_xlpm.s),2),""
          )
       )
    )</f>
        <v>83537.58</v>
      </c>
      <c r="J788" t="str">
        <f>TRIM(Employee_dataset[[#This Row],[Email]])</f>
        <v>alice.davis@example.com</v>
      </c>
      <c r="K788" t="str">
        <f>_xlfn.LET(
     _xlpm.p,TRIM(SUBSTITUTE(Employee_dataset[[#This Row],[Phone]],"-","")),
     IF(
        LEN(_xlpm.p)=10,_xlfn.CONCAT("("&amp;LEFT(_xlpm.p,3)&amp;") "&amp;MID(_xlpm.p,4,3)&amp;"-"&amp;RIGHT(_xlpm.p,4),"")
       )
     )</f>
        <v>(293) 110-0590</v>
      </c>
      <c r="L788" t="str">
        <f>TRIM(Employee_dataset[[#This Row],[Performance_Score]])</f>
        <v>Poor</v>
      </c>
      <c r="M788" t="str">
        <f>TRIM(Employee_dataset[[#This Row],[Remote_Work]])</f>
        <v>FALSE</v>
      </c>
    </row>
    <row r="789" spans="1:13" x14ac:dyDescent="0.3">
      <c r="A789" t="str">
        <f>TRIM(Employee_dataset[[#This Row],[Employee_ID]])</f>
        <v>EMP1787</v>
      </c>
      <c r="B789" t="str">
        <f>PROPER(TRIM(Employee_dataset[[#This Row],[First_Name]]))</f>
        <v>Alice</v>
      </c>
      <c r="C789" t="str">
        <f>PROPER(TRIM(Employee_dataset[[#This Row],[Last_Name]]))</f>
        <v>Garcia</v>
      </c>
      <c r="D789" s="6" t="str">
        <f>_xlfn.LET(
     _xlpm.a, TRIM(Employee_dataset[[#This Row],[Age]]),
     IF(
        _xlpm.a="","",
        IF(
           AND(ISNUMBER(--_xlpm.a),LEN(_xlpm.a)=2),_xlpm.a,""
          )
       )
    )</f>
        <v>30</v>
      </c>
      <c r="E789" t="str">
        <f>TRIM(_xlfn.TEXTBEFORE(Employee_dataset[[#This Row],[Department_Region]],"-"))</f>
        <v>Finance</v>
      </c>
      <c r="F789" t="str">
        <f>TRIM(_xlfn.TEXTAFTER(Employee_dataset[[#This Row],[Department_Region]],"-"))</f>
        <v>New York</v>
      </c>
      <c r="G789" t="str">
        <f>TRIM(Employee_dataset[[#This Row],[Status]])</f>
        <v>Pending</v>
      </c>
      <c r="H789" s="1">
        <f>_xlfn.LET(
     _xlpm.d, Employee_dataset[[#This Row],[Join_Date]],
     IF(
        ISNUMBER(_xlpm.d),_xlpm.d,""
       )
    )</f>
        <v>44774</v>
      </c>
      <c r="I789" s="6">
        <f>_xlfn.LET(
     _xlpm.s, TRIM(Employee_dataset[[#This Row],[Salary]]),
     IF(
        UPPER(_xlpm.s)="N/A","",
        IF(
           ISNUMBER(--_xlpm.s),ROUND(_xlfn.NUMBERVALUE(_xlpm.s),2),""
          )
       )
    )</f>
        <v>112444.08</v>
      </c>
      <c r="J789" t="str">
        <f>TRIM(Employee_dataset[[#This Row],[Email]])</f>
        <v>alice.garcia@example.com</v>
      </c>
      <c r="K789" t="str">
        <f>_xlfn.LET(
     _xlpm.p,TRIM(SUBSTITUTE(Employee_dataset[[#This Row],[Phone]],"-","")),
     IF(
        LEN(_xlpm.p)=10,_xlfn.CONCAT("("&amp;LEFT(_xlpm.p,3)&amp;") "&amp;MID(_xlpm.p,4,3)&amp;"-"&amp;RIGHT(_xlpm.p,4),"")
       )
     )</f>
        <v>(297) 519-1022</v>
      </c>
      <c r="L789" t="str">
        <f>TRIM(Employee_dataset[[#This Row],[Performance_Score]])</f>
        <v>Excellent</v>
      </c>
      <c r="M789" t="str">
        <f>TRIM(Employee_dataset[[#This Row],[Remote_Work]])</f>
        <v>TRUE</v>
      </c>
    </row>
    <row r="790" spans="1:13" x14ac:dyDescent="0.3">
      <c r="A790" t="str">
        <f>TRIM(Employee_dataset[[#This Row],[Employee_ID]])</f>
        <v>EMP1788</v>
      </c>
      <c r="B790" t="str">
        <f>PROPER(TRIM(Employee_dataset[[#This Row],[First_Name]]))</f>
        <v>Frank</v>
      </c>
      <c r="C790" t="str">
        <f>PROPER(TRIM(Employee_dataset[[#This Row],[Last_Name]]))</f>
        <v>Garcia</v>
      </c>
      <c r="D790" s="6" t="str">
        <f>_xlfn.LET(
     _xlpm.a, TRIM(Employee_dataset[[#This Row],[Age]]),
     IF(
        _xlpm.a="","",
        IF(
           AND(ISNUMBER(--_xlpm.a),LEN(_xlpm.a)=2),_xlpm.a,""
          )
       )
    )</f>
        <v>40</v>
      </c>
      <c r="E790" t="str">
        <f>TRIM(_xlfn.TEXTBEFORE(Employee_dataset[[#This Row],[Department_Region]],"-"))</f>
        <v>Finance</v>
      </c>
      <c r="F790" t="str">
        <f>TRIM(_xlfn.TEXTAFTER(Employee_dataset[[#This Row],[Department_Region]],"-"))</f>
        <v>Nevada</v>
      </c>
      <c r="G790" t="str">
        <f>TRIM(Employee_dataset[[#This Row],[Status]])</f>
        <v>Active</v>
      </c>
      <c r="H790" s="1">
        <f>_xlfn.LET(
     _xlpm.d, Employee_dataset[[#This Row],[Join_Date]],
     IF(
        ISNUMBER(_xlpm.d),_xlpm.d,""
       )
    )</f>
        <v>45541</v>
      </c>
      <c r="I790" s="6">
        <f>_xlfn.LET(
     _xlpm.s, TRIM(Employee_dataset[[#This Row],[Salary]]),
     IF(
        UPPER(_xlpm.s)="N/A","",
        IF(
           ISNUMBER(--_xlpm.s),ROUND(_xlfn.NUMBERVALUE(_xlpm.s),2),""
          )
       )
    )</f>
        <v>86475.13</v>
      </c>
      <c r="J790" t="str">
        <f>TRIM(Employee_dataset[[#This Row],[Email]])</f>
        <v>frank.garcia@example.com</v>
      </c>
      <c r="K790" t="str">
        <f>_xlfn.LET(
     _xlpm.p,TRIM(SUBSTITUTE(Employee_dataset[[#This Row],[Phone]],"-","")),
     IF(
        LEN(_xlpm.p)=10,_xlfn.CONCAT("("&amp;LEFT(_xlpm.p,3)&amp;") "&amp;MID(_xlpm.p,4,3)&amp;"-"&amp;RIGHT(_xlpm.p,4),"")
       )
     )</f>
        <v>(121) 106-3300</v>
      </c>
      <c r="L790" t="str">
        <f>TRIM(Employee_dataset[[#This Row],[Performance_Score]])</f>
        <v>Poor</v>
      </c>
      <c r="M790" t="str">
        <f>TRIM(Employee_dataset[[#This Row],[Remote_Work]])</f>
        <v>TRUE</v>
      </c>
    </row>
    <row r="791" spans="1:13" x14ac:dyDescent="0.3">
      <c r="A791" t="str">
        <f>TRIM(Employee_dataset[[#This Row],[Employee_ID]])</f>
        <v>EMP1789</v>
      </c>
      <c r="B791" t="str">
        <f>PROPER(TRIM(Employee_dataset[[#This Row],[First_Name]]))</f>
        <v>Frank</v>
      </c>
      <c r="C791" t="str">
        <f>PROPER(TRIM(Employee_dataset[[#This Row],[Last_Name]]))</f>
        <v>Davis</v>
      </c>
      <c r="D791" s="6" t="str">
        <f>_xlfn.LET(
     _xlpm.a, TRIM(Employee_dataset[[#This Row],[Age]]),
     IF(
        _xlpm.a="","",
        IF(
           AND(ISNUMBER(--_xlpm.a),LEN(_xlpm.a)=2),_xlpm.a,""
          )
       )
    )</f>
        <v/>
      </c>
      <c r="E791" t="str">
        <f>TRIM(_xlfn.TEXTBEFORE(Employee_dataset[[#This Row],[Department_Region]],"-"))</f>
        <v>Sales</v>
      </c>
      <c r="F791" t="str">
        <f>TRIM(_xlfn.TEXTAFTER(Employee_dataset[[#This Row],[Department_Region]],"-"))</f>
        <v>Texas</v>
      </c>
      <c r="G791" t="str">
        <f>TRIM(Employee_dataset[[#This Row],[Status]])</f>
        <v>Active</v>
      </c>
      <c r="H791" s="1">
        <f>_xlfn.LET(
     _xlpm.d, Employee_dataset[[#This Row],[Join_Date]],
     IF(
        ISNUMBER(_xlpm.d),_xlpm.d,""
       )
    )</f>
        <v>45013</v>
      </c>
      <c r="I791" s="6">
        <f>_xlfn.LET(
     _xlpm.s, TRIM(Employee_dataset[[#This Row],[Salary]]),
     IF(
        UPPER(_xlpm.s)="N/A","",
        IF(
           ISNUMBER(--_xlpm.s),ROUND(_xlfn.NUMBERVALUE(_xlpm.s),2),""
          )
       )
    )</f>
        <v>97984.53</v>
      </c>
      <c r="J791" t="str">
        <f>TRIM(Employee_dataset[[#This Row],[Email]])</f>
        <v>frank.davis@example.com</v>
      </c>
      <c r="K791" t="str">
        <f>_xlfn.LET(
     _xlpm.p,TRIM(SUBSTITUTE(Employee_dataset[[#This Row],[Phone]],"-","")),
     IF(
        LEN(_xlpm.p)=10,_xlfn.CONCAT("("&amp;LEFT(_xlpm.p,3)&amp;") "&amp;MID(_xlpm.p,4,3)&amp;"-"&amp;RIGHT(_xlpm.p,4),"")
       )
     )</f>
        <v>(658) 373-7926</v>
      </c>
      <c r="L791" t="str">
        <f>TRIM(Employee_dataset[[#This Row],[Performance_Score]])</f>
        <v>Good</v>
      </c>
      <c r="M791" t="str">
        <f>TRIM(Employee_dataset[[#This Row],[Remote_Work]])</f>
        <v>TRUE</v>
      </c>
    </row>
    <row r="792" spans="1:13" x14ac:dyDescent="0.3">
      <c r="A792" t="str">
        <f>TRIM(Employee_dataset[[#This Row],[Employee_ID]])</f>
        <v>EMP1790</v>
      </c>
      <c r="B792" t="str">
        <f>PROPER(TRIM(Employee_dataset[[#This Row],[First_Name]]))</f>
        <v>Frank</v>
      </c>
      <c r="C792" t="str">
        <f>PROPER(TRIM(Employee_dataset[[#This Row],[Last_Name]]))</f>
        <v>Miller</v>
      </c>
      <c r="D792" s="6" t="str">
        <f>_xlfn.LET(
     _xlpm.a, TRIM(Employee_dataset[[#This Row],[Age]]),
     IF(
        _xlpm.a="","",
        IF(
           AND(ISNUMBER(--_xlpm.a),LEN(_xlpm.a)=2),_xlpm.a,""
          )
       )
    )</f>
        <v>25</v>
      </c>
      <c r="E792" t="str">
        <f>TRIM(_xlfn.TEXTBEFORE(Employee_dataset[[#This Row],[Department_Region]],"-"))</f>
        <v>Admin</v>
      </c>
      <c r="F792" t="str">
        <f>TRIM(_xlfn.TEXTAFTER(Employee_dataset[[#This Row],[Department_Region]],"-"))</f>
        <v>California</v>
      </c>
      <c r="G792" t="str">
        <f>TRIM(Employee_dataset[[#This Row],[Status]])</f>
        <v>Active</v>
      </c>
      <c r="H792" s="1">
        <f>_xlfn.LET(
     _xlpm.d, Employee_dataset[[#This Row],[Join_Date]],
     IF(
        ISNUMBER(_xlpm.d),_xlpm.d,""
       )
    )</f>
        <v>44525</v>
      </c>
      <c r="I792" s="6">
        <f>_xlfn.LET(
     _xlpm.s, TRIM(Employee_dataset[[#This Row],[Salary]]),
     IF(
        UPPER(_xlpm.s)="N/A","",
        IF(
           ISNUMBER(--_xlpm.s),ROUND(_xlfn.NUMBERVALUE(_xlpm.s),2),""
          )
       )
    )</f>
        <v>118853.31</v>
      </c>
      <c r="J792" t="str">
        <f>TRIM(Employee_dataset[[#This Row],[Email]])</f>
        <v>frank.miller@example.com</v>
      </c>
      <c r="K792" t="str">
        <f>_xlfn.LET(
     _xlpm.p,TRIM(SUBSTITUTE(Employee_dataset[[#This Row],[Phone]],"-","")),
     IF(
        LEN(_xlpm.p)=10,_xlfn.CONCAT("("&amp;LEFT(_xlpm.p,3)&amp;") "&amp;MID(_xlpm.p,4,3)&amp;"-"&amp;RIGHT(_xlpm.p,4),"")
       )
     )</f>
        <v>(490) 728-0122</v>
      </c>
      <c r="L792" t="str">
        <f>TRIM(Employee_dataset[[#This Row],[Performance_Score]])</f>
        <v>Good</v>
      </c>
      <c r="M792" t="str">
        <f>TRIM(Employee_dataset[[#This Row],[Remote_Work]])</f>
        <v>FALSE</v>
      </c>
    </row>
    <row r="793" spans="1:13" x14ac:dyDescent="0.3">
      <c r="A793" t="str">
        <f>TRIM(Employee_dataset[[#This Row],[Employee_ID]])</f>
        <v>EMP1791</v>
      </c>
      <c r="B793" t="str">
        <f>PROPER(TRIM(Employee_dataset[[#This Row],[First_Name]]))</f>
        <v>Charlie</v>
      </c>
      <c r="C793" t="str">
        <f>PROPER(TRIM(Employee_dataset[[#This Row],[Last_Name]]))</f>
        <v>Garcia</v>
      </c>
      <c r="D793" s="6" t="str">
        <f>_xlfn.LET(
     _xlpm.a, TRIM(Employee_dataset[[#This Row],[Age]]),
     IF(
        _xlpm.a="","",
        IF(
           AND(ISNUMBER(--_xlpm.a),LEN(_xlpm.a)=2),_xlpm.a,""
          )
       )
    )</f>
        <v/>
      </c>
      <c r="E793" t="str">
        <f>TRIM(_xlfn.TEXTBEFORE(Employee_dataset[[#This Row],[Department_Region]],"-"))</f>
        <v>Sales</v>
      </c>
      <c r="F793" t="str">
        <f>TRIM(_xlfn.TEXTAFTER(Employee_dataset[[#This Row],[Department_Region]],"-"))</f>
        <v>Florida</v>
      </c>
      <c r="G793" t="str">
        <f>TRIM(Employee_dataset[[#This Row],[Status]])</f>
        <v>Active</v>
      </c>
      <c r="H793" s="1">
        <f>_xlfn.LET(
     _xlpm.d, Employee_dataset[[#This Row],[Join_Date]],
     IF(
        ISNUMBER(_xlpm.d),_xlpm.d,""
       )
    )</f>
        <v>45049</v>
      </c>
      <c r="I793" s="6">
        <f>_xlfn.LET(
     _xlpm.s, TRIM(Employee_dataset[[#This Row],[Salary]]),
     IF(
        UPPER(_xlpm.s)="N/A","",
        IF(
           ISNUMBER(--_xlpm.s),ROUND(_xlfn.NUMBERVALUE(_xlpm.s),2),""
          )
       )
    )</f>
        <v>58179.12</v>
      </c>
      <c r="J793" t="str">
        <f>TRIM(Employee_dataset[[#This Row],[Email]])</f>
        <v>charlie.garcia@example.com</v>
      </c>
      <c r="K793" t="str">
        <f>_xlfn.LET(
     _xlpm.p,TRIM(SUBSTITUTE(Employee_dataset[[#This Row],[Phone]],"-","")),
     IF(
        LEN(_xlpm.p)=10,_xlfn.CONCAT("("&amp;LEFT(_xlpm.p,3)&amp;") "&amp;MID(_xlpm.p,4,3)&amp;"-"&amp;RIGHT(_xlpm.p,4),"")
       )
     )</f>
        <v>(428) 931-1324</v>
      </c>
      <c r="L793" t="str">
        <f>TRIM(Employee_dataset[[#This Row],[Performance_Score]])</f>
        <v>Excellent</v>
      </c>
      <c r="M793" t="str">
        <f>TRIM(Employee_dataset[[#This Row],[Remote_Work]])</f>
        <v>FALSE</v>
      </c>
    </row>
    <row r="794" spans="1:13" x14ac:dyDescent="0.3">
      <c r="A794" t="str">
        <f>TRIM(Employee_dataset[[#This Row],[Employee_ID]])</f>
        <v>EMP1792</v>
      </c>
      <c r="B794" t="str">
        <f>PROPER(TRIM(Employee_dataset[[#This Row],[First_Name]]))</f>
        <v>Eva</v>
      </c>
      <c r="C794" t="str">
        <f>PROPER(TRIM(Employee_dataset[[#This Row],[Last_Name]]))</f>
        <v>Jones</v>
      </c>
      <c r="D794" s="6" t="str">
        <f>_xlfn.LET(
     _xlpm.a, TRIM(Employee_dataset[[#This Row],[Age]]),
     IF(
        _xlpm.a="","",
        IF(
           AND(ISNUMBER(--_xlpm.a),LEN(_xlpm.a)=2),_xlpm.a,""
          )
       )
    )</f>
        <v>35</v>
      </c>
      <c r="E794" t="str">
        <f>TRIM(_xlfn.TEXTBEFORE(Employee_dataset[[#This Row],[Department_Region]],"-"))</f>
        <v>DevOps</v>
      </c>
      <c r="F794" t="str">
        <f>TRIM(_xlfn.TEXTAFTER(Employee_dataset[[#This Row],[Department_Region]],"-"))</f>
        <v>Texas</v>
      </c>
      <c r="G794" t="str">
        <f>TRIM(Employee_dataset[[#This Row],[Status]])</f>
        <v>Inactive</v>
      </c>
      <c r="H794" s="1">
        <f>_xlfn.LET(
     _xlpm.d, Employee_dataset[[#This Row],[Join_Date]],
     IF(
        ISNUMBER(_xlpm.d),_xlpm.d,""
       )
    )</f>
        <v>44678</v>
      </c>
      <c r="I794" s="6">
        <f>_xlfn.LET(
     _xlpm.s, TRIM(Employee_dataset[[#This Row],[Salary]]),
     IF(
        UPPER(_xlpm.s)="N/A","",
        IF(
           ISNUMBER(--_xlpm.s),ROUND(_xlfn.NUMBERVALUE(_xlpm.s),2),""
          )
       )
    )</f>
        <v>56075.839999999997</v>
      </c>
      <c r="J794" t="str">
        <f>TRIM(Employee_dataset[[#This Row],[Email]])</f>
        <v>eva.jones@example.com</v>
      </c>
      <c r="K794" t="str">
        <f>_xlfn.LET(
     _xlpm.p,TRIM(SUBSTITUTE(Employee_dataset[[#This Row],[Phone]],"-","")),
     IF(
        LEN(_xlpm.p)=10,_xlfn.CONCAT("("&amp;LEFT(_xlpm.p,3)&amp;") "&amp;MID(_xlpm.p,4,3)&amp;"-"&amp;RIGHT(_xlpm.p,4),"")
       )
     )</f>
        <v>(326) 949-6842</v>
      </c>
      <c r="L794" t="str">
        <f>TRIM(Employee_dataset[[#This Row],[Performance_Score]])</f>
        <v>Average</v>
      </c>
      <c r="M794" t="str">
        <f>TRIM(Employee_dataset[[#This Row],[Remote_Work]])</f>
        <v>TRUE</v>
      </c>
    </row>
    <row r="795" spans="1:13" x14ac:dyDescent="0.3">
      <c r="A795" t="str">
        <f>TRIM(Employee_dataset[[#This Row],[Employee_ID]])</f>
        <v>EMP1793</v>
      </c>
      <c r="B795" t="str">
        <f>PROPER(TRIM(Employee_dataset[[#This Row],[First_Name]]))</f>
        <v>Frank</v>
      </c>
      <c r="C795" t="str">
        <f>PROPER(TRIM(Employee_dataset[[#This Row],[Last_Name]]))</f>
        <v>Brown</v>
      </c>
      <c r="D795" s="6" t="str">
        <f>_xlfn.LET(
     _xlpm.a, TRIM(Employee_dataset[[#This Row],[Age]]),
     IF(
        _xlpm.a="","",
        IF(
           AND(ISNUMBER(--_xlpm.a),LEN(_xlpm.a)=2),_xlpm.a,""
          )
       )
    )</f>
        <v>40</v>
      </c>
      <c r="E795" t="str">
        <f>TRIM(_xlfn.TEXTBEFORE(Employee_dataset[[#This Row],[Department_Region]],"-"))</f>
        <v>HR</v>
      </c>
      <c r="F795" t="str">
        <f>TRIM(_xlfn.TEXTAFTER(Employee_dataset[[#This Row],[Department_Region]],"-"))</f>
        <v>New York</v>
      </c>
      <c r="G795" t="str">
        <f>TRIM(Employee_dataset[[#This Row],[Status]])</f>
        <v>Pending</v>
      </c>
      <c r="H795" s="1">
        <f>_xlfn.LET(
     _xlpm.d, Employee_dataset[[#This Row],[Join_Date]],
     IF(
        ISNUMBER(_xlpm.d),_xlpm.d,""
       )
    )</f>
        <v>44450</v>
      </c>
      <c r="I795" s="6">
        <f>_xlfn.LET(
     _xlpm.s, TRIM(Employee_dataset[[#This Row],[Salary]]),
     IF(
        UPPER(_xlpm.s)="N/A","",
        IF(
           ISNUMBER(--_xlpm.s),ROUND(_xlfn.NUMBERVALUE(_xlpm.s),2),""
          )
       )
    )</f>
        <v>62250.89</v>
      </c>
      <c r="J795" t="str">
        <f>TRIM(Employee_dataset[[#This Row],[Email]])</f>
        <v>frank.brown@example.com</v>
      </c>
      <c r="K795" t="str">
        <f>_xlfn.LET(
     _xlpm.p,TRIM(SUBSTITUTE(Employee_dataset[[#This Row],[Phone]],"-","")),
     IF(
        LEN(_xlpm.p)=10,_xlfn.CONCAT("("&amp;LEFT(_xlpm.p,3)&amp;") "&amp;MID(_xlpm.p,4,3)&amp;"-"&amp;RIGHT(_xlpm.p,4),"")
       )
     )</f>
        <v>(645) 380-4420</v>
      </c>
      <c r="L795" t="str">
        <f>TRIM(Employee_dataset[[#This Row],[Performance_Score]])</f>
        <v>Excellent</v>
      </c>
      <c r="M795" t="str">
        <f>TRIM(Employee_dataset[[#This Row],[Remote_Work]])</f>
        <v>TRUE</v>
      </c>
    </row>
    <row r="796" spans="1:13" x14ac:dyDescent="0.3">
      <c r="A796" t="str">
        <f>TRIM(Employee_dataset[[#This Row],[Employee_ID]])</f>
        <v>EMP1794</v>
      </c>
      <c r="B796" t="str">
        <f>PROPER(TRIM(Employee_dataset[[#This Row],[First_Name]]))</f>
        <v>Alice</v>
      </c>
      <c r="C796" t="str">
        <f>PROPER(TRIM(Employee_dataset[[#This Row],[Last_Name]]))</f>
        <v>Smith</v>
      </c>
      <c r="D796" s="6" t="str">
        <f>_xlfn.LET(
     _xlpm.a, TRIM(Employee_dataset[[#This Row],[Age]]),
     IF(
        _xlpm.a="","",
        IF(
           AND(ISNUMBER(--_xlpm.a),LEN(_xlpm.a)=2),_xlpm.a,""
          )
       )
    )</f>
        <v>30</v>
      </c>
      <c r="E796" t="str">
        <f>TRIM(_xlfn.TEXTBEFORE(Employee_dataset[[#This Row],[Department_Region]],"-"))</f>
        <v>Cloud Tech</v>
      </c>
      <c r="F796" t="str">
        <f>TRIM(_xlfn.TEXTAFTER(Employee_dataset[[#This Row],[Department_Region]],"-"))</f>
        <v>Florida</v>
      </c>
      <c r="G796" t="str">
        <f>TRIM(Employee_dataset[[#This Row],[Status]])</f>
        <v>Pending</v>
      </c>
      <c r="H796" s="1">
        <f>_xlfn.LET(
     _xlpm.d, Employee_dataset[[#This Row],[Join_Date]],
     IF(
        ISNUMBER(_xlpm.d),_xlpm.d,""
       )
    )</f>
        <v>43882</v>
      </c>
      <c r="I796" s="6">
        <f>_xlfn.LET(
     _xlpm.s, TRIM(Employee_dataset[[#This Row],[Salary]]),
     IF(
        UPPER(_xlpm.s)="N/A","",
        IF(
           ISNUMBER(--_xlpm.s),ROUND(_xlfn.NUMBERVALUE(_xlpm.s),2),""
          )
       )
    )</f>
        <v>105931.77</v>
      </c>
      <c r="J796" t="str">
        <f>TRIM(Employee_dataset[[#This Row],[Email]])</f>
        <v>alice.smith@example.com</v>
      </c>
      <c r="K796" t="b">
        <f>_xlfn.LET(
     _xlpm.p,TRIM(SUBSTITUTE(Employee_dataset[[#This Row],[Phone]],"-","")),
     IF(
        LEN(_xlpm.p)=10,_xlfn.CONCAT("("&amp;LEFT(_xlpm.p,3)&amp;") "&amp;MID(_xlpm.p,4,3)&amp;"-"&amp;RIGHT(_xlpm.p,4),"")
       )
     )</f>
        <v>0</v>
      </c>
      <c r="L796" t="str">
        <f>TRIM(Employee_dataset[[#This Row],[Performance_Score]])</f>
        <v>Poor</v>
      </c>
      <c r="M796" t="str">
        <f>TRIM(Employee_dataset[[#This Row],[Remote_Work]])</f>
        <v>TRUE</v>
      </c>
    </row>
    <row r="797" spans="1:13" x14ac:dyDescent="0.3">
      <c r="A797" t="str">
        <f>TRIM(Employee_dataset[[#This Row],[Employee_ID]])</f>
        <v>EMP1795</v>
      </c>
      <c r="B797" t="str">
        <f>PROPER(TRIM(Employee_dataset[[#This Row],[First_Name]]))</f>
        <v>Charlie</v>
      </c>
      <c r="C797" t="str">
        <f>PROPER(TRIM(Employee_dataset[[#This Row],[Last_Name]]))</f>
        <v>Davis</v>
      </c>
      <c r="D797" s="6" t="str">
        <f>_xlfn.LET(
     _xlpm.a, TRIM(Employee_dataset[[#This Row],[Age]]),
     IF(
        _xlpm.a="","",
        IF(
           AND(ISNUMBER(--_xlpm.a),LEN(_xlpm.a)=2),_xlpm.a,""
          )
       )
    )</f>
        <v>30</v>
      </c>
      <c r="E797" t="str">
        <f>TRIM(_xlfn.TEXTBEFORE(Employee_dataset[[#This Row],[Department_Region]],"-"))</f>
        <v>HR</v>
      </c>
      <c r="F797" t="str">
        <f>TRIM(_xlfn.TEXTAFTER(Employee_dataset[[#This Row],[Department_Region]],"-"))</f>
        <v>Florida</v>
      </c>
      <c r="G797" t="str">
        <f>TRIM(Employee_dataset[[#This Row],[Status]])</f>
        <v>Pending</v>
      </c>
      <c r="H797" s="1">
        <f>_xlfn.LET(
     _xlpm.d, Employee_dataset[[#This Row],[Join_Date]],
     IF(
        ISNUMBER(_xlpm.d),_xlpm.d,""
       )
    )</f>
        <v>45620</v>
      </c>
      <c r="I797" s="6">
        <f>_xlfn.LET(
     _xlpm.s, TRIM(Employee_dataset[[#This Row],[Salary]]),
     IF(
        UPPER(_xlpm.s)="N/A","",
        IF(
           ISNUMBER(--_xlpm.s),ROUND(_xlfn.NUMBERVALUE(_xlpm.s),2),""
          )
       )
    )</f>
        <v>86653.96</v>
      </c>
      <c r="J797" t="str">
        <f>TRIM(Employee_dataset[[#This Row],[Email]])</f>
        <v>charlie.davis@example.com</v>
      </c>
      <c r="K797" t="str">
        <f>_xlfn.LET(
     _xlpm.p,TRIM(SUBSTITUTE(Employee_dataset[[#This Row],[Phone]],"-","")),
     IF(
        LEN(_xlpm.p)=10,_xlfn.CONCAT("("&amp;LEFT(_xlpm.p,3)&amp;") "&amp;MID(_xlpm.p,4,3)&amp;"-"&amp;RIGHT(_xlpm.p,4),"")
       )
     )</f>
        <v>(159) 591-9456</v>
      </c>
      <c r="L797" t="str">
        <f>TRIM(Employee_dataset[[#This Row],[Performance_Score]])</f>
        <v>Average</v>
      </c>
      <c r="M797" t="str">
        <f>TRIM(Employee_dataset[[#This Row],[Remote_Work]])</f>
        <v>TRUE</v>
      </c>
    </row>
    <row r="798" spans="1:13" x14ac:dyDescent="0.3">
      <c r="A798" t="str">
        <f>TRIM(Employee_dataset[[#This Row],[Employee_ID]])</f>
        <v>EMP1796</v>
      </c>
      <c r="B798" t="str">
        <f>PROPER(TRIM(Employee_dataset[[#This Row],[First_Name]]))</f>
        <v>Charlie</v>
      </c>
      <c r="C798" t="str">
        <f>PROPER(TRIM(Employee_dataset[[#This Row],[Last_Name]]))</f>
        <v>Jones</v>
      </c>
      <c r="D798" s="6" t="str">
        <f>_xlfn.LET(
     _xlpm.a, TRIM(Employee_dataset[[#This Row],[Age]]),
     IF(
        _xlpm.a="","",
        IF(
           AND(ISNUMBER(--_xlpm.a),LEN(_xlpm.a)=2),_xlpm.a,""
          )
       )
    )</f>
        <v>25</v>
      </c>
      <c r="E798" t="str">
        <f>TRIM(_xlfn.TEXTBEFORE(Employee_dataset[[#This Row],[Department_Region]],"-"))</f>
        <v>Sales</v>
      </c>
      <c r="F798" t="str">
        <f>TRIM(_xlfn.TEXTAFTER(Employee_dataset[[#This Row],[Department_Region]],"-"))</f>
        <v>Nevada</v>
      </c>
      <c r="G798" t="str">
        <f>TRIM(Employee_dataset[[#This Row],[Status]])</f>
        <v>Active</v>
      </c>
      <c r="H798" s="1">
        <f>_xlfn.LET(
     _xlpm.d, Employee_dataset[[#This Row],[Join_Date]],
     IF(
        ISNUMBER(_xlpm.d),_xlpm.d,""
       )
    )</f>
        <v>44251</v>
      </c>
      <c r="I798" s="6">
        <f>_xlfn.LET(
     _xlpm.s, TRIM(Employee_dataset[[#This Row],[Salary]]),
     IF(
        UPPER(_xlpm.s)="N/A","",
        IF(
           ISNUMBER(--_xlpm.s),ROUND(_xlfn.NUMBERVALUE(_xlpm.s),2),""
          )
       )
    )</f>
        <v>100719.94</v>
      </c>
      <c r="J798" t="str">
        <f>TRIM(Employee_dataset[[#This Row],[Email]])</f>
        <v>charlie.jones@example.com</v>
      </c>
      <c r="K798" t="str">
        <f>_xlfn.LET(
     _xlpm.p,TRIM(SUBSTITUTE(Employee_dataset[[#This Row],[Phone]],"-","")),
     IF(
        LEN(_xlpm.p)=10,_xlfn.CONCAT("("&amp;LEFT(_xlpm.p,3)&amp;") "&amp;MID(_xlpm.p,4,3)&amp;"-"&amp;RIGHT(_xlpm.p,4),"")
       )
     )</f>
        <v>(575) 747-5832</v>
      </c>
      <c r="L798" t="str">
        <f>TRIM(Employee_dataset[[#This Row],[Performance_Score]])</f>
        <v>Good</v>
      </c>
      <c r="M798" t="str">
        <f>TRIM(Employee_dataset[[#This Row],[Remote_Work]])</f>
        <v>FALSE</v>
      </c>
    </row>
    <row r="799" spans="1:13" x14ac:dyDescent="0.3">
      <c r="A799" t="str">
        <f>TRIM(Employee_dataset[[#This Row],[Employee_ID]])</f>
        <v>EMP1797</v>
      </c>
      <c r="B799" t="str">
        <f>PROPER(TRIM(Employee_dataset[[#This Row],[First_Name]]))</f>
        <v>Bob</v>
      </c>
      <c r="C799" t="str">
        <f>PROPER(TRIM(Employee_dataset[[#This Row],[Last_Name]]))</f>
        <v>Davis</v>
      </c>
      <c r="D799" s="6" t="str">
        <f>_xlfn.LET(
     _xlpm.a, TRIM(Employee_dataset[[#This Row],[Age]]),
     IF(
        _xlpm.a="","",
        IF(
           AND(ISNUMBER(--_xlpm.a),LEN(_xlpm.a)=2),_xlpm.a,""
          )
       )
    )</f>
        <v>25</v>
      </c>
      <c r="E799" t="str">
        <f>TRIM(_xlfn.TEXTBEFORE(Employee_dataset[[#This Row],[Department_Region]],"-"))</f>
        <v>HR</v>
      </c>
      <c r="F799" t="str">
        <f>TRIM(_xlfn.TEXTAFTER(Employee_dataset[[#This Row],[Department_Region]],"-"))</f>
        <v>Texas</v>
      </c>
      <c r="G799" t="str">
        <f>TRIM(Employee_dataset[[#This Row],[Status]])</f>
        <v>Pending</v>
      </c>
      <c r="H799" s="1">
        <f>_xlfn.LET(
     _xlpm.d, Employee_dataset[[#This Row],[Join_Date]],
     IF(
        ISNUMBER(_xlpm.d),_xlpm.d,""
       )
    )</f>
        <v>45567</v>
      </c>
      <c r="I799" s="6">
        <f>_xlfn.LET(
     _xlpm.s, TRIM(Employee_dataset[[#This Row],[Salary]]),
     IF(
        UPPER(_xlpm.s)="N/A","",
        IF(
           ISNUMBER(--_xlpm.s),ROUND(_xlfn.NUMBERVALUE(_xlpm.s),2),""
          )
       )
    )</f>
        <v>91600.13</v>
      </c>
      <c r="J799" t="str">
        <f>TRIM(Employee_dataset[[#This Row],[Email]])</f>
        <v>bob.davis@example.com</v>
      </c>
      <c r="K799" t="str">
        <f>_xlfn.LET(
     _xlpm.p,TRIM(SUBSTITUTE(Employee_dataset[[#This Row],[Phone]],"-","")),
     IF(
        LEN(_xlpm.p)=10,_xlfn.CONCAT("("&amp;LEFT(_xlpm.p,3)&amp;") "&amp;MID(_xlpm.p,4,3)&amp;"-"&amp;RIGHT(_xlpm.p,4),"")
       )
     )</f>
        <v>(920) 567-7566</v>
      </c>
      <c r="L799" t="str">
        <f>TRIM(Employee_dataset[[#This Row],[Performance_Score]])</f>
        <v>Average</v>
      </c>
      <c r="M799" t="str">
        <f>TRIM(Employee_dataset[[#This Row],[Remote_Work]])</f>
        <v>TRUE</v>
      </c>
    </row>
    <row r="800" spans="1:13" x14ac:dyDescent="0.3">
      <c r="A800" t="str">
        <f>TRIM(Employee_dataset[[#This Row],[Employee_ID]])</f>
        <v>EMP1798</v>
      </c>
      <c r="B800" t="str">
        <f>PROPER(TRIM(Employee_dataset[[#This Row],[First_Name]]))</f>
        <v>Heidi</v>
      </c>
      <c r="C800" t="str">
        <f>PROPER(TRIM(Employee_dataset[[#This Row],[Last_Name]]))</f>
        <v>Smith</v>
      </c>
      <c r="D800" s="6" t="str">
        <f>_xlfn.LET(
     _xlpm.a, TRIM(Employee_dataset[[#This Row],[Age]]),
     IF(
        _xlpm.a="","",
        IF(
           AND(ISNUMBER(--_xlpm.a),LEN(_xlpm.a)=2),_xlpm.a,""
          )
       )
    )</f>
        <v>25</v>
      </c>
      <c r="E800" t="str">
        <f>TRIM(_xlfn.TEXTBEFORE(Employee_dataset[[#This Row],[Department_Region]],"-"))</f>
        <v>Cloud Tech</v>
      </c>
      <c r="F800" t="str">
        <f>TRIM(_xlfn.TEXTAFTER(Employee_dataset[[#This Row],[Department_Region]],"-"))</f>
        <v>Illinois</v>
      </c>
      <c r="G800" t="str">
        <f>TRIM(Employee_dataset[[#This Row],[Status]])</f>
        <v>Pending</v>
      </c>
      <c r="H800" s="1">
        <f>_xlfn.LET(
     _xlpm.d, Employee_dataset[[#This Row],[Join_Date]],
     IF(
        ISNUMBER(_xlpm.d),_xlpm.d,""
       )
    )</f>
        <v>45357</v>
      </c>
      <c r="I800" s="6">
        <f>_xlfn.LET(
     _xlpm.s, TRIM(Employee_dataset[[#This Row],[Salary]]),
     IF(
        UPPER(_xlpm.s)="N/A","",
        IF(
           ISNUMBER(--_xlpm.s),ROUND(_xlfn.NUMBERVALUE(_xlpm.s),2),""
          )
       )
    )</f>
        <v>71873.66</v>
      </c>
      <c r="J800" t="str">
        <f>TRIM(Employee_dataset[[#This Row],[Email]])</f>
        <v>heidi.smith@example.com</v>
      </c>
      <c r="K800" t="str">
        <f>_xlfn.LET(
     _xlpm.p,TRIM(SUBSTITUTE(Employee_dataset[[#This Row],[Phone]],"-","")),
     IF(
        LEN(_xlpm.p)=10,_xlfn.CONCAT("("&amp;LEFT(_xlpm.p,3)&amp;") "&amp;MID(_xlpm.p,4,3)&amp;"-"&amp;RIGHT(_xlpm.p,4),"")
       )
     )</f>
        <v>(772) 266-0255</v>
      </c>
      <c r="L800" t="str">
        <f>TRIM(Employee_dataset[[#This Row],[Performance_Score]])</f>
        <v>Good</v>
      </c>
      <c r="M800" t="str">
        <f>TRIM(Employee_dataset[[#This Row],[Remote_Work]])</f>
        <v>TRUE</v>
      </c>
    </row>
    <row r="801" spans="1:13" x14ac:dyDescent="0.3">
      <c r="A801" t="str">
        <f>TRIM(Employee_dataset[[#This Row],[Employee_ID]])</f>
        <v>EMP1799</v>
      </c>
      <c r="B801" t="str">
        <f>PROPER(TRIM(Employee_dataset[[#This Row],[First_Name]]))</f>
        <v>Eva</v>
      </c>
      <c r="C801" t="str">
        <f>PROPER(TRIM(Employee_dataset[[#This Row],[Last_Name]]))</f>
        <v>Williams</v>
      </c>
      <c r="D801" s="6" t="str">
        <f>_xlfn.LET(
     _xlpm.a, TRIM(Employee_dataset[[#This Row],[Age]]),
     IF(
        _xlpm.a="","",
        IF(
           AND(ISNUMBER(--_xlpm.a),LEN(_xlpm.a)=2),_xlpm.a,""
          )
       )
    )</f>
        <v>30</v>
      </c>
      <c r="E801" t="str">
        <f>TRIM(_xlfn.TEXTBEFORE(Employee_dataset[[#This Row],[Department_Region]],"-"))</f>
        <v>HR</v>
      </c>
      <c r="F801" t="str">
        <f>TRIM(_xlfn.TEXTAFTER(Employee_dataset[[#This Row],[Department_Region]],"-"))</f>
        <v>New York</v>
      </c>
      <c r="G801" t="str">
        <f>TRIM(Employee_dataset[[#This Row],[Status]])</f>
        <v>Active</v>
      </c>
      <c r="H801" s="1">
        <f>_xlfn.LET(
     _xlpm.d, Employee_dataset[[#This Row],[Join_Date]],
     IF(
        ISNUMBER(_xlpm.d),_xlpm.d,""
       )
    )</f>
        <v>44417</v>
      </c>
      <c r="I801" s="6">
        <f>_xlfn.LET(
     _xlpm.s, TRIM(Employee_dataset[[#This Row],[Salary]]),
     IF(
        UPPER(_xlpm.s)="N/A","",
        IF(
           ISNUMBER(--_xlpm.s),ROUND(_xlfn.NUMBERVALUE(_xlpm.s),2),""
          )
       )
    )</f>
        <v>69365.47</v>
      </c>
      <c r="J801" t="str">
        <f>TRIM(Employee_dataset[[#This Row],[Email]])</f>
        <v>eva.williams@example.com</v>
      </c>
      <c r="K801" t="str">
        <f>_xlfn.LET(
     _xlpm.p,TRIM(SUBSTITUTE(Employee_dataset[[#This Row],[Phone]],"-","")),
     IF(
        LEN(_xlpm.p)=10,_xlfn.CONCAT("("&amp;LEFT(_xlpm.p,3)&amp;") "&amp;MID(_xlpm.p,4,3)&amp;"-"&amp;RIGHT(_xlpm.p,4),"")
       )
     )</f>
        <v>(265) 062-2922</v>
      </c>
      <c r="L801" t="str">
        <f>TRIM(Employee_dataset[[#This Row],[Performance_Score]])</f>
        <v>Average</v>
      </c>
      <c r="M801" t="str">
        <f>TRIM(Employee_dataset[[#This Row],[Remote_Work]])</f>
        <v>TRUE</v>
      </c>
    </row>
    <row r="802" spans="1:13" x14ac:dyDescent="0.3">
      <c r="A802" t="str">
        <f>TRIM(Employee_dataset[[#This Row],[Employee_ID]])</f>
        <v>EMP1800</v>
      </c>
      <c r="B802" t="str">
        <f>PROPER(TRIM(Employee_dataset[[#This Row],[First_Name]]))</f>
        <v>Heidi</v>
      </c>
      <c r="C802" t="str">
        <f>PROPER(TRIM(Employee_dataset[[#This Row],[Last_Name]]))</f>
        <v>Smith</v>
      </c>
      <c r="D802" s="6" t="str">
        <f>_xlfn.LET(
     _xlpm.a, TRIM(Employee_dataset[[#This Row],[Age]]),
     IF(
        _xlpm.a="","",
        IF(
           AND(ISNUMBER(--_xlpm.a),LEN(_xlpm.a)=2),_xlpm.a,""
          )
       )
    )</f>
        <v>25</v>
      </c>
      <c r="E802" t="str">
        <f>TRIM(_xlfn.TEXTBEFORE(Employee_dataset[[#This Row],[Department_Region]],"-"))</f>
        <v>HR</v>
      </c>
      <c r="F802" t="str">
        <f>TRIM(_xlfn.TEXTAFTER(Employee_dataset[[#This Row],[Department_Region]],"-"))</f>
        <v>New York</v>
      </c>
      <c r="G802" t="str">
        <f>TRIM(Employee_dataset[[#This Row],[Status]])</f>
        <v>Active</v>
      </c>
      <c r="H802" s="1">
        <f>_xlfn.LET(
     _xlpm.d, Employee_dataset[[#This Row],[Join_Date]],
     IF(
        ISNUMBER(_xlpm.d),_xlpm.d,""
       )
    )</f>
        <v>44391</v>
      </c>
      <c r="I802" s="6">
        <f>_xlfn.LET(
     _xlpm.s, TRIM(Employee_dataset[[#This Row],[Salary]]),
     IF(
        UPPER(_xlpm.s)="N/A","",
        IF(
           ISNUMBER(--_xlpm.s),ROUND(_xlfn.NUMBERVALUE(_xlpm.s),2),""
          )
       )
    )</f>
        <v>58012.23</v>
      </c>
      <c r="J802" t="str">
        <f>TRIM(Employee_dataset[[#This Row],[Email]])</f>
        <v>heidi.smith@example.com</v>
      </c>
      <c r="K802" t="str">
        <f>_xlfn.LET(
     _xlpm.p,TRIM(SUBSTITUTE(Employee_dataset[[#This Row],[Phone]],"-","")),
     IF(
        LEN(_xlpm.p)=10,_xlfn.CONCAT("("&amp;LEFT(_xlpm.p,3)&amp;") "&amp;MID(_xlpm.p,4,3)&amp;"-"&amp;RIGHT(_xlpm.p,4),"")
       )
     )</f>
        <v>(106) 724-5306</v>
      </c>
      <c r="L802" t="str">
        <f>TRIM(Employee_dataset[[#This Row],[Performance_Score]])</f>
        <v>Average</v>
      </c>
      <c r="M802" t="str">
        <f>TRIM(Employee_dataset[[#This Row],[Remote_Work]])</f>
        <v>TRUE</v>
      </c>
    </row>
    <row r="803" spans="1:13" x14ac:dyDescent="0.3">
      <c r="A803" t="str">
        <f>TRIM(Employee_dataset[[#This Row],[Employee_ID]])</f>
        <v>EMP1801</v>
      </c>
      <c r="B803" t="str">
        <f>PROPER(TRIM(Employee_dataset[[#This Row],[First_Name]]))</f>
        <v>Bob</v>
      </c>
      <c r="C803" t="str">
        <f>PROPER(TRIM(Employee_dataset[[#This Row],[Last_Name]]))</f>
        <v>Miller</v>
      </c>
      <c r="D803" s="6" t="str">
        <f>_xlfn.LET(
     _xlpm.a, TRIM(Employee_dataset[[#This Row],[Age]]),
     IF(
        _xlpm.a="","",
        IF(
           AND(ISNUMBER(--_xlpm.a),LEN(_xlpm.a)=2),_xlpm.a,""
          )
       )
    )</f>
        <v>30</v>
      </c>
      <c r="E803" t="str">
        <f>TRIM(_xlfn.TEXTBEFORE(Employee_dataset[[#This Row],[Department_Region]],"-"))</f>
        <v>Sales</v>
      </c>
      <c r="F803" t="str">
        <f>TRIM(_xlfn.TEXTAFTER(Employee_dataset[[#This Row],[Department_Region]],"-"))</f>
        <v>California</v>
      </c>
      <c r="G803" t="str">
        <f>TRIM(Employee_dataset[[#This Row],[Status]])</f>
        <v>Pending</v>
      </c>
      <c r="H803" s="1">
        <f>_xlfn.LET(
     _xlpm.d, Employee_dataset[[#This Row],[Join_Date]],
     IF(
        ISNUMBER(_xlpm.d),_xlpm.d,""
       )
    )</f>
        <v>44483</v>
      </c>
      <c r="I803" s="6">
        <f>_xlfn.LET(
     _xlpm.s, TRIM(Employee_dataset[[#This Row],[Salary]]),
     IF(
        UPPER(_xlpm.s)="N/A","",
        IF(
           ISNUMBER(--_xlpm.s),ROUND(_xlfn.NUMBERVALUE(_xlpm.s),2),""
          )
       )
    )</f>
        <v>68973.649999999994</v>
      </c>
      <c r="J803" t="str">
        <f>TRIM(Employee_dataset[[#This Row],[Email]])</f>
        <v>bob.miller@example.com</v>
      </c>
      <c r="K803" t="str">
        <f>_xlfn.LET(
     _xlpm.p,TRIM(SUBSTITUTE(Employee_dataset[[#This Row],[Phone]],"-","")),
     IF(
        LEN(_xlpm.p)=10,_xlfn.CONCAT("("&amp;LEFT(_xlpm.p,3)&amp;") "&amp;MID(_xlpm.p,4,3)&amp;"-"&amp;RIGHT(_xlpm.p,4),"")
       )
     )</f>
        <v>(624) 843-3796</v>
      </c>
      <c r="L803" t="str">
        <f>TRIM(Employee_dataset[[#This Row],[Performance_Score]])</f>
        <v>Average</v>
      </c>
      <c r="M803" t="str">
        <f>TRIM(Employee_dataset[[#This Row],[Remote_Work]])</f>
        <v>TRUE</v>
      </c>
    </row>
    <row r="804" spans="1:13" x14ac:dyDescent="0.3">
      <c r="A804" t="str">
        <f>TRIM(Employee_dataset[[#This Row],[Employee_ID]])</f>
        <v>EMP1802</v>
      </c>
      <c r="B804" t="str">
        <f>PROPER(TRIM(Employee_dataset[[#This Row],[First_Name]]))</f>
        <v>Eva</v>
      </c>
      <c r="C804" t="str">
        <f>PROPER(TRIM(Employee_dataset[[#This Row],[Last_Name]]))</f>
        <v>Smith</v>
      </c>
      <c r="D804" s="6" t="str">
        <f>_xlfn.LET(
     _xlpm.a, TRIM(Employee_dataset[[#This Row],[Age]]),
     IF(
        _xlpm.a="","",
        IF(
           AND(ISNUMBER(--_xlpm.a),LEN(_xlpm.a)=2),_xlpm.a,""
          )
       )
    )</f>
        <v/>
      </c>
      <c r="E804" t="str">
        <f>TRIM(_xlfn.TEXTBEFORE(Employee_dataset[[#This Row],[Department_Region]],"-"))</f>
        <v>Admin</v>
      </c>
      <c r="F804" t="str">
        <f>TRIM(_xlfn.TEXTAFTER(Employee_dataset[[#This Row],[Department_Region]],"-"))</f>
        <v>New York</v>
      </c>
      <c r="G804" t="str">
        <f>TRIM(Employee_dataset[[#This Row],[Status]])</f>
        <v>Active</v>
      </c>
      <c r="H804" s="1">
        <f>_xlfn.LET(
     _xlpm.d, Employee_dataset[[#This Row],[Join_Date]],
     IF(
        ISNUMBER(_xlpm.d),_xlpm.d,""
       )
    )</f>
        <v>44468</v>
      </c>
      <c r="I804" s="6">
        <f>_xlfn.LET(
     _xlpm.s, TRIM(Employee_dataset[[#This Row],[Salary]]),
     IF(
        UPPER(_xlpm.s)="N/A","",
        IF(
           ISNUMBER(--_xlpm.s),ROUND(_xlfn.NUMBERVALUE(_xlpm.s),2),""
          )
       )
    )</f>
        <v>92928.4</v>
      </c>
      <c r="J804" t="str">
        <f>TRIM(Employee_dataset[[#This Row],[Email]])</f>
        <v>eva.smith@example.com</v>
      </c>
      <c r="K804" t="str">
        <f>_xlfn.LET(
     _xlpm.p,TRIM(SUBSTITUTE(Employee_dataset[[#This Row],[Phone]],"-","")),
     IF(
        LEN(_xlpm.p)=10,_xlfn.CONCAT("("&amp;LEFT(_xlpm.p,3)&amp;") "&amp;MID(_xlpm.p,4,3)&amp;"-"&amp;RIGHT(_xlpm.p,4),"")
       )
     )</f>
        <v>(662) 705-1156</v>
      </c>
      <c r="L804" t="str">
        <f>TRIM(Employee_dataset[[#This Row],[Performance_Score]])</f>
        <v>Poor</v>
      </c>
      <c r="M804" t="str">
        <f>TRIM(Employee_dataset[[#This Row],[Remote_Work]])</f>
        <v>TRUE</v>
      </c>
    </row>
    <row r="805" spans="1:13" x14ac:dyDescent="0.3">
      <c r="A805" t="str">
        <f>TRIM(Employee_dataset[[#This Row],[Employee_ID]])</f>
        <v>EMP1803</v>
      </c>
      <c r="B805" t="str">
        <f>PROPER(TRIM(Employee_dataset[[#This Row],[First_Name]]))</f>
        <v>Heidi</v>
      </c>
      <c r="C805" t="str">
        <f>PROPER(TRIM(Employee_dataset[[#This Row],[Last_Name]]))</f>
        <v>Smith</v>
      </c>
      <c r="D805" s="6" t="str">
        <f>_xlfn.LET(
     _xlpm.a, TRIM(Employee_dataset[[#This Row],[Age]]),
     IF(
        _xlpm.a="","",
        IF(
           AND(ISNUMBER(--_xlpm.a),LEN(_xlpm.a)=2),_xlpm.a,""
          )
       )
    )</f>
        <v>25</v>
      </c>
      <c r="E805" t="str">
        <f>TRIM(_xlfn.TEXTBEFORE(Employee_dataset[[#This Row],[Department_Region]],"-"))</f>
        <v>Admin</v>
      </c>
      <c r="F805" t="str">
        <f>TRIM(_xlfn.TEXTAFTER(Employee_dataset[[#This Row],[Department_Region]],"-"))</f>
        <v>Texas</v>
      </c>
      <c r="G805" t="str">
        <f>TRIM(Employee_dataset[[#This Row],[Status]])</f>
        <v>Inactive</v>
      </c>
      <c r="H805" s="1">
        <f>_xlfn.LET(
     _xlpm.d, Employee_dataset[[#This Row],[Join_Date]],
     IF(
        ISNUMBER(_xlpm.d),_xlpm.d,""
       )
    )</f>
        <v>45214</v>
      </c>
      <c r="I805" s="6">
        <f>_xlfn.LET(
     _xlpm.s, TRIM(Employee_dataset[[#This Row],[Salary]]),
     IF(
        UPPER(_xlpm.s)="N/A","",
        IF(
           ISNUMBER(--_xlpm.s),ROUND(_xlfn.NUMBERVALUE(_xlpm.s),2),""
          )
       )
    )</f>
        <v>53531.92</v>
      </c>
      <c r="J805" t="str">
        <f>TRIM(Employee_dataset[[#This Row],[Email]])</f>
        <v>heidi.smith@example.com</v>
      </c>
      <c r="K805" t="str">
        <f>_xlfn.LET(
     _xlpm.p,TRIM(SUBSTITUTE(Employee_dataset[[#This Row],[Phone]],"-","")),
     IF(
        LEN(_xlpm.p)=10,_xlfn.CONCAT("("&amp;LEFT(_xlpm.p,3)&amp;") "&amp;MID(_xlpm.p,4,3)&amp;"-"&amp;RIGHT(_xlpm.p,4),"")
       )
     )</f>
        <v>(942) 387-3669</v>
      </c>
      <c r="L805" t="str">
        <f>TRIM(Employee_dataset[[#This Row],[Performance_Score]])</f>
        <v>Poor</v>
      </c>
      <c r="M805" t="str">
        <f>TRIM(Employee_dataset[[#This Row],[Remote_Work]])</f>
        <v>TRUE</v>
      </c>
    </row>
    <row r="806" spans="1:13" x14ac:dyDescent="0.3">
      <c r="A806" t="str">
        <f>TRIM(Employee_dataset[[#This Row],[Employee_ID]])</f>
        <v>EMP1804</v>
      </c>
      <c r="B806" t="str">
        <f>PROPER(TRIM(Employee_dataset[[#This Row],[First_Name]]))</f>
        <v>Bob</v>
      </c>
      <c r="C806" t="str">
        <f>PROPER(TRIM(Employee_dataset[[#This Row],[Last_Name]]))</f>
        <v>Miller</v>
      </c>
      <c r="D806" s="6" t="str">
        <f>_xlfn.LET(
     _xlpm.a, TRIM(Employee_dataset[[#This Row],[Age]]),
     IF(
        _xlpm.a="","",
        IF(
           AND(ISNUMBER(--_xlpm.a),LEN(_xlpm.a)=2),_xlpm.a,""
          )
       )
    )</f>
        <v>40</v>
      </c>
      <c r="E806" t="str">
        <f>TRIM(_xlfn.TEXTBEFORE(Employee_dataset[[#This Row],[Department_Region]],"-"))</f>
        <v>Finance</v>
      </c>
      <c r="F806" t="str">
        <f>TRIM(_xlfn.TEXTAFTER(Employee_dataset[[#This Row],[Department_Region]],"-"))</f>
        <v>New York</v>
      </c>
      <c r="G806" t="str">
        <f>TRIM(Employee_dataset[[#This Row],[Status]])</f>
        <v>Pending</v>
      </c>
      <c r="H806" s="1">
        <f>_xlfn.LET(
     _xlpm.d, Employee_dataset[[#This Row],[Join_Date]],
     IF(
        ISNUMBER(_xlpm.d),_xlpm.d,""
       )
    )</f>
        <v>45051</v>
      </c>
      <c r="I806" s="6">
        <f>_xlfn.LET(
     _xlpm.s, TRIM(Employee_dataset[[#This Row],[Salary]]),
     IF(
        UPPER(_xlpm.s)="N/A","",
        IF(
           ISNUMBER(--_xlpm.s),ROUND(_xlfn.NUMBERVALUE(_xlpm.s),2),""
          )
       )
    )</f>
        <v>112389.31</v>
      </c>
      <c r="J806" t="str">
        <f>TRIM(Employee_dataset[[#This Row],[Email]])</f>
        <v>bob.miller@example.com</v>
      </c>
      <c r="K806" t="str">
        <f>_xlfn.LET(
     _xlpm.p,TRIM(SUBSTITUTE(Employee_dataset[[#This Row],[Phone]],"-","")),
     IF(
        LEN(_xlpm.p)=10,_xlfn.CONCAT("("&amp;LEFT(_xlpm.p,3)&amp;") "&amp;MID(_xlpm.p,4,3)&amp;"-"&amp;RIGHT(_xlpm.p,4),"")
       )
     )</f>
        <v>(425) 496-9191</v>
      </c>
      <c r="L806" t="str">
        <f>TRIM(Employee_dataset[[#This Row],[Performance_Score]])</f>
        <v>Excellent</v>
      </c>
      <c r="M806" t="str">
        <f>TRIM(Employee_dataset[[#This Row],[Remote_Work]])</f>
        <v>FALSE</v>
      </c>
    </row>
    <row r="807" spans="1:13" x14ac:dyDescent="0.3">
      <c r="A807" t="str">
        <f>TRIM(Employee_dataset[[#This Row],[Employee_ID]])</f>
        <v>EMP1805</v>
      </c>
      <c r="B807" t="str">
        <f>PROPER(TRIM(Employee_dataset[[#This Row],[First_Name]]))</f>
        <v>Heidi</v>
      </c>
      <c r="C807" t="str">
        <f>PROPER(TRIM(Employee_dataset[[#This Row],[Last_Name]]))</f>
        <v>Brown</v>
      </c>
      <c r="D807" s="6" t="str">
        <f>_xlfn.LET(
     _xlpm.a, TRIM(Employee_dataset[[#This Row],[Age]]),
     IF(
        _xlpm.a="","",
        IF(
           AND(ISNUMBER(--_xlpm.a),LEN(_xlpm.a)=2),_xlpm.a,""
          )
       )
    )</f>
        <v/>
      </c>
      <c r="E807" t="str">
        <f>TRIM(_xlfn.TEXTBEFORE(Employee_dataset[[#This Row],[Department_Region]],"-"))</f>
        <v>HR</v>
      </c>
      <c r="F807" t="str">
        <f>TRIM(_xlfn.TEXTAFTER(Employee_dataset[[#This Row],[Department_Region]],"-"))</f>
        <v>California</v>
      </c>
      <c r="G807" t="str">
        <f>TRIM(Employee_dataset[[#This Row],[Status]])</f>
        <v>Inactive</v>
      </c>
      <c r="H807" s="1">
        <f>_xlfn.LET(
     _xlpm.d, Employee_dataset[[#This Row],[Join_Date]],
     IF(
        ISNUMBER(_xlpm.d),_xlpm.d,""
       )
    )</f>
        <v>45505</v>
      </c>
      <c r="I807" s="6">
        <f>_xlfn.LET(
     _xlpm.s, TRIM(Employee_dataset[[#This Row],[Salary]]),
     IF(
        UPPER(_xlpm.s)="N/A","",
        IF(
           ISNUMBER(--_xlpm.s),ROUND(_xlfn.NUMBERVALUE(_xlpm.s),2),""
          )
       )
    )</f>
        <v>63870.3</v>
      </c>
      <c r="J807" t="str">
        <f>TRIM(Employee_dataset[[#This Row],[Email]])</f>
        <v>heidi.brown@example.com</v>
      </c>
      <c r="K807" t="str">
        <f>_xlfn.LET(
     _xlpm.p,TRIM(SUBSTITUTE(Employee_dataset[[#This Row],[Phone]],"-","")),
     IF(
        LEN(_xlpm.p)=10,_xlfn.CONCAT("("&amp;LEFT(_xlpm.p,3)&amp;") "&amp;MID(_xlpm.p,4,3)&amp;"-"&amp;RIGHT(_xlpm.p,4),"")
       )
     )</f>
        <v>(845) 525-9709</v>
      </c>
      <c r="L807" t="str">
        <f>TRIM(Employee_dataset[[#This Row],[Performance_Score]])</f>
        <v>Excellent</v>
      </c>
      <c r="M807" t="str">
        <f>TRIM(Employee_dataset[[#This Row],[Remote_Work]])</f>
        <v>FALSE</v>
      </c>
    </row>
    <row r="808" spans="1:13" x14ac:dyDescent="0.3">
      <c r="A808" t="str">
        <f>TRIM(Employee_dataset[[#This Row],[Employee_ID]])</f>
        <v>EMP1806</v>
      </c>
      <c r="B808" t="str">
        <f>PROPER(TRIM(Employee_dataset[[#This Row],[First_Name]]))</f>
        <v>Bob</v>
      </c>
      <c r="C808" t="str">
        <f>PROPER(TRIM(Employee_dataset[[#This Row],[Last_Name]]))</f>
        <v>Garcia</v>
      </c>
      <c r="D808" s="6" t="str">
        <f>_xlfn.LET(
     _xlpm.a, TRIM(Employee_dataset[[#This Row],[Age]]),
     IF(
        _xlpm.a="","",
        IF(
           AND(ISNUMBER(--_xlpm.a),LEN(_xlpm.a)=2),_xlpm.a,""
          )
       )
    )</f>
        <v>40</v>
      </c>
      <c r="E808" t="str">
        <f>TRIM(_xlfn.TEXTBEFORE(Employee_dataset[[#This Row],[Department_Region]],"-"))</f>
        <v>Sales</v>
      </c>
      <c r="F808" t="str">
        <f>TRIM(_xlfn.TEXTAFTER(Employee_dataset[[#This Row],[Department_Region]],"-"))</f>
        <v>New York</v>
      </c>
      <c r="G808" t="str">
        <f>TRIM(Employee_dataset[[#This Row],[Status]])</f>
        <v>Active</v>
      </c>
      <c r="H808" s="1">
        <f>_xlfn.LET(
     _xlpm.d, Employee_dataset[[#This Row],[Join_Date]],
     IF(
        ISNUMBER(_xlpm.d),_xlpm.d,""
       )
    )</f>
        <v>45495</v>
      </c>
      <c r="I808" s="6">
        <f>_xlfn.LET(
     _xlpm.s, TRIM(Employee_dataset[[#This Row],[Salary]]),
     IF(
        UPPER(_xlpm.s)="N/A","",
        IF(
           ISNUMBER(--_xlpm.s),ROUND(_xlfn.NUMBERVALUE(_xlpm.s),2),""
          )
       )
    )</f>
        <v>106164.53</v>
      </c>
      <c r="J808" t="str">
        <f>TRIM(Employee_dataset[[#This Row],[Email]])</f>
        <v>bob.garcia@example.com</v>
      </c>
      <c r="K808" t="str">
        <f>_xlfn.LET(
     _xlpm.p,TRIM(SUBSTITUTE(Employee_dataset[[#This Row],[Phone]],"-","")),
     IF(
        LEN(_xlpm.p)=10,_xlfn.CONCAT("("&amp;LEFT(_xlpm.p,3)&amp;") "&amp;MID(_xlpm.p,4,3)&amp;"-"&amp;RIGHT(_xlpm.p,4),"")
       )
     )</f>
        <v>(756) 335-3573</v>
      </c>
      <c r="L808" t="str">
        <f>TRIM(Employee_dataset[[#This Row],[Performance_Score]])</f>
        <v>Good</v>
      </c>
      <c r="M808" t="str">
        <f>TRIM(Employee_dataset[[#This Row],[Remote_Work]])</f>
        <v>FALSE</v>
      </c>
    </row>
    <row r="809" spans="1:13" x14ac:dyDescent="0.3">
      <c r="A809" t="str">
        <f>TRIM(Employee_dataset[[#This Row],[Employee_ID]])</f>
        <v>EMP1807</v>
      </c>
      <c r="B809" t="str">
        <f>PROPER(TRIM(Employee_dataset[[#This Row],[First_Name]]))</f>
        <v>Bob</v>
      </c>
      <c r="C809" t="str">
        <f>PROPER(TRIM(Employee_dataset[[#This Row],[Last_Name]]))</f>
        <v>Smith</v>
      </c>
      <c r="D809" s="6" t="str">
        <f>_xlfn.LET(
     _xlpm.a, TRIM(Employee_dataset[[#This Row],[Age]]),
     IF(
        _xlpm.a="","",
        IF(
           AND(ISNUMBER(--_xlpm.a),LEN(_xlpm.a)=2),_xlpm.a,""
          )
       )
    )</f>
        <v>40</v>
      </c>
      <c r="E809" t="str">
        <f>TRIM(_xlfn.TEXTBEFORE(Employee_dataset[[#This Row],[Department_Region]],"-"))</f>
        <v>HR</v>
      </c>
      <c r="F809" t="str">
        <f>TRIM(_xlfn.TEXTAFTER(Employee_dataset[[#This Row],[Department_Region]],"-"))</f>
        <v>Nevada</v>
      </c>
      <c r="G809" t="str">
        <f>TRIM(Employee_dataset[[#This Row],[Status]])</f>
        <v>Pending</v>
      </c>
      <c r="H809" s="1">
        <f>_xlfn.LET(
     _xlpm.d, Employee_dataset[[#This Row],[Join_Date]],
     IF(
        ISNUMBER(_xlpm.d),_xlpm.d,""
       )
    )</f>
        <v>45285</v>
      </c>
      <c r="I809" s="6">
        <f>_xlfn.LET(
     _xlpm.s, TRIM(Employee_dataset[[#This Row],[Salary]]),
     IF(
        UPPER(_xlpm.s)="N/A","",
        IF(
           ISNUMBER(--_xlpm.s),ROUND(_xlfn.NUMBERVALUE(_xlpm.s),2),""
          )
       )
    )</f>
        <v>103654.54</v>
      </c>
      <c r="J809" t="str">
        <f>TRIM(Employee_dataset[[#This Row],[Email]])</f>
        <v>bob.smith@example.com</v>
      </c>
      <c r="K809" t="str">
        <f>_xlfn.LET(
     _xlpm.p,TRIM(SUBSTITUTE(Employee_dataset[[#This Row],[Phone]],"-","")),
     IF(
        LEN(_xlpm.p)=10,_xlfn.CONCAT("("&amp;LEFT(_xlpm.p,3)&amp;") "&amp;MID(_xlpm.p,4,3)&amp;"-"&amp;RIGHT(_xlpm.p,4),"")
       )
     )</f>
        <v>(859) 532-5938</v>
      </c>
      <c r="L809" t="str">
        <f>TRIM(Employee_dataset[[#This Row],[Performance_Score]])</f>
        <v>Poor</v>
      </c>
      <c r="M809" t="str">
        <f>TRIM(Employee_dataset[[#This Row],[Remote_Work]])</f>
        <v>FALSE</v>
      </c>
    </row>
    <row r="810" spans="1:13" x14ac:dyDescent="0.3">
      <c r="A810" t="str">
        <f>TRIM(Employee_dataset[[#This Row],[Employee_ID]])</f>
        <v>EMP1808</v>
      </c>
      <c r="B810" t="str">
        <f>PROPER(TRIM(Employee_dataset[[#This Row],[First_Name]]))</f>
        <v>David</v>
      </c>
      <c r="C810" t="str">
        <f>PROPER(TRIM(Employee_dataset[[#This Row],[Last_Name]]))</f>
        <v>Miller</v>
      </c>
      <c r="D810" s="6" t="str">
        <f>_xlfn.LET(
     _xlpm.a, TRIM(Employee_dataset[[#This Row],[Age]]),
     IF(
        _xlpm.a="","",
        IF(
           AND(ISNUMBER(--_xlpm.a),LEN(_xlpm.a)=2),_xlpm.a,""
          )
       )
    )</f>
        <v>30</v>
      </c>
      <c r="E810" t="str">
        <f>TRIM(_xlfn.TEXTBEFORE(Employee_dataset[[#This Row],[Department_Region]],"-"))</f>
        <v>Sales</v>
      </c>
      <c r="F810" t="str">
        <f>TRIM(_xlfn.TEXTAFTER(Employee_dataset[[#This Row],[Department_Region]],"-"))</f>
        <v>California</v>
      </c>
      <c r="G810" t="str">
        <f>TRIM(Employee_dataset[[#This Row],[Status]])</f>
        <v>Inactive</v>
      </c>
      <c r="H810" s="1">
        <f>_xlfn.LET(
     _xlpm.d, Employee_dataset[[#This Row],[Join_Date]],
     IF(
        ISNUMBER(_xlpm.d),_xlpm.d,""
       )
    )</f>
        <v>44633</v>
      </c>
      <c r="I810" s="6">
        <f>_xlfn.LET(
     _xlpm.s, TRIM(Employee_dataset[[#This Row],[Salary]]),
     IF(
        UPPER(_xlpm.s)="N/A","",
        IF(
           ISNUMBER(--_xlpm.s),ROUND(_xlfn.NUMBERVALUE(_xlpm.s),2),""
          )
       )
    )</f>
        <v>62834.720000000001</v>
      </c>
      <c r="J810" t="str">
        <f>TRIM(Employee_dataset[[#This Row],[Email]])</f>
        <v>david.miller@example.com</v>
      </c>
      <c r="K810" t="str">
        <f>_xlfn.LET(
     _xlpm.p,TRIM(SUBSTITUTE(Employee_dataset[[#This Row],[Phone]],"-","")),
     IF(
        LEN(_xlpm.p)=10,_xlfn.CONCAT("("&amp;LEFT(_xlpm.p,3)&amp;") "&amp;MID(_xlpm.p,4,3)&amp;"-"&amp;RIGHT(_xlpm.p,4),"")
       )
     )</f>
        <v>(933) 797-0580</v>
      </c>
      <c r="L810" t="str">
        <f>TRIM(Employee_dataset[[#This Row],[Performance_Score]])</f>
        <v>Good</v>
      </c>
      <c r="M810" t="str">
        <f>TRIM(Employee_dataset[[#This Row],[Remote_Work]])</f>
        <v>TRUE</v>
      </c>
    </row>
    <row r="811" spans="1:13" x14ac:dyDescent="0.3">
      <c r="A811" t="str">
        <f>TRIM(Employee_dataset[[#This Row],[Employee_ID]])</f>
        <v>EMP1809</v>
      </c>
      <c r="B811" t="str">
        <f>PROPER(TRIM(Employee_dataset[[#This Row],[First_Name]]))</f>
        <v>Frank</v>
      </c>
      <c r="C811" t="str">
        <f>PROPER(TRIM(Employee_dataset[[#This Row],[Last_Name]]))</f>
        <v>Jones</v>
      </c>
      <c r="D811" s="6" t="str">
        <f>_xlfn.LET(
     _xlpm.a, TRIM(Employee_dataset[[#This Row],[Age]]),
     IF(
        _xlpm.a="","",
        IF(
           AND(ISNUMBER(--_xlpm.a),LEN(_xlpm.a)=2),_xlpm.a,""
          )
       )
    )</f>
        <v>35</v>
      </c>
      <c r="E811" t="str">
        <f>TRIM(_xlfn.TEXTBEFORE(Employee_dataset[[#This Row],[Department_Region]],"-"))</f>
        <v>Finance</v>
      </c>
      <c r="F811" t="str">
        <f>TRIM(_xlfn.TEXTAFTER(Employee_dataset[[#This Row],[Department_Region]],"-"))</f>
        <v>Florida</v>
      </c>
      <c r="G811" t="str">
        <f>TRIM(Employee_dataset[[#This Row],[Status]])</f>
        <v>Active</v>
      </c>
      <c r="H811" s="1">
        <f>_xlfn.LET(
     _xlpm.d, Employee_dataset[[#This Row],[Join_Date]],
     IF(
        ISNUMBER(_xlpm.d),_xlpm.d,""
       )
    )</f>
        <v>43964</v>
      </c>
      <c r="I811" s="6">
        <f>_xlfn.LET(
     _xlpm.s, TRIM(Employee_dataset[[#This Row],[Salary]]),
     IF(
        UPPER(_xlpm.s)="N/A","",
        IF(
           ISNUMBER(--_xlpm.s),ROUND(_xlfn.NUMBERVALUE(_xlpm.s),2),""
          )
       )
    )</f>
        <v>83273.41</v>
      </c>
      <c r="J811" t="str">
        <f>TRIM(Employee_dataset[[#This Row],[Email]])</f>
        <v>frank.jones@example.com</v>
      </c>
      <c r="K811" t="str">
        <f>_xlfn.LET(
     _xlpm.p,TRIM(SUBSTITUTE(Employee_dataset[[#This Row],[Phone]],"-","")),
     IF(
        LEN(_xlpm.p)=10,_xlfn.CONCAT("("&amp;LEFT(_xlpm.p,3)&amp;") "&amp;MID(_xlpm.p,4,3)&amp;"-"&amp;RIGHT(_xlpm.p,4),"")
       )
     )</f>
        <v>(629) 518-7793</v>
      </c>
      <c r="L811" t="str">
        <f>TRIM(Employee_dataset[[#This Row],[Performance_Score]])</f>
        <v>Excellent</v>
      </c>
      <c r="M811" t="str">
        <f>TRIM(Employee_dataset[[#This Row],[Remote_Work]])</f>
        <v>FALSE</v>
      </c>
    </row>
    <row r="812" spans="1:13" x14ac:dyDescent="0.3">
      <c r="A812" t="str">
        <f>TRIM(Employee_dataset[[#This Row],[Employee_ID]])</f>
        <v>EMP1810</v>
      </c>
      <c r="B812" t="str">
        <f>PROPER(TRIM(Employee_dataset[[#This Row],[First_Name]]))</f>
        <v>Heidi</v>
      </c>
      <c r="C812" t="str">
        <f>PROPER(TRIM(Employee_dataset[[#This Row],[Last_Name]]))</f>
        <v>Williams</v>
      </c>
      <c r="D812" s="6" t="str">
        <f>_xlfn.LET(
     _xlpm.a, TRIM(Employee_dataset[[#This Row],[Age]]),
     IF(
        _xlpm.a="","",
        IF(
           AND(ISNUMBER(--_xlpm.a),LEN(_xlpm.a)=2),_xlpm.a,""
          )
       )
    )</f>
        <v>30</v>
      </c>
      <c r="E812" t="str">
        <f>TRIM(_xlfn.TEXTBEFORE(Employee_dataset[[#This Row],[Department_Region]],"-"))</f>
        <v>HR</v>
      </c>
      <c r="F812" t="str">
        <f>TRIM(_xlfn.TEXTAFTER(Employee_dataset[[#This Row],[Department_Region]],"-"))</f>
        <v>California</v>
      </c>
      <c r="G812" t="str">
        <f>TRIM(Employee_dataset[[#This Row],[Status]])</f>
        <v>Pending</v>
      </c>
      <c r="H812" s="1">
        <f>_xlfn.LET(
     _xlpm.d, Employee_dataset[[#This Row],[Join_Date]],
     IF(
        ISNUMBER(_xlpm.d),_xlpm.d,""
       )
    )</f>
        <v>45007</v>
      </c>
      <c r="I812" s="6">
        <f>_xlfn.LET(
     _xlpm.s, TRIM(Employee_dataset[[#This Row],[Salary]]),
     IF(
        UPPER(_xlpm.s)="N/A","",
        IF(
           ISNUMBER(--_xlpm.s),ROUND(_xlfn.NUMBERVALUE(_xlpm.s),2),""
          )
       )
    )</f>
        <v>58917.58</v>
      </c>
      <c r="J812" t="str">
        <f>TRIM(Employee_dataset[[#This Row],[Email]])</f>
        <v>heidi.williams@example.com</v>
      </c>
      <c r="K812" t="str">
        <f>_xlfn.LET(
     _xlpm.p,TRIM(SUBSTITUTE(Employee_dataset[[#This Row],[Phone]],"-","")),
     IF(
        LEN(_xlpm.p)=10,_xlfn.CONCAT("("&amp;LEFT(_xlpm.p,3)&amp;") "&amp;MID(_xlpm.p,4,3)&amp;"-"&amp;RIGHT(_xlpm.p,4),"")
       )
     )</f>
        <v>(176) 342-5072</v>
      </c>
      <c r="L812" t="str">
        <f>TRIM(Employee_dataset[[#This Row],[Performance_Score]])</f>
        <v>Good</v>
      </c>
      <c r="M812" t="str">
        <f>TRIM(Employee_dataset[[#This Row],[Remote_Work]])</f>
        <v>FALSE</v>
      </c>
    </row>
    <row r="813" spans="1:13" x14ac:dyDescent="0.3">
      <c r="A813" t="str">
        <f>TRIM(Employee_dataset[[#This Row],[Employee_ID]])</f>
        <v>EMP1811</v>
      </c>
      <c r="B813" t="str">
        <f>PROPER(TRIM(Employee_dataset[[#This Row],[First_Name]]))</f>
        <v>Bob</v>
      </c>
      <c r="C813" t="str">
        <f>PROPER(TRIM(Employee_dataset[[#This Row],[Last_Name]]))</f>
        <v>Williams</v>
      </c>
      <c r="D813" s="6" t="str">
        <f>_xlfn.LET(
     _xlpm.a, TRIM(Employee_dataset[[#This Row],[Age]]),
     IF(
        _xlpm.a="","",
        IF(
           AND(ISNUMBER(--_xlpm.a),LEN(_xlpm.a)=2),_xlpm.a,""
          )
       )
    )</f>
        <v>35</v>
      </c>
      <c r="E813" t="str">
        <f>TRIM(_xlfn.TEXTBEFORE(Employee_dataset[[#This Row],[Department_Region]],"-"))</f>
        <v>Sales</v>
      </c>
      <c r="F813" t="str">
        <f>TRIM(_xlfn.TEXTAFTER(Employee_dataset[[#This Row],[Department_Region]],"-"))</f>
        <v>Nevada</v>
      </c>
      <c r="G813" t="str">
        <f>TRIM(Employee_dataset[[#This Row],[Status]])</f>
        <v>Active</v>
      </c>
      <c r="H813" s="1">
        <f>_xlfn.LET(
     _xlpm.d, Employee_dataset[[#This Row],[Join_Date]],
     IF(
        ISNUMBER(_xlpm.d),_xlpm.d,""
       )
    )</f>
        <v>45453</v>
      </c>
      <c r="I813" s="6">
        <f>_xlfn.LET(
     _xlpm.s, TRIM(Employee_dataset[[#This Row],[Salary]]),
     IF(
        UPPER(_xlpm.s)="N/A","",
        IF(
           ISNUMBER(--_xlpm.s),ROUND(_xlfn.NUMBERVALUE(_xlpm.s),2),""
          )
       )
    )</f>
        <v>71148.27</v>
      </c>
      <c r="J813" t="str">
        <f>TRIM(Employee_dataset[[#This Row],[Email]])</f>
        <v>bob.williams@example.com</v>
      </c>
      <c r="K813" t="str">
        <f>_xlfn.LET(
     _xlpm.p,TRIM(SUBSTITUTE(Employee_dataset[[#This Row],[Phone]],"-","")),
     IF(
        LEN(_xlpm.p)=10,_xlfn.CONCAT("("&amp;LEFT(_xlpm.p,3)&amp;") "&amp;MID(_xlpm.p,4,3)&amp;"-"&amp;RIGHT(_xlpm.p,4),"")
       )
     )</f>
        <v>(305) 597-8244</v>
      </c>
      <c r="L813" t="str">
        <f>TRIM(Employee_dataset[[#This Row],[Performance_Score]])</f>
        <v>Excellent</v>
      </c>
      <c r="M813" t="str">
        <f>TRIM(Employee_dataset[[#This Row],[Remote_Work]])</f>
        <v>TRUE</v>
      </c>
    </row>
    <row r="814" spans="1:13" x14ac:dyDescent="0.3">
      <c r="A814" t="str">
        <f>TRIM(Employee_dataset[[#This Row],[Employee_ID]])</f>
        <v>EMP1812</v>
      </c>
      <c r="B814" t="str">
        <f>PROPER(TRIM(Employee_dataset[[#This Row],[First_Name]]))</f>
        <v>Grace</v>
      </c>
      <c r="C814" t="str">
        <f>PROPER(TRIM(Employee_dataset[[#This Row],[Last_Name]]))</f>
        <v>Smith</v>
      </c>
      <c r="D814" s="6" t="str">
        <f>_xlfn.LET(
     _xlpm.a, TRIM(Employee_dataset[[#This Row],[Age]]),
     IF(
        _xlpm.a="","",
        IF(
           AND(ISNUMBER(--_xlpm.a),LEN(_xlpm.a)=2),_xlpm.a,""
          )
       )
    )</f>
        <v>30</v>
      </c>
      <c r="E814" t="str">
        <f>TRIM(_xlfn.TEXTBEFORE(Employee_dataset[[#This Row],[Department_Region]],"-"))</f>
        <v>Sales</v>
      </c>
      <c r="F814" t="str">
        <f>TRIM(_xlfn.TEXTAFTER(Employee_dataset[[#This Row],[Department_Region]],"-"))</f>
        <v>New York</v>
      </c>
      <c r="G814" t="str">
        <f>TRIM(Employee_dataset[[#This Row],[Status]])</f>
        <v>Pending</v>
      </c>
      <c r="H814" s="1">
        <f>_xlfn.LET(
     _xlpm.d, Employee_dataset[[#This Row],[Join_Date]],
     IF(
        ISNUMBER(_xlpm.d),_xlpm.d,""
       )
    )</f>
        <v>44156</v>
      </c>
      <c r="I814" s="6">
        <f>_xlfn.LET(
     _xlpm.s, TRIM(Employee_dataset[[#This Row],[Salary]]),
     IF(
        UPPER(_xlpm.s)="N/A","",
        IF(
           ISNUMBER(--_xlpm.s),ROUND(_xlfn.NUMBERVALUE(_xlpm.s),2),""
          )
       )
    )</f>
        <v>118172.42</v>
      </c>
      <c r="J814" t="str">
        <f>TRIM(Employee_dataset[[#This Row],[Email]])</f>
        <v>grace.smith@example.com</v>
      </c>
      <c r="K814" t="str">
        <f>_xlfn.LET(
     _xlpm.p,TRIM(SUBSTITUTE(Employee_dataset[[#This Row],[Phone]],"-","")),
     IF(
        LEN(_xlpm.p)=10,_xlfn.CONCAT("("&amp;LEFT(_xlpm.p,3)&amp;") "&amp;MID(_xlpm.p,4,3)&amp;"-"&amp;RIGHT(_xlpm.p,4),"")
       )
     )</f>
        <v>(759) 833-9913</v>
      </c>
      <c r="L814" t="str">
        <f>TRIM(Employee_dataset[[#This Row],[Performance_Score]])</f>
        <v>Poor</v>
      </c>
      <c r="M814" t="str">
        <f>TRIM(Employee_dataset[[#This Row],[Remote_Work]])</f>
        <v>TRUE</v>
      </c>
    </row>
    <row r="815" spans="1:13" x14ac:dyDescent="0.3">
      <c r="A815" t="str">
        <f>TRIM(Employee_dataset[[#This Row],[Employee_ID]])</f>
        <v>EMP1813</v>
      </c>
      <c r="B815" t="str">
        <f>PROPER(TRIM(Employee_dataset[[#This Row],[First_Name]]))</f>
        <v>Frank</v>
      </c>
      <c r="C815" t="str">
        <f>PROPER(TRIM(Employee_dataset[[#This Row],[Last_Name]]))</f>
        <v>Brown</v>
      </c>
      <c r="D815" s="6" t="str">
        <f>_xlfn.LET(
     _xlpm.a, TRIM(Employee_dataset[[#This Row],[Age]]),
     IF(
        _xlpm.a="","",
        IF(
           AND(ISNUMBER(--_xlpm.a),LEN(_xlpm.a)=2),_xlpm.a,""
          )
       )
    )</f>
        <v>30</v>
      </c>
      <c r="E815" t="str">
        <f>TRIM(_xlfn.TEXTBEFORE(Employee_dataset[[#This Row],[Department_Region]],"-"))</f>
        <v>DevOps</v>
      </c>
      <c r="F815" t="str">
        <f>TRIM(_xlfn.TEXTAFTER(Employee_dataset[[#This Row],[Department_Region]],"-"))</f>
        <v>Illinois</v>
      </c>
      <c r="G815" t="str">
        <f>TRIM(Employee_dataset[[#This Row],[Status]])</f>
        <v>Inactive</v>
      </c>
      <c r="H815" s="1">
        <f>_xlfn.LET(
     _xlpm.d, Employee_dataset[[#This Row],[Join_Date]],
     IF(
        ISNUMBER(_xlpm.d),_xlpm.d,""
       )
    )</f>
        <v>45437</v>
      </c>
      <c r="I815" s="6">
        <f>_xlfn.LET(
     _xlpm.s, TRIM(Employee_dataset[[#This Row],[Salary]]),
     IF(
        UPPER(_xlpm.s)="N/A","",
        IF(
           ISNUMBER(--_xlpm.s),ROUND(_xlfn.NUMBERVALUE(_xlpm.s),2),""
          )
       )
    )</f>
        <v>118614.37</v>
      </c>
      <c r="J815" t="str">
        <f>TRIM(Employee_dataset[[#This Row],[Email]])</f>
        <v>frank.brown@example.com</v>
      </c>
      <c r="K815" t="b">
        <f>_xlfn.LET(
     _xlpm.p,TRIM(SUBSTITUTE(Employee_dataset[[#This Row],[Phone]],"-","")),
     IF(
        LEN(_xlpm.p)=10,_xlfn.CONCAT("("&amp;LEFT(_xlpm.p,3)&amp;") "&amp;MID(_xlpm.p,4,3)&amp;"-"&amp;RIGHT(_xlpm.p,4),"")
       )
     )</f>
        <v>0</v>
      </c>
      <c r="L815" t="str">
        <f>TRIM(Employee_dataset[[#This Row],[Performance_Score]])</f>
        <v>Average</v>
      </c>
      <c r="M815" t="str">
        <f>TRIM(Employee_dataset[[#This Row],[Remote_Work]])</f>
        <v>FALSE</v>
      </c>
    </row>
    <row r="816" spans="1:13" x14ac:dyDescent="0.3">
      <c r="A816" t="str">
        <f>TRIM(Employee_dataset[[#This Row],[Employee_ID]])</f>
        <v>EMP1814</v>
      </c>
      <c r="B816" t="str">
        <f>PROPER(TRIM(Employee_dataset[[#This Row],[First_Name]]))</f>
        <v>Frank</v>
      </c>
      <c r="C816" t="str">
        <f>PROPER(TRIM(Employee_dataset[[#This Row],[Last_Name]]))</f>
        <v>Brown</v>
      </c>
      <c r="D816" s="6" t="str">
        <f>_xlfn.LET(
     _xlpm.a, TRIM(Employee_dataset[[#This Row],[Age]]),
     IF(
        _xlpm.a="","",
        IF(
           AND(ISNUMBER(--_xlpm.a),LEN(_xlpm.a)=2),_xlpm.a,""
          )
       )
    )</f>
        <v/>
      </c>
      <c r="E816" t="str">
        <f>TRIM(_xlfn.TEXTBEFORE(Employee_dataset[[#This Row],[Department_Region]],"-"))</f>
        <v>DevOps</v>
      </c>
      <c r="F816" t="str">
        <f>TRIM(_xlfn.TEXTAFTER(Employee_dataset[[#This Row],[Department_Region]],"-"))</f>
        <v>New York</v>
      </c>
      <c r="G816" t="str">
        <f>TRIM(Employee_dataset[[#This Row],[Status]])</f>
        <v>Active</v>
      </c>
      <c r="H816" s="1">
        <f>_xlfn.LET(
     _xlpm.d, Employee_dataset[[#This Row],[Join_Date]],
     IF(
        ISNUMBER(_xlpm.d),_xlpm.d,""
       )
    )</f>
        <v>45188</v>
      </c>
      <c r="I816" s="6">
        <f>_xlfn.LET(
     _xlpm.s, TRIM(Employee_dataset[[#This Row],[Salary]]),
     IF(
        UPPER(_xlpm.s)="N/A","",
        IF(
           ISNUMBER(--_xlpm.s),ROUND(_xlfn.NUMBERVALUE(_xlpm.s),2),""
          )
       )
    )</f>
        <v>96872.36</v>
      </c>
      <c r="J816" t="str">
        <f>TRIM(Employee_dataset[[#This Row],[Email]])</f>
        <v>frank.brown@example.com</v>
      </c>
      <c r="K816" t="str">
        <f>_xlfn.LET(
     _xlpm.p,TRIM(SUBSTITUTE(Employee_dataset[[#This Row],[Phone]],"-","")),
     IF(
        LEN(_xlpm.p)=10,_xlfn.CONCAT("("&amp;LEFT(_xlpm.p,3)&amp;") "&amp;MID(_xlpm.p,4,3)&amp;"-"&amp;RIGHT(_xlpm.p,4),"")
       )
     )</f>
        <v>(432) 400-6156</v>
      </c>
      <c r="L816" t="str">
        <f>TRIM(Employee_dataset[[#This Row],[Performance_Score]])</f>
        <v>Poor</v>
      </c>
      <c r="M816" t="str">
        <f>TRIM(Employee_dataset[[#This Row],[Remote_Work]])</f>
        <v>FALSE</v>
      </c>
    </row>
    <row r="817" spans="1:13" x14ac:dyDescent="0.3">
      <c r="A817" t="str">
        <f>TRIM(Employee_dataset[[#This Row],[Employee_ID]])</f>
        <v>EMP1815</v>
      </c>
      <c r="B817" t="str">
        <f>PROPER(TRIM(Employee_dataset[[#This Row],[First_Name]]))</f>
        <v>Heidi</v>
      </c>
      <c r="C817" t="str">
        <f>PROPER(TRIM(Employee_dataset[[#This Row],[Last_Name]]))</f>
        <v>Jones</v>
      </c>
      <c r="D817" s="6" t="str">
        <f>_xlfn.LET(
     _xlpm.a, TRIM(Employee_dataset[[#This Row],[Age]]),
     IF(
        _xlpm.a="","",
        IF(
           AND(ISNUMBER(--_xlpm.a),LEN(_xlpm.a)=2),_xlpm.a,""
          )
       )
    )</f>
        <v>25</v>
      </c>
      <c r="E817" t="str">
        <f>TRIM(_xlfn.TEXTBEFORE(Employee_dataset[[#This Row],[Department_Region]],"-"))</f>
        <v>Sales</v>
      </c>
      <c r="F817" t="str">
        <f>TRIM(_xlfn.TEXTAFTER(Employee_dataset[[#This Row],[Department_Region]],"-"))</f>
        <v>Illinois</v>
      </c>
      <c r="G817" t="str">
        <f>TRIM(Employee_dataset[[#This Row],[Status]])</f>
        <v>Inactive</v>
      </c>
      <c r="H817" s="1">
        <f>_xlfn.LET(
     _xlpm.d, Employee_dataset[[#This Row],[Join_Date]],
     IF(
        ISNUMBER(_xlpm.d),_xlpm.d,""
       )
    )</f>
        <v>44497</v>
      </c>
      <c r="I817" s="6">
        <f>_xlfn.LET(
     _xlpm.s, TRIM(Employee_dataset[[#This Row],[Salary]]),
     IF(
        UPPER(_xlpm.s)="N/A","",
        IF(
           ISNUMBER(--_xlpm.s),ROUND(_xlfn.NUMBERVALUE(_xlpm.s),2),""
          )
       )
    )</f>
        <v>88856.14</v>
      </c>
      <c r="J817" t="str">
        <f>TRIM(Employee_dataset[[#This Row],[Email]])</f>
        <v>heidi.jones@example.com</v>
      </c>
      <c r="K817" t="str">
        <f>_xlfn.LET(
     _xlpm.p,TRIM(SUBSTITUTE(Employee_dataset[[#This Row],[Phone]],"-","")),
     IF(
        LEN(_xlpm.p)=10,_xlfn.CONCAT("("&amp;LEFT(_xlpm.p,3)&amp;") "&amp;MID(_xlpm.p,4,3)&amp;"-"&amp;RIGHT(_xlpm.p,4),"")
       )
     )</f>
        <v>(276) 829-7513</v>
      </c>
      <c r="L817" t="str">
        <f>TRIM(Employee_dataset[[#This Row],[Performance_Score]])</f>
        <v>Good</v>
      </c>
      <c r="M817" t="str">
        <f>TRIM(Employee_dataset[[#This Row],[Remote_Work]])</f>
        <v>TRUE</v>
      </c>
    </row>
    <row r="818" spans="1:13" x14ac:dyDescent="0.3">
      <c r="A818" t="str">
        <f>TRIM(Employee_dataset[[#This Row],[Employee_ID]])</f>
        <v>EMP1816</v>
      </c>
      <c r="B818" t="str">
        <f>PROPER(TRIM(Employee_dataset[[#This Row],[First_Name]]))</f>
        <v>Charlie</v>
      </c>
      <c r="C818" t="str">
        <f>PROPER(TRIM(Employee_dataset[[#This Row],[Last_Name]]))</f>
        <v>Smith</v>
      </c>
      <c r="D818" s="6" t="str">
        <f>_xlfn.LET(
     _xlpm.a, TRIM(Employee_dataset[[#This Row],[Age]]),
     IF(
        _xlpm.a="","",
        IF(
           AND(ISNUMBER(--_xlpm.a),LEN(_xlpm.a)=2),_xlpm.a,""
          )
       )
    )</f>
        <v>35</v>
      </c>
      <c r="E818" t="str">
        <f>TRIM(_xlfn.TEXTBEFORE(Employee_dataset[[#This Row],[Department_Region]],"-"))</f>
        <v>Finance</v>
      </c>
      <c r="F818" t="str">
        <f>TRIM(_xlfn.TEXTAFTER(Employee_dataset[[#This Row],[Department_Region]],"-"))</f>
        <v>Texas</v>
      </c>
      <c r="G818" t="str">
        <f>TRIM(Employee_dataset[[#This Row],[Status]])</f>
        <v>Pending</v>
      </c>
      <c r="H818" s="1">
        <f>_xlfn.LET(
     _xlpm.d, Employee_dataset[[#This Row],[Join_Date]],
     IF(
        ISNUMBER(_xlpm.d),_xlpm.d,""
       )
    )</f>
        <v>44053</v>
      </c>
      <c r="I818" s="6">
        <f>_xlfn.LET(
     _xlpm.s, TRIM(Employee_dataset[[#This Row],[Salary]]),
     IF(
        UPPER(_xlpm.s)="N/A","",
        IF(
           ISNUMBER(--_xlpm.s),ROUND(_xlfn.NUMBERVALUE(_xlpm.s),2),""
          )
       )
    )</f>
        <v>97985.61</v>
      </c>
      <c r="J818" t="str">
        <f>TRIM(Employee_dataset[[#This Row],[Email]])</f>
        <v>charlie.smith@example.com</v>
      </c>
      <c r="K818" t="str">
        <f>_xlfn.LET(
     _xlpm.p,TRIM(SUBSTITUTE(Employee_dataset[[#This Row],[Phone]],"-","")),
     IF(
        LEN(_xlpm.p)=10,_xlfn.CONCAT("("&amp;LEFT(_xlpm.p,3)&amp;") "&amp;MID(_xlpm.p,4,3)&amp;"-"&amp;RIGHT(_xlpm.p,4),"")
       )
     )</f>
        <v>(743) 974-2924</v>
      </c>
      <c r="L818" t="str">
        <f>TRIM(Employee_dataset[[#This Row],[Performance_Score]])</f>
        <v>Good</v>
      </c>
      <c r="M818" t="str">
        <f>TRIM(Employee_dataset[[#This Row],[Remote_Work]])</f>
        <v>FALSE</v>
      </c>
    </row>
    <row r="819" spans="1:13" x14ac:dyDescent="0.3">
      <c r="A819" t="str">
        <f>TRIM(Employee_dataset[[#This Row],[Employee_ID]])</f>
        <v>EMP1817</v>
      </c>
      <c r="B819" t="str">
        <f>PROPER(TRIM(Employee_dataset[[#This Row],[First_Name]]))</f>
        <v>Grace</v>
      </c>
      <c r="C819" t="str">
        <f>PROPER(TRIM(Employee_dataset[[#This Row],[Last_Name]]))</f>
        <v>Williams</v>
      </c>
      <c r="D819" s="6" t="str">
        <f>_xlfn.LET(
     _xlpm.a, TRIM(Employee_dataset[[#This Row],[Age]]),
     IF(
        _xlpm.a="","",
        IF(
           AND(ISNUMBER(--_xlpm.a),LEN(_xlpm.a)=2),_xlpm.a,""
          )
       )
    )</f>
        <v>35</v>
      </c>
      <c r="E819" t="str">
        <f>TRIM(_xlfn.TEXTBEFORE(Employee_dataset[[#This Row],[Department_Region]],"-"))</f>
        <v>Finance</v>
      </c>
      <c r="F819" t="str">
        <f>TRIM(_xlfn.TEXTAFTER(Employee_dataset[[#This Row],[Department_Region]],"-"))</f>
        <v>Nevada</v>
      </c>
      <c r="G819" t="str">
        <f>TRIM(Employee_dataset[[#This Row],[Status]])</f>
        <v>Pending</v>
      </c>
      <c r="H819" s="1">
        <f>_xlfn.LET(
     _xlpm.d, Employee_dataset[[#This Row],[Join_Date]],
     IF(
        ISNUMBER(_xlpm.d),_xlpm.d,""
       )
    )</f>
        <v>43956</v>
      </c>
      <c r="I819" s="6">
        <f>_xlfn.LET(
     _xlpm.s, TRIM(Employee_dataset[[#This Row],[Salary]]),
     IF(
        UPPER(_xlpm.s)="N/A","",
        IF(
           ISNUMBER(--_xlpm.s),ROUND(_xlfn.NUMBERVALUE(_xlpm.s),2),""
          )
       )
    )</f>
        <v>56337.31</v>
      </c>
      <c r="J819" t="str">
        <f>TRIM(Employee_dataset[[#This Row],[Email]])</f>
        <v>grace.williams@example.com</v>
      </c>
      <c r="K819" t="b">
        <f>_xlfn.LET(
     _xlpm.p,TRIM(SUBSTITUTE(Employee_dataset[[#This Row],[Phone]],"-","")),
     IF(
        LEN(_xlpm.p)=10,_xlfn.CONCAT("("&amp;LEFT(_xlpm.p,3)&amp;") "&amp;MID(_xlpm.p,4,3)&amp;"-"&amp;RIGHT(_xlpm.p,4),"")
       )
     )</f>
        <v>0</v>
      </c>
      <c r="L819" t="str">
        <f>TRIM(Employee_dataset[[#This Row],[Performance_Score]])</f>
        <v>Poor</v>
      </c>
      <c r="M819" t="str">
        <f>TRIM(Employee_dataset[[#This Row],[Remote_Work]])</f>
        <v>TRUE</v>
      </c>
    </row>
    <row r="820" spans="1:13" x14ac:dyDescent="0.3">
      <c r="A820" t="str">
        <f>TRIM(Employee_dataset[[#This Row],[Employee_ID]])</f>
        <v>EMP1818</v>
      </c>
      <c r="B820" t="str">
        <f>PROPER(TRIM(Employee_dataset[[#This Row],[First_Name]]))</f>
        <v>Alice</v>
      </c>
      <c r="C820" t="str">
        <f>PROPER(TRIM(Employee_dataset[[#This Row],[Last_Name]]))</f>
        <v>Brown</v>
      </c>
      <c r="D820" s="6" t="str">
        <f>_xlfn.LET(
     _xlpm.a, TRIM(Employee_dataset[[#This Row],[Age]]),
     IF(
        _xlpm.a="","",
        IF(
           AND(ISNUMBER(--_xlpm.a),LEN(_xlpm.a)=2),_xlpm.a,""
          )
       )
    )</f>
        <v>30</v>
      </c>
      <c r="E820" t="str">
        <f>TRIM(_xlfn.TEXTBEFORE(Employee_dataset[[#This Row],[Department_Region]],"-"))</f>
        <v>DevOps</v>
      </c>
      <c r="F820" t="str">
        <f>TRIM(_xlfn.TEXTAFTER(Employee_dataset[[#This Row],[Department_Region]],"-"))</f>
        <v>New York</v>
      </c>
      <c r="G820" t="str">
        <f>TRIM(Employee_dataset[[#This Row],[Status]])</f>
        <v>Inactive</v>
      </c>
      <c r="H820" s="1">
        <f>_xlfn.LET(
     _xlpm.d, Employee_dataset[[#This Row],[Join_Date]],
     IF(
        ISNUMBER(_xlpm.d),_xlpm.d,""
       )
    )</f>
        <v>44919</v>
      </c>
      <c r="I820" s="6">
        <f>_xlfn.LET(
     _xlpm.s, TRIM(Employee_dataset[[#This Row],[Salary]]),
     IF(
        UPPER(_xlpm.s)="N/A","",
        IF(
           ISNUMBER(--_xlpm.s),ROUND(_xlfn.NUMBERVALUE(_xlpm.s),2),""
          )
       )
    )</f>
        <v>70405.23</v>
      </c>
      <c r="J820" t="str">
        <f>TRIM(Employee_dataset[[#This Row],[Email]])</f>
        <v>alice.brown@example.com</v>
      </c>
      <c r="K820" t="str">
        <f>_xlfn.LET(
     _xlpm.p,TRIM(SUBSTITUTE(Employee_dataset[[#This Row],[Phone]],"-","")),
     IF(
        LEN(_xlpm.p)=10,_xlfn.CONCAT("("&amp;LEFT(_xlpm.p,3)&amp;") "&amp;MID(_xlpm.p,4,3)&amp;"-"&amp;RIGHT(_xlpm.p,4),"")
       )
     )</f>
        <v>(806) 562-5903</v>
      </c>
      <c r="L820" t="str">
        <f>TRIM(Employee_dataset[[#This Row],[Performance_Score]])</f>
        <v>Poor</v>
      </c>
      <c r="M820" t="str">
        <f>TRIM(Employee_dataset[[#This Row],[Remote_Work]])</f>
        <v>TRUE</v>
      </c>
    </row>
    <row r="821" spans="1:13" x14ac:dyDescent="0.3">
      <c r="A821" t="str">
        <f>TRIM(Employee_dataset[[#This Row],[Employee_ID]])</f>
        <v>EMP1819</v>
      </c>
      <c r="B821" t="str">
        <f>PROPER(TRIM(Employee_dataset[[#This Row],[First_Name]]))</f>
        <v>Heidi</v>
      </c>
      <c r="C821" t="str">
        <f>PROPER(TRIM(Employee_dataset[[#This Row],[Last_Name]]))</f>
        <v>Smith</v>
      </c>
      <c r="D821" s="6" t="str">
        <f>_xlfn.LET(
     _xlpm.a, TRIM(Employee_dataset[[#This Row],[Age]]),
     IF(
        _xlpm.a="","",
        IF(
           AND(ISNUMBER(--_xlpm.a),LEN(_xlpm.a)=2),_xlpm.a,""
          )
       )
    )</f>
        <v>30</v>
      </c>
      <c r="E821" t="str">
        <f>TRIM(_xlfn.TEXTBEFORE(Employee_dataset[[#This Row],[Department_Region]],"-"))</f>
        <v>Admin</v>
      </c>
      <c r="F821" t="str">
        <f>TRIM(_xlfn.TEXTAFTER(Employee_dataset[[#This Row],[Department_Region]],"-"))</f>
        <v>Nevada</v>
      </c>
      <c r="G821" t="str">
        <f>TRIM(Employee_dataset[[#This Row],[Status]])</f>
        <v>Inactive</v>
      </c>
      <c r="H821" s="1">
        <f>_xlfn.LET(
     _xlpm.d, Employee_dataset[[#This Row],[Join_Date]],
     IF(
        ISNUMBER(_xlpm.d),_xlpm.d,""
       )
    )</f>
        <v>44444</v>
      </c>
      <c r="I821" s="6">
        <f>_xlfn.LET(
     _xlpm.s, TRIM(Employee_dataset[[#This Row],[Salary]]),
     IF(
        UPPER(_xlpm.s)="N/A","",
        IF(
           ISNUMBER(--_xlpm.s),ROUND(_xlfn.NUMBERVALUE(_xlpm.s),2),""
          )
       )
    )</f>
        <v>89919.35</v>
      </c>
      <c r="J821" t="str">
        <f>TRIM(Employee_dataset[[#This Row],[Email]])</f>
        <v>heidi.smith@example.com</v>
      </c>
      <c r="K821" t="str">
        <f>_xlfn.LET(
     _xlpm.p,TRIM(SUBSTITUTE(Employee_dataset[[#This Row],[Phone]],"-","")),
     IF(
        LEN(_xlpm.p)=10,_xlfn.CONCAT("("&amp;LEFT(_xlpm.p,3)&amp;") "&amp;MID(_xlpm.p,4,3)&amp;"-"&amp;RIGHT(_xlpm.p,4),"")
       )
     )</f>
        <v>(599) 080-2710</v>
      </c>
      <c r="L821" t="str">
        <f>TRIM(Employee_dataset[[#This Row],[Performance_Score]])</f>
        <v>Excellent</v>
      </c>
      <c r="M821" t="str">
        <f>TRIM(Employee_dataset[[#This Row],[Remote_Work]])</f>
        <v>TRUE</v>
      </c>
    </row>
    <row r="822" spans="1:13" x14ac:dyDescent="0.3">
      <c r="A822" t="str">
        <f>TRIM(Employee_dataset[[#This Row],[Employee_ID]])</f>
        <v>EMP1820</v>
      </c>
      <c r="B822" t="str">
        <f>PROPER(TRIM(Employee_dataset[[#This Row],[First_Name]]))</f>
        <v>Eva</v>
      </c>
      <c r="C822" t="str">
        <f>PROPER(TRIM(Employee_dataset[[#This Row],[Last_Name]]))</f>
        <v>Davis</v>
      </c>
      <c r="D822" s="6" t="str">
        <f>_xlfn.LET(
     _xlpm.a, TRIM(Employee_dataset[[#This Row],[Age]]),
     IF(
        _xlpm.a="","",
        IF(
           AND(ISNUMBER(--_xlpm.a),LEN(_xlpm.a)=2),_xlpm.a,""
          )
       )
    )</f>
        <v>40</v>
      </c>
      <c r="E822" t="str">
        <f>TRIM(_xlfn.TEXTBEFORE(Employee_dataset[[#This Row],[Department_Region]],"-"))</f>
        <v>DevOps</v>
      </c>
      <c r="F822" t="str">
        <f>TRIM(_xlfn.TEXTAFTER(Employee_dataset[[#This Row],[Department_Region]],"-"))</f>
        <v>California</v>
      </c>
      <c r="G822" t="str">
        <f>TRIM(Employee_dataset[[#This Row],[Status]])</f>
        <v>Active</v>
      </c>
      <c r="H822" s="1">
        <f>_xlfn.LET(
     _xlpm.d, Employee_dataset[[#This Row],[Join_Date]],
     IF(
        ISNUMBER(_xlpm.d),_xlpm.d,""
       )
    )</f>
        <v>45024</v>
      </c>
      <c r="I822" s="6">
        <f>_xlfn.LET(
     _xlpm.s, TRIM(Employee_dataset[[#This Row],[Salary]]),
     IF(
        UPPER(_xlpm.s)="N/A","",
        IF(
           ISNUMBER(--_xlpm.s),ROUND(_xlfn.NUMBERVALUE(_xlpm.s),2),""
          )
       )
    )</f>
        <v>50568.35</v>
      </c>
      <c r="J822" t="str">
        <f>TRIM(Employee_dataset[[#This Row],[Email]])</f>
        <v>eva.davis@example.com</v>
      </c>
      <c r="K822" t="str">
        <f>_xlfn.LET(
     _xlpm.p,TRIM(SUBSTITUTE(Employee_dataset[[#This Row],[Phone]],"-","")),
     IF(
        LEN(_xlpm.p)=10,_xlfn.CONCAT("("&amp;LEFT(_xlpm.p,3)&amp;") "&amp;MID(_xlpm.p,4,3)&amp;"-"&amp;RIGHT(_xlpm.p,4),"")
       )
     )</f>
        <v>(221) 823-1554</v>
      </c>
      <c r="L822" t="str">
        <f>TRIM(Employee_dataset[[#This Row],[Performance_Score]])</f>
        <v>Good</v>
      </c>
      <c r="M822" t="str">
        <f>TRIM(Employee_dataset[[#This Row],[Remote_Work]])</f>
        <v>TRUE</v>
      </c>
    </row>
    <row r="823" spans="1:13" x14ac:dyDescent="0.3">
      <c r="A823" t="str">
        <f>TRIM(Employee_dataset[[#This Row],[Employee_ID]])</f>
        <v>EMP1821</v>
      </c>
      <c r="B823" t="str">
        <f>PROPER(TRIM(Employee_dataset[[#This Row],[First_Name]]))</f>
        <v>Grace</v>
      </c>
      <c r="C823" t="str">
        <f>PROPER(TRIM(Employee_dataset[[#This Row],[Last_Name]]))</f>
        <v>Brown</v>
      </c>
      <c r="D823" s="6" t="str">
        <f>_xlfn.LET(
     _xlpm.a, TRIM(Employee_dataset[[#This Row],[Age]]),
     IF(
        _xlpm.a="","",
        IF(
           AND(ISNUMBER(--_xlpm.a),LEN(_xlpm.a)=2),_xlpm.a,""
          )
       )
    )</f>
        <v>30</v>
      </c>
      <c r="E823" t="str">
        <f>TRIM(_xlfn.TEXTBEFORE(Employee_dataset[[#This Row],[Department_Region]],"-"))</f>
        <v>HR</v>
      </c>
      <c r="F823" t="str">
        <f>TRIM(_xlfn.TEXTAFTER(Employee_dataset[[#This Row],[Department_Region]],"-"))</f>
        <v>Texas</v>
      </c>
      <c r="G823" t="str">
        <f>TRIM(Employee_dataset[[#This Row],[Status]])</f>
        <v>Inactive</v>
      </c>
      <c r="H823" s="1">
        <f>_xlfn.LET(
     _xlpm.d, Employee_dataset[[#This Row],[Join_Date]],
     IF(
        ISNUMBER(_xlpm.d),_xlpm.d,""
       )
    )</f>
        <v>44955</v>
      </c>
      <c r="I823" s="6" t="str">
        <f>_xlfn.LET(
     _xlpm.s, TRIM(Employee_dataset[[#This Row],[Salary]]),
     IF(
        UPPER(_xlpm.s)="N/A","",
        IF(
           ISNUMBER(--_xlpm.s),ROUND(_xlfn.NUMBERVALUE(_xlpm.s),2),""
          )
       )
    )</f>
        <v/>
      </c>
      <c r="J823" t="str">
        <f>TRIM(Employee_dataset[[#This Row],[Email]])</f>
        <v>grace.brown@example.com</v>
      </c>
      <c r="K823" t="str">
        <f>_xlfn.LET(
     _xlpm.p,TRIM(SUBSTITUTE(Employee_dataset[[#This Row],[Phone]],"-","")),
     IF(
        LEN(_xlpm.p)=10,_xlfn.CONCAT("("&amp;LEFT(_xlpm.p,3)&amp;") "&amp;MID(_xlpm.p,4,3)&amp;"-"&amp;RIGHT(_xlpm.p,4),"")
       )
     )</f>
        <v>(165) 176-8085</v>
      </c>
      <c r="L823" t="str">
        <f>TRIM(Employee_dataset[[#This Row],[Performance_Score]])</f>
        <v>Good</v>
      </c>
      <c r="M823" t="str">
        <f>TRIM(Employee_dataset[[#This Row],[Remote_Work]])</f>
        <v>FALSE</v>
      </c>
    </row>
    <row r="824" spans="1:13" x14ac:dyDescent="0.3">
      <c r="A824" t="str">
        <f>TRIM(Employee_dataset[[#This Row],[Employee_ID]])</f>
        <v>EMP1822</v>
      </c>
      <c r="B824" t="str">
        <f>PROPER(TRIM(Employee_dataset[[#This Row],[First_Name]]))</f>
        <v>Frank</v>
      </c>
      <c r="C824" t="str">
        <f>PROPER(TRIM(Employee_dataset[[#This Row],[Last_Name]]))</f>
        <v>Miller</v>
      </c>
      <c r="D824" s="6" t="str">
        <f>_xlfn.LET(
     _xlpm.a, TRIM(Employee_dataset[[#This Row],[Age]]),
     IF(
        _xlpm.a="","",
        IF(
           AND(ISNUMBER(--_xlpm.a),LEN(_xlpm.a)=2),_xlpm.a,""
          )
       )
    )</f>
        <v>25</v>
      </c>
      <c r="E824" t="str">
        <f>TRIM(_xlfn.TEXTBEFORE(Employee_dataset[[#This Row],[Department_Region]],"-"))</f>
        <v>HR</v>
      </c>
      <c r="F824" t="str">
        <f>TRIM(_xlfn.TEXTAFTER(Employee_dataset[[#This Row],[Department_Region]],"-"))</f>
        <v>Texas</v>
      </c>
      <c r="G824" t="str">
        <f>TRIM(Employee_dataset[[#This Row],[Status]])</f>
        <v>Active</v>
      </c>
      <c r="H824" s="1">
        <f>_xlfn.LET(
     _xlpm.d, Employee_dataset[[#This Row],[Join_Date]],
     IF(
        ISNUMBER(_xlpm.d),_xlpm.d,""
       )
    )</f>
        <v>44715</v>
      </c>
      <c r="I824" s="6">
        <f>_xlfn.LET(
     _xlpm.s, TRIM(Employee_dataset[[#This Row],[Salary]]),
     IF(
        UPPER(_xlpm.s)="N/A","",
        IF(
           ISNUMBER(--_xlpm.s),ROUND(_xlfn.NUMBERVALUE(_xlpm.s),2),""
          )
       )
    )</f>
        <v>99155.53</v>
      </c>
      <c r="J824" t="str">
        <f>TRIM(Employee_dataset[[#This Row],[Email]])</f>
        <v>frank.miller@example.com</v>
      </c>
      <c r="K824" t="str">
        <f>_xlfn.LET(
     _xlpm.p,TRIM(SUBSTITUTE(Employee_dataset[[#This Row],[Phone]],"-","")),
     IF(
        LEN(_xlpm.p)=10,_xlfn.CONCAT("("&amp;LEFT(_xlpm.p,3)&amp;") "&amp;MID(_xlpm.p,4,3)&amp;"-"&amp;RIGHT(_xlpm.p,4),"")
       )
     )</f>
        <v>(628) 137-2142</v>
      </c>
      <c r="L824" t="str">
        <f>TRIM(Employee_dataset[[#This Row],[Performance_Score]])</f>
        <v>Poor</v>
      </c>
      <c r="M824" t="str">
        <f>TRIM(Employee_dataset[[#This Row],[Remote_Work]])</f>
        <v>TRUE</v>
      </c>
    </row>
    <row r="825" spans="1:13" x14ac:dyDescent="0.3">
      <c r="A825" t="str">
        <f>TRIM(Employee_dataset[[#This Row],[Employee_ID]])</f>
        <v>EMP1823</v>
      </c>
      <c r="B825" t="str">
        <f>PROPER(TRIM(Employee_dataset[[#This Row],[First_Name]]))</f>
        <v>Frank</v>
      </c>
      <c r="C825" t="str">
        <f>PROPER(TRIM(Employee_dataset[[#This Row],[Last_Name]]))</f>
        <v>Davis</v>
      </c>
      <c r="D825" s="6" t="str">
        <f>_xlfn.LET(
     _xlpm.a, TRIM(Employee_dataset[[#This Row],[Age]]),
     IF(
        _xlpm.a="","",
        IF(
           AND(ISNUMBER(--_xlpm.a),LEN(_xlpm.a)=2),_xlpm.a,""
          )
       )
    )</f>
        <v>40</v>
      </c>
      <c r="E825" t="str">
        <f>TRIM(_xlfn.TEXTBEFORE(Employee_dataset[[#This Row],[Department_Region]],"-"))</f>
        <v>Finance</v>
      </c>
      <c r="F825" t="str">
        <f>TRIM(_xlfn.TEXTAFTER(Employee_dataset[[#This Row],[Department_Region]],"-"))</f>
        <v>Florida</v>
      </c>
      <c r="G825" t="str">
        <f>TRIM(Employee_dataset[[#This Row],[Status]])</f>
        <v>Inactive</v>
      </c>
      <c r="H825" s="1">
        <f>_xlfn.LET(
     _xlpm.d, Employee_dataset[[#This Row],[Join_Date]],
     IF(
        ISNUMBER(_xlpm.d),_xlpm.d,""
       )
    )</f>
        <v>44947</v>
      </c>
      <c r="I825" s="6">
        <f>_xlfn.LET(
     _xlpm.s, TRIM(Employee_dataset[[#This Row],[Salary]]),
     IF(
        UPPER(_xlpm.s)="N/A","",
        IF(
           ISNUMBER(--_xlpm.s),ROUND(_xlfn.NUMBERVALUE(_xlpm.s),2),""
          )
       )
    )</f>
        <v>64785.13</v>
      </c>
      <c r="J825" t="str">
        <f>TRIM(Employee_dataset[[#This Row],[Email]])</f>
        <v>frank.davis@example.com</v>
      </c>
      <c r="K825" t="str">
        <f>_xlfn.LET(
     _xlpm.p,TRIM(SUBSTITUTE(Employee_dataset[[#This Row],[Phone]],"-","")),
     IF(
        LEN(_xlpm.p)=10,_xlfn.CONCAT("("&amp;LEFT(_xlpm.p,3)&amp;") "&amp;MID(_xlpm.p,4,3)&amp;"-"&amp;RIGHT(_xlpm.p,4),"")
       )
     )</f>
        <v>(308) 003-7002</v>
      </c>
      <c r="L825" t="str">
        <f>TRIM(Employee_dataset[[#This Row],[Performance_Score]])</f>
        <v>Average</v>
      </c>
      <c r="M825" t="str">
        <f>TRIM(Employee_dataset[[#This Row],[Remote_Work]])</f>
        <v>TRUE</v>
      </c>
    </row>
    <row r="826" spans="1:13" x14ac:dyDescent="0.3">
      <c r="A826" t="str">
        <f>TRIM(Employee_dataset[[#This Row],[Employee_ID]])</f>
        <v>EMP1824</v>
      </c>
      <c r="B826" t="str">
        <f>PROPER(TRIM(Employee_dataset[[#This Row],[First_Name]]))</f>
        <v>Charlie</v>
      </c>
      <c r="C826" t="str">
        <f>PROPER(TRIM(Employee_dataset[[#This Row],[Last_Name]]))</f>
        <v>Garcia</v>
      </c>
      <c r="D826" s="6" t="str">
        <f>_xlfn.LET(
     _xlpm.a, TRIM(Employee_dataset[[#This Row],[Age]]),
     IF(
        _xlpm.a="","",
        IF(
           AND(ISNUMBER(--_xlpm.a),LEN(_xlpm.a)=2),_xlpm.a,""
          )
       )
    )</f>
        <v>30</v>
      </c>
      <c r="E826" t="str">
        <f>TRIM(_xlfn.TEXTBEFORE(Employee_dataset[[#This Row],[Department_Region]],"-"))</f>
        <v>Sales</v>
      </c>
      <c r="F826" t="str">
        <f>TRIM(_xlfn.TEXTAFTER(Employee_dataset[[#This Row],[Department_Region]],"-"))</f>
        <v>Florida</v>
      </c>
      <c r="G826" t="str">
        <f>TRIM(Employee_dataset[[#This Row],[Status]])</f>
        <v>Inactive</v>
      </c>
      <c r="H826" s="1">
        <f>_xlfn.LET(
     _xlpm.d, Employee_dataset[[#This Row],[Join_Date]],
     IF(
        ISNUMBER(_xlpm.d),_xlpm.d,""
       )
    )</f>
        <v>45551</v>
      </c>
      <c r="I826" s="6">
        <f>_xlfn.LET(
     _xlpm.s, TRIM(Employee_dataset[[#This Row],[Salary]]),
     IF(
        UPPER(_xlpm.s)="N/A","",
        IF(
           ISNUMBER(--_xlpm.s),ROUND(_xlfn.NUMBERVALUE(_xlpm.s),2),""
          )
       )
    )</f>
        <v>79206.48</v>
      </c>
      <c r="J826" t="str">
        <f>TRIM(Employee_dataset[[#This Row],[Email]])</f>
        <v>charlie.garcia@example.com</v>
      </c>
      <c r="K826" t="str">
        <f>_xlfn.LET(
     _xlpm.p,TRIM(SUBSTITUTE(Employee_dataset[[#This Row],[Phone]],"-","")),
     IF(
        LEN(_xlpm.p)=10,_xlfn.CONCAT("("&amp;LEFT(_xlpm.p,3)&amp;") "&amp;MID(_xlpm.p,4,3)&amp;"-"&amp;RIGHT(_xlpm.p,4),"")
       )
     )</f>
        <v>(322) 855-6607</v>
      </c>
      <c r="L826" t="str">
        <f>TRIM(Employee_dataset[[#This Row],[Performance_Score]])</f>
        <v>Good</v>
      </c>
      <c r="M826" t="str">
        <f>TRIM(Employee_dataset[[#This Row],[Remote_Work]])</f>
        <v>FALSE</v>
      </c>
    </row>
    <row r="827" spans="1:13" x14ac:dyDescent="0.3">
      <c r="A827" t="str">
        <f>TRIM(Employee_dataset[[#This Row],[Employee_ID]])</f>
        <v>EMP1825</v>
      </c>
      <c r="B827" t="str">
        <f>PROPER(TRIM(Employee_dataset[[#This Row],[First_Name]]))</f>
        <v>Charlie</v>
      </c>
      <c r="C827" t="str">
        <f>PROPER(TRIM(Employee_dataset[[#This Row],[Last_Name]]))</f>
        <v>Brown</v>
      </c>
      <c r="D827" s="6" t="str">
        <f>_xlfn.LET(
     _xlpm.a, TRIM(Employee_dataset[[#This Row],[Age]]),
     IF(
        _xlpm.a="","",
        IF(
           AND(ISNUMBER(--_xlpm.a),LEN(_xlpm.a)=2),_xlpm.a,""
          )
       )
    )</f>
        <v>30</v>
      </c>
      <c r="E827" t="str">
        <f>TRIM(_xlfn.TEXTBEFORE(Employee_dataset[[#This Row],[Department_Region]],"-"))</f>
        <v>Cloud Tech</v>
      </c>
      <c r="F827" t="str">
        <f>TRIM(_xlfn.TEXTAFTER(Employee_dataset[[#This Row],[Department_Region]],"-"))</f>
        <v>Texas</v>
      </c>
      <c r="G827" t="str">
        <f>TRIM(Employee_dataset[[#This Row],[Status]])</f>
        <v>Pending</v>
      </c>
      <c r="H827" s="1">
        <f>_xlfn.LET(
     _xlpm.d, Employee_dataset[[#This Row],[Join_Date]],
     IF(
        ISNUMBER(_xlpm.d),_xlpm.d,""
       )
    )</f>
        <v>43863</v>
      </c>
      <c r="I827" s="6">
        <f>_xlfn.LET(
     _xlpm.s, TRIM(Employee_dataset[[#This Row],[Salary]]),
     IF(
        UPPER(_xlpm.s)="N/A","",
        IF(
           ISNUMBER(--_xlpm.s),ROUND(_xlfn.NUMBERVALUE(_xlpm.s),2),""
          )
       )
    )</f>
        <v>60079.71</v>
      </c>
      <c r="J827" t="str">
        <f>TRIM(Employee_dataset[[#This Row],[Email]])</f>
        <v>charlie.brown@example.com</v>
      </c>
      <c r="K827" t="str">
        <f>_xlfn.LET(
     _xlpm.p,TRIM(SUBSTITUTE(Employee_dataset[[#This Row],[Phone]],"-","")),
     IF(
        LEN(_xlpm.p)=10,_xlfn.CONCAT("("&amp;LEFT(_xlpm.p,3)&amp;") "&amp;MID(_xlpm.p,4,3)&amp;"-"&amp;RIGHT(_xlpm.p,4),"")
       )
     )</f>
        <v>(470) 681-0389</v>
      </c>
      <c r="L827" t="str">
        <f>TRIM(Employee_dataset[[#This Row],[Performance_Score]])</f>
        <v>Average</v>
      </c>
      <c r="M827" t="str">
        <f>TRIM(Employee_dataset[[#This Row],[Remote_Work]])</f>
        <v>TRUE</v>
      </c>
    </row>
    <row r="828" spans="1:13" x14ac:dyDescent="0.3">
      <c r="A828" t="str">
        <f>TRIM(Employee_dataset[[#This Row],[Employee_ID]])</f>
        <v>EMP1826</v>
      </c>
      <c r="B828" t="str">
        <f>PROPER(TRIM(Employee_dataset[[#This Row],[First_Name]]))</f>
        <v>Grace</v>
      </c>
      <c r="C828" t="str">
        <f>PROPER(TRIM(Employee_dataset[[#This Row],[Last_Name]]))</f>
        <v>Williams</v>
      </c>
      <c r="D828" s="6" t="str">
        <f>_xlfn.LET(
     _xlpm.a, TRIM(Employee_dataset[[#This Row],[Age]]),
     IF(
        _xlpm.a="","",
        IF(
           AND(ISNUMBER(--_xlpm.a),LEN(_xlpm.a)=2),_xlpm.a,""
          )
       )
    )</f>
        <v>30</v>
      </c>
      <c r="E828" t="str">
        <f>TRIM(_xlfn.TEXTBEFORE(Employee_dataset[[#This Row],[Department_Region]],"-"))</f>
        <v>Cloud Tech</v>
      </c>
      <c r="F828" t="str">
        <f>TRIM(_xlfn.TEXTAFTER(Employee_dataset[[#This Row],[Department_Region]],"-"))</f>
        <v>New York</v>
      </c>
      <c r="G828" t="str">
        <f>TRIM(Employee_dataset[[#This Row],[Status]])</f>
        <v>Pending</v>
      </c>
      <c r="H828" s="1">
        <f>_xlfn.LET(
     _xlpm.d, Employee_dataset[[#This Row],[Join_Date]],
     IF(
        ISNUMBER(_xlpm.d),_xlpm.d,""
       )
    )</f>
        <v>45481</v>
      </c>
      <c r="I828" s="6">
        <f>_xlfn.LET(
     _xlpm.s, TRIM(Employee_dataset[[#This Row],[Salary]]),
     IF(
        UPPER(_xlpm.s)="N/A","",
        IF(
           ISNUMBER(--_xlpm.s),ROUND(_xlfn.NUMBERVALUE(_xlpm.s),2),""
          )
       )
    )</f>
        <v>79109.88</v>
      </c>
      <c r="J828" t="str">
        <f>TRIM(Employee_dataset[[#This Row],[Email]])</f>
        <v>grace.williams@example.com</v>
      </c>
      <c r="K828" t="str">
        <f>_xlfn.LET(
     _xlpm.p,TRIM(SUBSTITUTE(Employee_dataset[[#This Row],[Phone]],"-","")),
     IF(
        LEN(_xlpm.p)=10,_xlfn.CONCAT("("&amp;LEFT(_xlpm.p,3)&amp;") "&amp;MID(_xlpm.p,4,3)&amp;"-"&amp;RIGHT(_xlpm.p,4),"")
       )
     )</f>
        <v>(339) 705-1957</v>
      </c>
      <c r="L828" t="str">
        <f>TRIM(Employee_dataset[[#This Row],[Performance_Score]])</f>
        <v>Poor</v>
      </c>
      <c r="M828" t="str">
        <f>TRIM(Employee_dataset[[#This Row],[Remote_Work]])</f>
        <v>FALSE</v>
      </c>
    </row>
    <row r="829" spans="1:13" x14ac:dyDescent="0.3">
      <c r="A829" t="str">
        <f>TRIM(Employee_dataset[[#This Row],[Employee_ID]])</f>
        <v>EMP1827</v>
      </c>
      <c r="B829" t="str">
        <f>PROPER(TRIM(Employee_dataset[[#This Row],[First_Name]]))</f>
        <v>Grace</v>
      </c>
      <c r="C829" t="str">
        <f>PROPER(TRIM(Employee_dataset[[#This Row],[Last_Name]]))</f>
        <v>Johnson</v>
      </c>
      <c r="D829" s="6" t="str">
        <f>_xlfn.LET(
     _xlpm.a, TRIM(Employee_dataset[[#This Row],[Age]]),
     IF(
        _xlpm.a="","",
        IF(
           AND(ISNUMBER(--_xlpm.a),LEN(_xlpm.a)=2),_xlpm.a,""
          )
       )
    )</f>
        <v/>
      </c>
      <c r="E829" t="str">
        <f>TRIM(_xlfn.TEXTBEFORE(Employee_dataset[[#This Row],[Department_Region]],"-"))</f>
        <v>Admin</v>
      </c>
      <c r="F829" t="str">
        <f>TRIM(_xlfn.TEXTAFTER(Employee_dataset[[#This Row],[Department_Region]],"-"))</f>
        <v>Florida</v>
      </c>
      <c r="G829" t="str">
        <f>TRIM(Employee_dataset[[#This Row],[Status]])</f>
        <v>Pending</v>
      </c>
      <c r="H829" s="1">
        <f>_xlfn.LET(
     _xlpm.d, Employee_dataset[[#This Row],[Join_Date]],
     IF(
        ISNUMBER(_xlpm.d),_xlpm.d,""
       )
    )</f>
        <v>44699</v>
      </c>
      <c r="I829" s="6">
        <f>_xlfn.LET(
     _xlpm.s, TRIM(Employee_dataset[[#This Row],[Salary]]),
     IF(
        UPPER(_xlpm.s)="N/A","",
        IF(
           ISNUMBER(--_xlpm.s),ROUND(_xlfn.NUMBERVALUE(_xlpm.s),2),""
          )
       )
    )</f>
        <v>88643.5</v>
      </c>
      <c r="J829" t="str">
        <f>TRIM(Employee_dataset[[#This Row],[Email]])</f>
        <v>grace.johnson@example.com</v>
      </c>
      <c r="K829" t="str">
        <f>_xlfn.LET(
     _xlpm.p,TRIM(SUBSTITUTE(Employee_dataset[[#This Row],[Phone]],"-","")),
     IF(
        LEN(_xlpm.p)=10,_xlfn.CONCAT("("&amp;LEFT(_xlpm.p,3)&amp;") "&amp;MID(_xlpm.p,4,3)&amp;"-"&amp;RIGHT(_xlpm.p,4),"")
       )
     )</f>
        <v>(263) 280-9447</v>
      </c>
      <c r="L829" t="str">
        <f>TRIM(Employee_dataset[[#This Row],[Performance_Score]])</f>
        <v>Poor</v>
      </c>
      <c r="M829" t="str">
        <f>TRIM(Employee_dataset[[#This Row],[Remote_Work]])</f>
        <v>FALSE</v>
      </c>
    </row>
    <row r="830" spans="1:13" x14ac:dyDescent="0.3">
      <c r="A830" t="str">
        <f>TRIM(Employee_dataset[[#This Row],[Employee_ID]])</f>
        <v>EMP1828</v>
      </c>
      <c r="B830" t="str">
        <f>PROPER(TRIM(Employee_dataset[[#This Row],[First_Name]]))</f>
        <v>Frank</v>
      </c>
      <c r="C830" t="str">
        <f>PROPER(TRIM(Employee_dataset[[#This Row],[Last_Name]]))</f>
        <v>Davis</v>
      </c>
      <c r="D830" s="6" t="str">
        <f>_xlfn.LET(
     _xlpm.a, TRIM(Employee_dataset[[#This Row],[Age]]),
     IF(
        _xlpm.a="","",
        IF(
           AND(ISNUMBER(--_xlpm.a),LEN(_xlpm.a)=2),_xlpm.a,""
          )
       )
    )</f>
        <v>30</v>
      </c>
      <c r="E830" t="str">
        <f>TRIM(_xlfn.TEXTBEFORE(Employee_dataset[[#This Row],[Department_Region]],"-"))</f>
        <v>Admin</v>
      </c>
      <c r="F830" t="str">
        <f>TRIM(_xlfn.TEXTAFTER(Employee_dataset[[#This Row],[Department_Region]],"-"))</f>
        <v>Florida</v>
      </c>
      <c r="G830" t="str">
        <f>TRIM(Employee_dataset[[#This Row],[Status]])</f>
        <v>Pending</v>
      </c>
      <c r="H830" s="1">
        <f>_xlfn.LET(
     _xlpm.d, Employee_dataset[[#This Row],[Join_Date]],
     IF(
        ISNUMBER(_xlpm.d),_xlpm.d,""
       )
    )</f>
        <v>43846</v>
      </c>
      <c r="I830" s="6">
        <f>_xlfn.LET(
     _xlpm.s, TRIM(Employee_dataset[[#This Row],[Salary]]),
     IF(
        UPPER(_xlpm.s)="N/A","",
        IF(
           ISNUMBER(--_xlpm.s),ROUND(_xlfn.NUMBERVALUE(_xlpm.s),2),""
          )
       )
    )</f>
        <v>90455.7</v>
      </c>
      <c r="J830" t="str">
        <f>TRIM(Employee_dataset[[#This Row],[Email]])</f>
        <v>frank.davis@example.com</v>
      </c>
      <c r="K830" t="str">
        <f>_xlfn.LET(
     _xlpm.p,TRIM(SUBSTITUTE(Employee_dataset[[#This Row],[Phone]],"-","")),
     IF(
        LEN(_xlpm.p)=10,_xlfn.CONCAT("("&amp;LEFT(_xlpm.p,3)&amp;") "&amp;MID(_xlpm.p,4,3)&amp;"-"&amp;RIGHT(_xlpm.p,4),"")
       )
     )</f>
        <v>(586) 239-4534</v>
      </c>
      <c r="L830" t="str">
        <f>TRIM(Employee_dataset[[#This Row],[Performance_Score]])</f>
        <v>Excellent</v>
      </c>
      <c r="M830" t="str">
        <f>TRIM(Employee_dataset[[#This Row],[Remote_Work]])</f>
        <v>FALSE</v>
      </c>
    </row>
    <row r="831" spans="1:13" x14ac:dyDescent="0.3">
      <c r="A831" t="str">
        <f>TRIM(Employee_dataset[[#This Row],[Employee_ID]])</f>
        <v>EMP1829</v>
      </c>
      <c r="B831" t="str">
        <f>PROPER(TRIM(Employee_dataset[[#This Row],[First_Name]]))</f>
        <v>David</v>
      </c>
      <c r="C831" t="str">
        <f>PROPER(TRIM(Employee_dataset[[#This Row],[Last_Name]]))</f>
        <v>Garcia</v>
      </c>
      <c r="D831" s="6" t="str">
        <f>_xlfn.LET(
     _xlpm.a, TRIM(Employee_dataset[[#This Row],[Age]]),
     IF(
        _xlpm.a="","",
        IF(
           AND(ISNUMBER(--_xlpm.a),LEN(_xlpm.a)=2),_xlpm.a,""
          )
       )
    )</f>
        <v/>
      </c>
      <c r="E831" t="str">
        <f>TRIM(_xlfn.TEXTBEFORE(Employee_dataset[[#This Row],[Department_Region]],"-"))</f>
        <v>HR</v>
      </c>
      <c r="F831" t="str">
        <f>TRIM(_xlfn.TEXTAFTER(Employee_dataset[[#This Row],[Department_Region]],"-"))</f>
        <v>Florida</v>
      </c>
      <c r="G831" t="str">
        <f>TRIM(Employee_dataset[[#This Row],[Status]])</f>
        <v>Pending</v>
      </c>
      <c r="H831" s="1">
        <f>_xlfn.LET(
     _xlpm.d, Employee_dataset[[#This Row],[Join_Date]],
     IF(
        ISNUMBER(_xlpm.d),_xlpm.d,""
       )
    )</f>
        <v>45011</v>
      </c>
      <c r="I831" s="6">
        <f>_xlfn.LET(
     _xlpm.s, TRIM(Employee_dataset[[#This Row],[Salary]]),
     IF(
        UPPER(_xlpm.s)="N/A","",
        IF(
           ISNUMBER(--_xlpm.s),ROUND(_xlfn.NUMBERVALUE(_xlpm.s),2),""
          )
       )
    )</f>
        <v>75687.899999999994</v>
      </c>
      <c r="J831" t="str">
        <f>TRIM(Employee_dataset[[#This Row],[Email]])</f>
        <v>david.garcia@example.com</v>
      </c>
      <c r="K831" t="str">
        <f>_xlfn.LET(
     _xlpm.p,TRIM(SUBSTITUTE(Employee_dataset[[#This Row],[Phone]],"-","")),
     IF(
        LEN(_xlpm.p)=10,_xlfn.CONCAT("("&amp;LEFT(_xlpm.p,3)&amp;") "&amp;MID(_xlpm.p,4,3)&amp;"-"&amp;RIGHT(_xlpm.p,4),"")
       )
     )</f>
        <v>(461) 470-7985</v>
      </c>
      <c r="L831" t="str">
        <f>TRIM(Employee_dataset[[#This Row],[Performance_Score]])</f>
        <v>Good</v>
      </c>
      <c r="M831" t="str">
        <f>TRIM(Employee_dataset[[#This Row],[Remote_Work]])</f>
        <v>TRUE</v>
      </c>
    </row>
    <row r="832" spans="1:13" x14ac:dyDescent="0.3">
      <c r="A832" t="str">
        <f>TRIM(Employee_dataset[[#This Row],[Employee_ID]])</f>
        <v>EMP1830</v>
      </c>
      <c r="B832" t="str">
        <f>PROPER(TRIM(Employee_dataset[[#This Row],[First_Name]]))</f>
        <v>Heidi</v>
      </c>
      <c r="C832" t="str">
        <f>PROPER(TRIM(Employee_dataset[[#This Row],[Last_Name]]))</f>
        <v>Jones</v>
      </c>
      <c r="D832" s="6" t="str">
        <f>_xlfn.LET(
     _xlpm.a, TRIM(Employee_dataset[[#This Row],[Age]]),
     IF(
        _xlpm.a="","",
        IF(
           AND(ISNUMBER(--_xlpm.a),LEN(_xlpm.a)=2),_xlpm.a,""
          )
       )
    )</f>
        <v>35</v>
      </c>
      <c r="E832" t="str">
        <f>TRIM(_xlfn.TEXTBEFORE(Employee_dataset[[#This Row],[Department_Region]],"-"))</f>
        <v>Cloud Tech</v>
      </c>
      <c r="F832" t="str">
        <f>TRIM(_xlfn.TEXTAFTER(Employee_dataset[[#This Row],[Department_Region]],"-"))</f>
        <v>Illinois</v>
      </c>
      <c r="G832" t="str">
        <f>TRIM(Employee_dataset[[#This Row],[Status]])</f>
        <v>Inactive</v>
      </c>
      <c r="H832" s="1">
        <f>_xlfn.LET(
     _xlpm.d, Employee_dataset[[#This Row],[Join_Date]],
     IF(
        ISNUMBER(_xlpm.d),_xlpm.d,""
       )
    )</f>
        <v>45245</v>
      </c>
      <c r="I832" s="6">
        <f>_xlfn.LET(
     _xlpm.s, TRIM(Employee_dataset[[#This Row],[Salary]]),
     IF(
        UPPER(_xlpm.s)="N/A","",
        IF(
           ISNUMBER(--_xlpm.s),ROUND(_xlfn.NUMBERVALUE(_xlpm.s),2),""
          )
       )
    )</f>
        <v>55604.42</v>
      </c>
      <c r="J832" t="str">
        <f>TRIM(Employee_dataset[[#This Row],[Email]])</f>
        <v>heidi.jones@example.com</v>
      </c>
      <c r="K832" t="str">
        <f>_xlfn.LET(
     _xlpm.p,TRIM(SUBSTITUTE(Employee_dataset[[#This Row],[Phone]],"-","")),
     IF(
        LEN(_xlpm.p)=10,_xlfn.CONCAT("("&amp;LEFT(_xlpm.p,3)&amp;") "&amp;MID(_xlpm.p,4,3)&amp;"-"&amp;RIGHT(_xlpm.p,4),"")
       )
     )</f>
        <v>(321) 061-3393</v>
      </c>
      <c r="L832" t="str">
        <f>TRIM(Employee_dataset[[#This Row],[Performance_Score]])</f>
        <v>Average</v>
      </c>
      <c r="M832" t="str">
        <f>TRIM(Employee_dataset[[#This Row],[Remote_Work]])</f>
        <v>FALSE</v>
      </c>
    </row>
    <row r="833" spans="1:13" x14ac:dyDescent="0.3">
      <c r="A833" t="str">
        <f>TRIM(Employee_dataset[[#This Row],[Employee_ID]])</f>
        <v>EMP1831</v>
      </c>
      <c r="B833" t="str">
        <f>PROPER(TRIM(Employee_dataset[[#This Row],[First_Name]]))</f>
        <v>Eva</v>
      </c>
      <c r="C833" t="str">
        <f>PROPER(TRIM(Employee_dataset[[#This Row],[Last_Name]]))</f>
        <v>Jones</v>
      </c>
      <c r="D833" s="6" t="str">
        <f>_xlfn.LET(
     _xlpm.a, TRIM(Employee_dataset[[#This Row],[Age]]),
     IF(
        _xlpm.a="","",
        IF(
           AND(ISNUMBER(--_xlpm.a),LEN(_xlpm.a)=2),_xlpm.a,""
          )
       )
    )</f>
        <v>40</v>
      </c>
      <c r="E833" t="str">
        <f>TRIM(_xlfn.TEXTBEFORE(Employee_dataset[[#This Row],[Department_Region]],"-"))</f>
        <v>Sales</v>
      </c>
      <c r="F833" t="str">
        <f>TRIM(_xlfn.TEXTAFTER(Employee_dataset[[#This Row],[Department_Region]],"-"))</f>
        <v>Texas</v>
      </c>
      <c r="G833" t="str">
        <f>TRIM(Employee_dataset[[#This Row],[Status]])</f>
        <v>Pending</v>
      </c>
      <c r="H833" s="1">
        <f>_xlfn.LET(
     _xlpm.d, Employee_dataset[[#This Row],[Join_Date]],
     IF(
        ISNUMBER(_xlpm.d),_xlpm.d,""
       )
    )</f>
        <v>45653</v>
      </c>
      <c r="I833" s="6">
        <f>_xlfn.LET(
     _xlpm.s, TRIM(Employee_dataset[[#This Row],[Salary]]),
     IF(
        UPPER(_xlpm.s)="N/A","",
        IF(
           ISNUMBER(--_xlpm.s),ROUND(_xlfn.NUMBERVALUE(_xlpm.s),2),""
          )
       )
    )</f>
        <v>92704.94</v>
      </c>
      <c r="J833" t="str">
        <f>TRIM(Employee_dataset[[#This Row],[Email]])</f>
        <v>eva.jones@example.com</v>
      </c>
      <c r="K833" t="str">
        <f>_xlfn.LET(
     _xlpm.p,TRIM(SUBSTITUTE(Employee_dataset[[#This Row],[Phone]],"-","")),
     IF(
        LEN(_xlpm.p)=10,_xlfn.CONCAT("("&amp;LEFT(_xlpm.p,3)&amp;") "&amp;MID(_xlpm.p,4,3)&amp;"-"&amp;RIGHT(_xlpm.p,4),"")
       )
     )</f>
        <v>(394) 570-3942</v>
      </c>
      <c r="L833" t="str">
        <f>TRIM(Employee_dataset[[#This Row],[Performance_Score]])</f>
        <v>Excellent</v>
      </c>
      <c r="M833" t="str">
        <f>TRIM(Employee_dataset[[#This Row],[Remote_Work]])</f>
        <v>FALSE</v>
      </c>
    </row>
    <row r="834" spans="1:13" x14ac:dyDescent="0.3">
      <c r="A834" t="str">
        <f>TRIM(Employee_dataset[[#This Row],[Employee_ID]])</f>
        <v>EMP1832</v>
      </c>
      <c r="B834" t="str">
        <f>PROPER(TRIM(Employee_dataset[[#This Row],[First_Name]]))</f>
        <v>Bob</v>
      </c>
      <c r="C834" t="str">
        <f>PROPER(TRIM(Employee_dataset[[#This Row],[Last_Name]]))</f>
        <v>Williams</v>
      </c>
      <c r="D834" s="6" t="str">
        <f>_xlfn.LET(
     _xlpm.a, TRIM(Employee_dataset[[#This Row],[Age]]),
     IF(
        _xlpm.a="","",
        IF(
           AND(ISNUMBER(--_xlpm.a),LEN(_xlpm.a)=2),_xlpm.a,""
          )
       )
    )</f>
        <v/>
      </c>
      <c r="E834" t="str">
        <f>TRIM(_xlfn.TEXTBEFORE(Employee_dataset[[#This Row],[Department_Region]],"-"))</f>
        <v>Sales</v>
      </c>
      <c r="F834" t="str">
        <f>TRIM(_xlfn.TEXTAFTER(Employee_dataset[[#This Row],[Department_Region]],"-"))</f>
        <v>California</v>
      </c>
      <c r="G834" t="str">
        <f>TRIM(Employee_dataset[[#This Row],[Status]])</f>
        <v>Pending</v>
      </c>
      <c r="H834" s="1">
        <f>_xlfn.LET(
     _xlpm.d, Employee_dataset[[#This Row],[Join_Date]],
     IF(
        ISNUMBER(_xlpm.d),_xlpm.d,""
       )
    )</f>
        <v>43939</v>
      </c>
      <c r="I834" s="6">
        <f>_xlfn.LET(
     _xlpm.s, TRIM(Employee_dataset[[#This Row],[Salary]]),
     IF(
        UPPER(_xlpm.s)="N/A","",
        IF(
           ISNUMBER(--_xlpm.s),ROUND(_xlfn.NUMBERVALUE(_xlpm.s),2),""
          )
       )
    )</f>
        <v>113250.97</v>
      </c>
      <c r="J834" t="str">
        <f>TRIM(Employee_dataset[[#This Row],[Email]])</f>
        <v>bob.williams@example.com</v>
      </c>
      <c r="K834" t="str">
        <f>_xlfn.LET(
     _xlpm.p,TRIM(SUBSTITUTE(Employee_dataset[[#This Row],[Phone]],"-","")),
     IF(
        LEN(_xlpm.p)=10,_xlfn.CONCAT("("&amp;LEFT(_xlpm.p,3)&amp;") "&amp;MID(_xlpm.p,4,3)&amp;"-"&amp;RIGHT(_xlpm.p,4),"")
       )
     )</f>
        <v>(804) 032-5375</v>
      </c>
      <c r="L834" t="str">
        <f>TRIM(Employee_dataset[[#This Row],[Performance_Score]])</f>
        <v>Good</v>
      </c>
      <c r="M834" t="str">
        <f>TRIM(Employee_dataset[[#This Row],[Remote_Work]])</f>
        <v>TRUE</v>
      </c>
    </row>
    <row r="835" spans="1:13" x14ac:dyDescent="0.3">
      <c r="A835" t="str">
        <f>TRIM(Employee_dataset[[#This Row],[Employee_ID]])</f>
        <v>EMP1833</v>
      </c>
      <c r="B835" t="str">
        <f>PROPER(TRIM(Employee_dataset[[#This Row],[First_Name]]))</f>
        <v>Alice</v>
      </c>
      <c r="C835" t="str">
        <f>PROPER(TRIM(Employee_dataset[[#This Row],[Last_Name]]))</f>
        <v>Brown</v>
      </c>
      <c r="D835" s="6" t="str">
        <f>_xlfn.LET(
     _xlpm.a, TRIM(Employee_dataset[[#This Row],[Age]]),
     IF(
        _xlpm.a="","",
        IF(
           AND(ISNUMBER(--_xlpm.a),LEN(_xlpm.a)=2),_xlpm.a,""
          )
       )
    )</f>
        <v>40</v>
      </c>
      <c r="E835" t="str">
        <f>TRIM(_xlfn.TEXTBEFORE(Employee_dataset[[#This Row],[Department_Region]],"-"))</f>
        <v>Finance</v>
      </c>
      <c r="F835" t="str">
        <f>TRIM(_xlfn.TEXTAFTER(Employee_dataset[[#This Row],[Department_Region]],"-"))</f>
        <v>Illinois</v>
      </c>
      <c r="G835" t="str">
        <f>TRIM(Employee_dataset[[#This Row],[Status]])</f>
        <v>Inactive</v>
      </c>
      <c r="H835" s="1">
        <f>_xlfn.LET(
     _xlpm.d, Employee_dataset[[#This Row],[Join_Date]],
     IF(
        ISNUMBER(_xlpm.d),_xlpm.d,""
       )
    )</f>
        <v>45006</v>
      </c>
      <c r="I835" s="6">
        <f>_xlfn.LET(
     _xlpm.s, TRIM(Employee_dataset[[#This Row],[Salary]]),
     IF(
        UPPER(_xlpm.s)="N/A","",
        IF(
           ISNUMBER(--_xlpm.s),ROUND(_xlfn.NUMBERVALUE(_xlpm.s),2),""
          )
       )
    )</f>
        <v>101367.02</v>
      </c>
      <c r="J835" t="str">
        <f>TRIM(Employee_dataset[[#This Row],[Email]])</f>
        <v>alice.brown@example.com</v>
      </c>
      <c r="K835" t="str">
        <f>_xlfn.LET(
     _xlpm.p,TRIM(SUBSTITUTE(Employee_dataset[[#This Row],[Phone]],"-","")),
     IF(
        LEN(_xlpm.p)=10,_xlfn.CONCAT("("&amp;LEFT(_xlpm.p,3)&amp;") "&amp;MID(_xlpm.p,4,3)&amp;"-"&amp;RIGHT(_xlpm.p,4),"")
       )
     )</f>
        <v>(576) 927-7893</v>
      </c>
      <c r="L835" t="str">
        <f>TRIM(Employee_dataset[[#This Row],[Performance_Score]])</f>
        <v>Excellent</v>
      </c>
      <c r="M835" t="str">
        <f>TRIM(Employee_dataset[[#This Row],[Remote_Work]])</f>
        <v>FALSE</v>
      </c>
    </row>
    <row r="836" spans="1:13" x14ac:dyDescent="0.3">
      <c r="A836" t="str">
        <f>TRIM(Employee_dataset[[#This Row],[Employee_ID]])</f>
        <v>EMP1834</v>
      </c>
      <c r="B836" t="str">
        <f>PROPER(TRIM(Employee_dataset[[#This Row],[First_Name]]))</f>
        <v>Eva</v>
      </c>
      <c r="C836" t="str">
        <f>PROPER(TRIM(Employee_dataset[[#This Row],[Last_Name]]))</f>
        <v>Smith</v>
      </c>
      <c r="D836" s="6" t="str">
        <f>_xlfn.LET(
     _xlpm.a, TRIM(Employee_dataset[[#This Row],[Age]]),
     IF(
        _xlpm.a="","",
        IF(
           AND(ISNUMBER(--_xlpm.a),LEN(_xlpm.a)=2),_xlpm.a,""
          )
       )
    )</f>
        <v>35</v>
      </c>
      <c r="E836" t="str">
        <f>TRIM(_xlfn.TEXTBEFORE(Employee_dataset[[#This Row],[Department_Region]],"-"))</f>
        <v>Admin</v>
      </c>
      <c r="F836" t="str">
        <f>TRIM(_xlfn.TEXTAFTER(Employee_dataset[[#This Row],[Department_Region]],"-"))</f>
        <v>Texas</v>
      </c>
      <c r="G836" t="str">
        <f>TRIM(Employee_dataset[[#This Row],[Status]])</f>
        <v>Pending</v>
      </c>
      <c r="H836" s="1">
        <f>_xlfn.LET(
     _xlpm.d, Employee_dataset[[#This Row],[Join_Date]],
     IF(
        ISNUMBER(_xlpm.d),_xlpm.d,""
       )
    )</f>
        <v>45054</v>
      </c>
      <c r="I836" s="6">
        <f>_xlfn.LET(
     _xlpm.s, TRIM(Employee_dataset[[#This Row],[Salary]]),
     IF(
        UPPER(_xlpm.s)="N/A","",
        IF(
           ISNUMBER(--_xlpm.s),ROUND(_xlfn.NUMBERVALUE(_xlpm.s),2),""
          )
       )
    )</f>
        <v>102459.77</v>
      </c>
      <c r="J836" t="str">
        <f>TRIM(Employee_dataset[[#This Row],[Email]])</f>
        <v>eva.smith@example.com</v>
      </c>
      <c r="K836" t="str">
        <f>_xlfn.LET(
     _xlpm.p,TRIM(SUBSTITUTE(Employee_dataset[[#This Row],[Phone]],"-","")),
     IF(
        LEN(_xlpm.p)=10,_xlfn.CONCAT("("&amp;LEFT(_xlpm.p,3)&amp;") "&amp;MID(_xlpm.p,4,3)&amp;"-"&amp;RIGHT(_xlpm.p,4),"")
       )
     )</f>
        <v>(319) 100-9003</v>
      </c>
      <c r="L836" t="str">
        <f>TRIM(Employee_dataset[[#This Row],[Performance_Score]])</f>
        <v>Poor</v>
      </c>
      <c r="M836" t="str">
        <f>TRIM(Employee_dataset[[#This Row],[Remote_Work]])</f>
        <v>FALSE</v>
      </c>
    </row>
    <row r="837" spans="1:13" x14ac:dyDescent="0.3">
      <c r="A837" t="str">
        <f>TRIM(Employee_dataset[[#This Row],[Employee_ID]])</f>
        <v>EMP1835</v>
      </c>
      <c r="B837" t="str">
        <f>PROPER(TRIM(Employee_dataset[[#This Row],[First_Name]]))</f>
        <v>Eva</v>
      </c>
      <c r="C837" t="str">
        <f>PROPER(TRIM(Employee_dataset[[#This Row],[Last_Name]]))</f>
        <v>Brown</v>
      </c>
      <c r="D837" s="6" t="str">
        <f>_xlfn.LET(
     _xlpm.a, TRIM(Employee_dataset[[#This Row],[Age]]),
     IF(
        _xlpm.a="","",
        IF(
           AND(ISNUMBER(--_xlpm.a),LEN(_xlpm.a)=2),_xlpm.a,""
          )
       )
    )</f>
        <v>25</v>
      </c>
      <c r="E837" t="str">
        <f>TRIM(_xlfn.TEXTBEFORE(Employee_dataset[[#This Row],[Department_Region]],"-"))</f>
        <v>DevOps</v>
      </c>
      <c r="F837" t="str">
        <f>TRIM(_xlfn.TEXTAFTER(Employee_dataset[[#This Row],[Department_Region]],"-"))</f>
        <v>Florida</v>
      </c>
      <c r="G837" t="str">
        <f>TRIM(Employee_dataset[[#This Row],[Status]])</f>
        <v>Pending</v>
      </c>
      <c r="H837" s="1">
        <f>_xlfn.LET(
     _xlpm.d, Employee_dataset[[#This Row],[Join_Date]],
     IF(
        ISNUMBER(_xlpm.d),_xlpm.d,""
       )
    )</f>
        <v>44177</v>
      </c>
      <c r="I837" s="6">
        <f>_xlfn.LET(
     _xlpm.s, TRIM(Employee_dataset[[#This Row],[Salary]]),
     IF(
        UPPER(_xlpm.s)="N/A","",
        IF(
           ISNUMBER(--_xlpm.s),ROUND(_xlfn.NUMBERVALUE(_xlpm.s),2),""
          )
       )
    )</f>
        <v>90100.2</v>
      </c>
      <c r="J837" t="str">
        <f>TRIM(Employee_dataset[[#This Row],[Email]])</f>
        <v>eva.brown@example.com</v>
      </c>
      <c r="K837" t="b">
        <f>_xlfn.LET(
     _xlpm.p,TRIM(SUBSTITUTE(Employee_dataset[[#This Row],[Phone]],"-","")),
     IF(
        LEN(_xlpm.p)=10,_xlfn.CONCAT("("&amp;LEFT(_xlpm.p,3)&amp;") "&amp;MID(_xlpm.p,4,3)&amp;"-"&amp;RIGHT(_xlpm.p,4),"")
       )
     )</f>
        <v>0</v>
      </c>
      <c r="L837" t="str">
        <f>TRIM(Employee_dataset[[#This Row],[Performance_Score]])</f>
        <v>Good</v>
      </c>
      <c r="M837" t="str">
        <f>TRIM(Employee_dataset[[#This Row],[Remote_Work]])</f>
        <v>FALSE</v>
      </c>
    </row>
    <row r="838" spans="1:13" x14ac:dyDescent="0.3">
      <c r="A838" t="str">
        <f>TRIM(Employee_dataset[[#This Row],[Employee_ID]])</f>
        <v>EMP1836</v>
      </c>
      <c r="B838" t="str">
        <f>PROPER(TRIM(Employee_dataset[[#This Row],[First_Name]]))</f>
        <v>Eva</v>
      </c>
      <c r="C838" t="str">
        <f>PROPER(TRIM(Employee_dataset[[#This Row],[Last_Name]]))</f>
        <v>Williams</v>
      </c>
      <c r="D838" s="6" t="str">
        <f>_xlfn.LET(
     _xlpm.a, TRIM(Employee_dataset[[#This Row],[Age]]),
     IF(
        _xlpm.a="","",
        IF(
           AND(ISNUMBER(--_xlpm.a),LEN(_xlpm.a)=2),_xlpm.a,""
          )
       )
    )</f>
        <v/>
      </c>
      <c r="E838" t="str">
        <f>TRIM(_xlfn.TEXTBEFORE(Employee_dataset[[#This Row],[Department_Region]],"-"))</f>
        <v>Cloud Tech</v>
      </c>
      <c r="F838" t="str">
        <f>TRIM(_xlfn.TEXTAFTER(Employee_dataset[[#This Row],[Department_Region]],"-"))</f>
        <v>California</v>
      </c>
      <c r="G838" t="str">
        <f>TRIM(Employee_dataset[[#This Row],[Status]])</f>
        <v>Inactive</v>
      </c>
      <c r="H838" s="1">
        <f>_xlfn.LET(
     _xlpm.d, Employee_dataset[[#This Row],[Join_Date]],
     IF(
        ISNUMBER(_xlpm.d),_xlpm.d,""
       )
    )</f>
        <v>43999</v>
      </c>
      <c r="I838" s="6">
        <f>_xlfn.LET(
     _xlpm.s, TRIM(Employee_dataset[[#This Row],[Salary]]),
     IF(
        UPPER(_xlpm.s)="N/A","",
        IF(
           ISNUMBER(--_xlpm.s),ROUND(_xlfn.NUMBERVALUE(_xlpm.s),2),""
          )
       )
    )</f>
        <v>58877.49</v>
      </c>
      <c r="J838" t="str">
        <f>TRIM(Employee_dataset[[#This Row],[Email]])</f>
        <v>eva.williams@example.com</v>
      </c>
      <c r="K838" t="str">
        <f>_xlfn.LET(
     _xlpm.p,TRIM(SUBSTITUTE(Employee_dataset[[#This Row],[Phone]],"-","")),
     IF(
        LEN(_xlpm.p)=10,_xlfn.CONCAT("("&amp;LEFT(_xlpm.p,3)&amp;") "&amp;MID(_xlpm.p,4,3)&amp;"-"&amp;RIGHT(_xlpm.p,4),"")
       )
     )</f>
        <v>(365) 146-0400</v>
      </c>
      <c r="L838" t="str">
        <f>TRIM(Employee_dataset[[#This Row],[Performance_Score]])</f>
        <v>Excellent</v>
      </c>
      <c r="M838" t="str">
        <f>TRIM(Employee_dataset[[#This Row],[Remote_Work]])</f>
        <v>FALSE</v>
      </c>
    </row>
    <row r="839" spans="1:13" x14ac:dyDescent="0.3">
      <c r="A839" t="str">
        <f>TRIM(Employee_dataset[[#This Row],[Employee_ID]])</f>
        <v>EMP1837</v>
      </c>
      <c r="B839" t="str">
        <f>PROPER(TRIM(Employee_dataset[[#This Row],[First_Name]]))</f>
        <v>Eva</v>
      </c>
      <c r="C839" t="str">
        <f>PROPER(TRIM(Employee_dataset[[#This Row],[Last_Name]]))</f>
        <v>Jones</v>
      </c>
      <c r="D839" s="6" t="str">
        <f>_xlfn.LET(
     _xlpm.a, TRIM(Employee_dataset[[#This Row],[Age]]),
     IF(
        _xlpm.a="","",
        IF(
           AND(ISNUMBER(--_xlpm.a),LEN(_xlpm.a)=2),_xlpm.a,""
          )
       )
    )</f>
        <v>35</v>
      </c>
      <c r="E839" t="str">
        <f>TRIM(_xlfn.TEXTBEFORE(Employee_dataset[[#This Row],[Department_Region]],"-"))</f>
        <v>Admin</v>
      </c>
      <c r="F839" t="str">
        <f>TRIM(_xlfn.TEXTAFTER(Employee_dataset[[#This Row],[Department_Region]],"-"))</f>
        <v>Illinois</v>
      </c>
      <c r="G839" t="str">
        <f>TRIM(Employee_dataset[[#This Row],[Status]])</f>
        <v>Inactive</v>
      </c>
      <c r="H839" s="1">
        <f>_xlfn.LET(
     _xlpm.d, Employee_dataset[[#This Row],[Join_Date]],
     IF(
        ISNUMBER(_xlpm.d),_xlpm.d,""
       )
    )</f>
        <v>44394</v>
      </c>
      <c r="I839" s="6" t="str">
        <f>_xlfn.LET(
     _xlpm.s, TRIM(Employee_dataset[[#This Row],[Salary]]),
     IF(
        UPPER(_xlpm.s)="N/A","",
        IF(
           ISNUMBER(--_xlpm.s),ROUND(_xlfn.NUMBERVALUE(_xlpm.s),2),""
          )
       )
    )</f>
        <v/>
      </c>
      <c r="J839" t="str">
        <f>TRIM(Employee_dataset[[#This Row],[Email]])</f>
        <v>eva.jones@example.com</v>
      </c>
      <c r="K839" t="str">
        <f>_xlfn.LET(
     _xlpm.p,TRIM(SUBSTITUTE(Employee_dataset[[#This Row],[Phone]],"-","")),
     IF(
        LEN(_xlpm.p)=10,_xlfn.CONCAT("("&amp;LEFT(_xlpm.p,3)&amp;") "&amp;MID(_xlpm.p,4,3)&amp;"-"&amp;RIGHT(_xlpm.p,4),"")
       )
     )</f>
        <v>(424) 731-0719</v>
      </c>
      <c r="L839" t="str">
        <f>TRIM(Employee_dataset[[#This Row],[Performance_Score]])</f>
        <v>Excellent</v>
      </c>
      <c r="M839" t="str">
        <f>TRIM(Employee_dataset[[#This Row],[Remote_Work]])</f>
        <v>FALSE</v>
      </c>
    </row>
    <row r="840" spans="1:13" x14ac:dyDescent="0.3">
      <c r="A840" t="str">
        <f>TRIM(Employee_dataset[[#This Row],[Employee_ID]])</f>
        <v>EMP1838</v>
      </c>
      <c r="B840" t="str">
        <f>PROPER(TRIM(Employee_dataset[[#This Row],[First_Name]]))</f>
        <v>Bob</v>
      </c>
      <c r="C840" t="str">
        <f>PROPER(TRIM(Employee_dataset[[#This Row],[Last_Name]]))</f>
        <v>Brown</v>
      </c>
      <c r="D840" s="6" t="str">
        <f>_xlfn.LET(
     _xlpm.a, TRIM(Employee_dataset[[#This Row],[Age]]),
     IF(
        _xlpm.a="","",
        IF(
           AND(ISNUMBER(--_xlpm.a),LEN(_xlpm.a)=2),_xlpm.a,""
          )
       )
    )</f>
        <v/>
      </c>
      <c r="E840" t="str">
        <f>TRIM(_xlfn.TEXTBEFORE(Employee_dataset[[#This Row],[Department_Region]],"-"))</f>
        <v>Admin</v>
      </c>
      <c r="F840" t="str">
        <f>TRIM(_xlfn.TEXTAFTER(Employee_dataset[[#This Row],[Department_Region]],"-"))</f>
        <v>Illinois</v>
      </c>
      <c r="G840" t="str">
        <f>TRIM(Employee_dataset[[#This Row],[Status]])</f>
        <v>Pending</v>
      </c>
      <c r="H840" s="1">
        <f>_xlfn.LET(
     _xlpm.d, Employee_dataset[[#This Row],[Join_Date]],
     IF(
        ISNUMBER(_xlpm.d),_xlpm.d,""
       )
    )</f>
        <v>44140</v>
      </c>
      <c r="I840" s="6">
        <f>_xlfn.LET(
     _xlpm.s, TRIM(Employee_dataset[[#This Row],[Salary]]),
     IF(
        UPPER(_xlpm.s)="N/A","",
        IF(
           ISNUMBER(--_xlpm.s),ROUND(_xlfn.NUMBERVALUE(_xlpm.s),2),""
          )
       )
    )</f>
        <v>96140.89</v>
      </c>
      <c r="J840" t="str">
        <f>TRIM(Employee_dataset[[#This Row],[Email]])</f>
        <v>bob.brown@example.com</v>
      </c>
      <c r="K840" t="str">
        <f>_xlfn.LET(
     _xlpm.p,TRIM(SUBSTITUTE(Employee_dataset[[#This Row],[Phone]],"-","")),
     IF(
        LEN(_xlpm.p)=10,_xlfn.CONCAT("("&amp;LEFT(_xlpm.p,3)&amp;") "&amp;MID(_xlpm.p,4,3)&amp;"-"&amp;RIGHT(_xlpm.p,4),"")
       )
     )</f>
        <v>(113) 798-4408</v>
      </c>
      <c r="L840" t="str">
        <f>TRIM(Employee_dataset[[#This Row],[Performance_Score]])</f>
        <v>Average</v>
      </c>
      <c r="M840" t="str">
        <f>TRIM(Employee_dataset[[#This Row],[Remote_Work]])</f>
        <v>TRUE</v>
      </c>
    </row>
    <row r="841" spans="1:13" x14ac:dyDescent="0.3">
      <c r="A841" t="str">
        <f>TRIM(Employee_dataset[[#This Row],[Employee_ID]])</f>
        <v>EMP1839</v>
      </c>
      <c r="B841" t="str">
        <f>PROPER(TRIM(Employee_dataset[[#This Row],[First_Name]]))</f>
        <v>Charlie</v>
      </c>
      <c r="C841" t="str">
        <f>PROPER(TRIM(Employee_dataset[[#This Row],[Last_Name]]))</f>
        <v>Jones</v>
      </c>
      <c r="D841" s="6" t="str">
        <f>_xlfn.LET(
     _xlpm.a, TRIM(Employee_dataset[[#This Row],[Age]]),
     IF(
        _xlpm.a="","",
        IF(
           AND(ISNUMBER(--_xlpm.a),LEN(_xlpm.a)=2),_xlpm.a,""
          )
       )
    )</f>
        <v>35</v>
      </c>
      <c r="E841" t="str">
        <f>TRIM(_xlfn.TEXTBEFORE(Employee_dataset[[#This Row],[Department_Region]],"-"))</f>
        <v>DevOps</v>
      </c>
      <c r="F841" t="str">
        <f>TRIM(_xlfn.TEXTAFTER(Employee_dataset[[#This Row],[Department_Region]],"-"))</f>
        <v>New York</v>
      </c>
      <c r="G841" t="str">
        <f>TRIM(Employee_dataset[[#This Row],[Status]])</f>
        <v>Inactive</v>
      </c>
      <c r="H841" s="1">
        <f>_xlfn.LET(
     _xlpm.d, Employee_dataset[[#This Row],[Join_Date]],
     IF(
        ISNUMBER(_xlpm.d),_xlpm.d,""
       )
    )</f>
        <v>44201</v>
      </c>
      <c r="I841" s="6">
        <f>_xlfn.LET(
     _xlpm.s, TRIM(Employee_dataset[[#This Row],[Salary]]),
     IF(
        UPPER(_xlpm.s)="N/A","",
        IF(
           ISNUMBER(--_xlpm.s),ROUND(_xlfn.NUMBERVALUE(_xlpm.s),2),""
          )
       )
    )</f>
        <v>105956.04</v>
      </c>
      <c r="J841" t="str">
        <f>TRIM(Employee_dataset[[#This Row],[Email]])</f>
        <v>charlie.jones@example.com</v>
      </c>
      <c r="K841" t="str">
        <f>_xlfn.LET(
     _xlpm.p,TRIM(SUBSTITUTE(Employee_dataset[[#This Row],[Phone]],"-","")),
     IF(
        LEN(_xlpm.p)=10,_xlfn.CONCAT("("&amp;LEFT(_xlpm.p,3)&amp;") "&amp;MID(_xlpm.p,4,3)&amp;"-"&amp;RIGHT(_xlpm.p,4),"")
       )
     )</f>
        <v>(712) 316-6006</v>
      </c>
      <c r="L841" t="str">
        <f>TRIM(Employee_dataset[[#This Row],[Performance_Score]])</f>
        <v>Excellent</v>
      </c>
      <c r="M841" t="str">
        <f>TRIM(Employee_dataset[[#This Row],[Remote_Work]])</f>
        <v>FALSE</v>
      </c>
    </row>
    <row r="842" spans="1:13" x14ac:dyDescent="0.3">
      <c r="A842" t="str">
        <f>TRIM(Employee_dataset[[#This Row],[Employee_ID]])</f>
        <v>EMP1840</v>
      </c>
      <c r="B842" t="str">
        <f>PROPER(TRIM(Employee_dataset[[#This Row],[First_Name]]))</f>
        <v>Frank</v>
      </c>
      <c r="C842" t="str">
        <f>PROPER(TRIM(Employee_dataset[[#This Row],[Last_Name]]))</f>
        <v>Davis</v>
      </c>
      <c r="D842" s="6" t="str">
        <f>_xlfn.LET(
     _xlpm.a, TRIM(Employee_dataset[[#This Row],[Age]]),
     IF(
        _xlpm.a="","",
        IF(
           AND(ISNUMBER(--_xlpm.a),LEN(_xlpm.a)=2),_xlpm.a,""
          )
       )
    )</f>
        <v>25</v>
      </c>
      <c r="E842" t="str">
        <f>TRIM(_xlfn.TEXTBEFORE(Employee_dataset[[#This Row],[Department_Region]],"-"))</f>
        <v>Admin</v>
      </c>
      <c r="F842" t="str">
        <f>TRIM(_xlfn.TEXTAFTER(Employee_dataset[[#This Row],[Department_Region]],"-"))</f>
        <v>Illinois</v>
      </c>
      <c r="G842" t="str">
        <f>TRIM(Employee_dataset[[#This Row],[Status]])</f>
        <v>Active</v>
      </c>
      <c r="H842" s="1">
        <f>_xlfn.LET(
     _xlpm.d, Employee_dataset[[#This Row],[Join_Date]],
     IF(
        ISNUMBER(_xlpm.d),_xlpm.d,""
       )
    )</f>
        <v>45546</v>
      </c>
      <c r="I842" s="6">
        <f>_xlfn.LET(
     _xlpm.s, TRIM(Employee_dataset[[#This Row],[Salary]]),
     IF(
        UPPER(_xlpm.s)="N/A","",
        IF(
           ISNUMBER(--_xlpm.s),ROUND(_xlfn.NUMBERVALUE(_xlpm.s),2),""
          )
       )
    )</f>
        <v>84716.38</v>
      </c>
      <c r="J842" t="str">
        <f>TRIM(Employee_dataset[[#This Row],[Email]])</f>
        <v>frank.davis@example.com</v>
      </c>
      <c r="K842" t="str">
        <f>_xlfn.LET(
     _xlpm.p,TRIM(SUBSTITUTE(Employee_dataset[[#This Row],[Phone]],"-","")),
     IF(
        LEN(_xlpm.p)=10,_xlfn.CONCAT("("&amp;LEFT(_xlpm.p,3)&amp;") "&amp;MID(_xlpm.p,4,3)&amp;"-"&amp;RIGHT(_xlpm.p,4),"")
       )
     )</f>
        <v>(676) 209-0143</v>
      </c>
      <c r="L842" t="str">
        <f>TRIM(Employee_dataset[[#This Row],[Performance_Score]])</f>
        <v>Good</v>
      </c>
      <c r="M842" t="str">
        <f>TRIM(Employee_dataset[[#This Row],[Remote_Work]])</f>
        <v>FALSE</v>
      </c>
    </row>
    <row r="843" spans="1:13" x14ac:dyDescent="0.3">
      <c r="A843" t="str">
        <f>TRIM(Employee_dataset[[#This Row],[Employee_ID]])</f>
        <v>EMP1841</v>
      </c>
      <c r="B843" t="str">
        <f>PROPER(TRIM(Employee_dataset[[#This Row],[First_Name]]))</f>
        <v>Grace</v>
      </c>
      <c r="C843" t="str">
        <f>PROPER(TRIM(Employee_dataset[[#This Row],[Last_Name]]))</f>
        <v>Garcia</v>
      </c>
      <c r="D843" s="6" t="str">
        <f>_xlfn.LET(
     _xlpm.a, TRIM(Employee_dataset[[#This Row],[Age]]),
     IF(
        _xlpm.a="","",
        IF(
           AND(ISNUMBER(--_xlpm.a),LEN(_xlpm.a)=2),_xlpm.a,""
          )
       )
    )</f>
        <v>30</v>
      </c>
      <c r="E843" t="str">
        <f>TRIM(_xlfn.TEXTBEFORE(Employee_dataset[[#This Row],[Department_Region]],"-"))</f>
        <v>DevOps</v>
      </c>
      <c r="F843" t="str">
        <f>TRIM(_xlfn.TEXTAFTER(Employee_dataset[[#This Row],[Department_Region]],"-"))</f>
        <v>Florida</v>
      </c>
      <c r="G843" t="str">
        <f>TRIM(Employee_dataset[[#This Row],[Status]])</f>
        <v>Pending</v>
      </c>
      <c r="H843" s="1">
        <f>_xlfn.LET(
     _xlpm.d, Employee_dataset[[#This Row],[Join_Date]],
     IF(
        ISNUMBER(_xlpm.d),_xlpm.d,""
       )
    )</f>
        <v>45136</v>
      </c>
      <c r="I843" s="6">
        <f>_xlfn.LET(
     _xlpm.s, TRIM(Employee_dataset[[#This Row],[Salary]]),
     IF(
        UPPER(_xlpm.s)="N/A","",
        IF(
           ISNUMBER(--_xlpm.s),ROUND(_xlfn.NUMBERVALUE(_xlpm.s),2),""
          )
       )
    )</f>
        <v>61709.83</v>
      </c>
      <c r="J843" t="str">
        <f>TRIM(Employee_dataset[[#This Row],[Email]])</f>
        <v>grace.garcia@example.com</v>
      </c>
      <c r="K843" t="str">
        <f>_xlfn.LET(
     _xlpm.p,TRIM(SUBSTITUTE(Employee_dataset[[#This Row],[Phone]],"-","")),
     IF(
        LEN(_xlpm.p)=10,_xlfn.CONCAT("("&amp;LEFT(_xlpm.p,3)&amp;") "&amp;MID(_xlpm.p,4,3)&amp;"-"&amp;RIGHT(_xlpm.p,4),"")
       )
     )</f>
        <v>(734) 043-3699</v>
      </c>
      <c r="L843" t="str">
        <f>TRIM(Employee_dataset[[#This Row],[Performance_Score]])</f>
        <v>Good</v>
      </c>
      <c r="M843" t="str">
        <f>TRIM(Employee_dataset[[#This Row],[Remote_Work]])</f>
        <v>TRUE</v>
      </c>
    </row>
    <row r="844" spans="1:13" x14ac:dyDescent="0.3">
      <c r="A844" t="str">
        <f>TRIM(Employee_dataset[[#This Row],[Employee_ID]])</f>
        <v>EMP1842</v>
      </c>
      <c r="B844" t="str">
        <f>PROPER(TRIM(Employee_dataset[[#This Row],[First_Name]]))</f>
        <v>Frank</v>
      </c>
      <c r="C844" t="str">
        <f>PROPER(TRIM(Employee_dataset[[#This Row],[Last_Name]]))</f>
        <v>Smith</v>
      </c>
      <c r="D844" s="6" t="str">
        <f>_xlfn.LET(
     _xlpm.a, TRIM(Employee_dataset[[#This Row],[Age]]),
     IF(
        _xlpm.a="","",
        IF(
           AND(ISNUMBER(--_xlpm.a),LEN(_xlpm.a)=2),_xlpm.a,""
          )
       )
    )</f>
        <v>25</v>
      </c>
      <c r="E844" t="str">
        <f>TRIM(_xlfn.TEXTBEFORE(Employee_dataset[[#This Row],[Department_Region]],"-"))</f>
        <v>DevOps</v>
      </c>
      <c r="F844" t="str">
        <f>TRIM(_xlfn.TEXTAFTER(Employee_dataset[[#This Row],[Department_Region]],"-"))</f>
        <v>California</v>
      </c>
      <c r="G844" t="str">
        <f>TRIM(Employee_dataset[[#This Row],[Status]])</f>
        <v>Active</v>
      </c>
      <c r="H844" s="1">
        <f>_xlfn.LET(
     _xlpm.d, Employee_dataset[[#This Row],[Join_Date]],
     IF(
        ISNUMBER(_xlpm.d),_xlpm.d,""
       )
    )</f>
        <v>43938</v>
      </c>
      <c r="I844" s="6">
        <f>_xlfn.LET(
     _xlpm.s, TRIM(Employee_dataset[[#This Row],[Salary]]),
     IF(
        UPPER(_xlpm.s)="N/A","",
        IF(
           ISNUMBER(--_xlpm.s),ROUND(_xlfn.NUMBERVALUE(_xlpm.s),2),""
          )
       )
    )</f>
        <v>61732.03</v>
      </c>
      <c r="J844" t="str">
        <f>TRIM(Employee_dataset[[#This Row],[Email]])</f>
        <v>frank.smith@example.com</v>
      </c>
      <c r="K844" t="str">
        <f>_xlfn.LET(
     _xlpm.p,TRIM(SUBSTITUTE(Employee_dataset[[#This Row],[Phone]],"-","")),
     IF(
        LEN(_xlpm.p)=10,_xlfn.CONCAT("("&amp;LEFT(_xlpm.p,3)&amp;") "&amp;MID(_xlpm.p,4,3)&amp;"-"&amp;RIGHT(_xlpm.p,4),"")
       )
     )</f>
        <v>(968) 730-4518</v>
      </c>
      <c r="L844" t="str">
        <f>TRIM(Employee_dataset[[#This Row],[Performance_Score]])</f>
        <v>Average</v>
      </c>
      <c r="M844" t="str">
        <f>TRIM(Employee_dataset[[#This Row],[Remote_Work]])</f>
        <v>TRUE</v>
      </c>
    </row>
    <row r="845" spans="1:13" x14ac:dyDescent="0.3">
      <c r="A845" t="str">
        <f>TRIM(Employee_dataset[[#This Row],[Employee_ID]])</f>
        <v>EMP1843</v>
      </c>
      <c r="B845" t="str">
        <f>PROPER(TRIM(Employee_dataset[[#This Row],[First_Name]]))</f>
        <v>Eva</v>
      </c>
      <c r="C845" t="str">
        <f>PROPER(TRIM(Employee_dataset[[#This Row],[Last_Name]]))</f>
        <v>Davis</v>
      </c>
      <c r="D845" s="6" t="str">
        <f>_xlfn.LET(
     _xlpm.a, TRIM(Employee_dataset[[#This Row],[Age]]),
     IF(
        _xlpm.a="","",
        IF(
           AND(ISNUMBER(--_xlpm.a),LEN(_xlpm.a)=2),_xlpm.a,""
          )
       )
    )</f>
        <v>40</v>
      </c>
      <c r="E845" t="str">
        <f>TRIM(_xlfn.TEXTBEFORE(Employee_dataset[[#This Row],[Department_Region]],"-"))</f>
        <v>DevOps</v>
      </c>
      <c r="F845" t="str">
        <f>TRIM(_xlfn.TEXTAFTER(Employee_dataset[[#This Row],[Department_Region]],"-"))</f>
        <v>Illinois</v>
      </c>
      <c r="G845" t="str">
        <f>TRIM(Employee_dataset[[#This Row],[Status]])</f>
        <v>Active</v>
      </c>
      <c r="H845" s="1">
        <f>_xlfn.LET(
     _xlpm.d, Employee_dataset[[#This Row],[Join_Date]],
     IF(
        ISNUMBER(_xlpm.d),_xlpm.d,""
       )
    )</f>
        <v>44608</v>
      </c>
      <c r="I845" s="6">
        <f>_xlfn.LET(
     _xlpm.s, TRIM(Employee_dataset[[#This Row],[Salary]]),
     IF(
        UPPER(_xlpm.s)="N/A","",
        IF(
           ISNUMBER(--_xlpm.s),ROUND(_xlfn.NUMBERVALUE(_xlpm.s),2),""
          )
       )
    )</f>
        <v>97845.7</v>
      </c>
      <c r="J845" t="str">
        <f>TRIM(Employee_dataset[[#This Row],[Email]])</f>
        <v>eva.davis@example.com</v>
      </c>
      <c r="K845" t="str">
        <f>_xlfn.LET(
     _xlpm.p,TRIM(SUBSTITUTE(Employee_dataset[[#This Row],[Phone]],"-","")),
     IF(
        LEN(_xlpm.p)=10,_xlfn.CONCAT("("&amp;LEFT(_xlpm.p,3)&amp;") "&amp;MID(_xlpm.p,4,3)&amp;"-"&amp;RIGHT(_xlpm.p,4),"")
       )
     )</f>
        <v>(577) 825-5881</v>
      </c>
      <c r="L845" t="str">
        <f>TRIM(Employee_dataset[[#This Row],[Performance_Score]])</f>
        <v>Good</v>
      </c>
      <c r="M845" t="str">
        <f>TRIM(Employee_dataset[[#This Row],[Remote_Work]])</f>
        <v>TRUE</v>
      </c>
    </row>
    <row r="846" spans="1:13" x14ac:dyDescent="0.3">
      <c r="A846" t="str">
        <f>TRIM(Employee_dataset[[#This Row],[Employee_ID]])</f>
        <v>EMP1844</v>
      </c>
      <c r="B846" t="str">
        <f>PROPER(TRIM(Employee_dataset[[#This Row],[First_Name]]))</f>
        <v>Eva</v>
      </c>
      <c r="C846" t="str">
        <f>PROPER(TRIM(Employee_dataset[[#This Row],[Last_Name]]))</f>
        <v>Jones</v>
      </c>
      <c r="D846" s="6" t="str">
        <f>_xlfn.LET(
     _xlpm.a, TRIM(Employee_dataset[[#This Row],[Age]]),
     IF(
        _xlpm.a="","",
        IF(
           AND(ISNUMBER(--_xlpm.a),LEN(_xlpm.a)=2),_xlpm.a,""
          )
       )
    )</f>
        <v>30</v>
      </c>
      <c r="E846" t="str">
        <f>TRIM(_xlfn.TEXTBEFORE(Employee_dataset[[#This Row],[Department_Region]],"-"))</f>
        <v>Sales</v>
      </c>
      <c r="F846" t="str">
        <f>TRIM(_xlfn.TEXTAFTER(Employee_dataset[[#This Row],[Department_Region]],"-"))</f>
        <v>Florida</v>
      </c>
      <c r="G846" t="str">
        <f>TRIM(Employee_dataset[[#This Row],[Status]])</f>
        <v>Active</v>
      </c>
      <c r="H846" s="1">
        <f>_xlfn.LET(
     _xlpm.d, Employee_dataset[[#This Row],[Join_Date]],
     IF(
        ISNUMBER(_xlpm.d),_xlpm.d,""
       )
    )</f>
        <v>44422</v>
      </c>
      <c r="I846" s="6">
        <f>_xlfn.LET(
     _xlpm.s, TRIM(Employee_dataset[[#This Row],[Salary]]),
     IF(
        UPPER(_xlpm.s)="N/A","",
        IF(
           ISNUMBER(--_xlpm.s),ROUND(_xlfn.NUMBERVALUE(_xlpm.s),2),""
          )
       )
    )</f>
        <v>114905.58</v>
      </c>
      <c r="J846" t="str">
        <f>TRIM(Employee_dataset[[#This Row],[Email]])</f>
        <v>eva.jones@example.com</v>
      </c>
      <c r="K846" t="str">
        <f>_xlfn.LET(
     _xlpm.p,TRIM(SUBSTITUTE(Employee_dataset[[#This Row],[Phone]],"-","")),
     IF(
        LEN(_xlpm.p)=10,_xlfn.CONCAT("("&amp;LEFT(_xlpm.p,3)&amp;") "&amp;MID(_xlpm.p,4,3)&amp;"-"&amp;RIGHT(_xlpm.p,4),"")
       )
     )</f>
        <v>(556) 296-5753</v>
      </c>
      <c r="L846" t="str">
        <f>TRIM(Employee_dataset[[#This Row],[Performance_Score]])</f>
        <v>Poor</v>
      </c>
      <c r="M846" t="str">
        <f>TRIM(Employee_dataset[[#This Row],[Remote_Work]])</f>
        <v>FALSE</v>
      </c>
    </row>
    <row r="847" spans="1:13" x14ac:dyDescent="0.3">
      <c r="A847" t="str">
        <f>TRIM(Employee_dataset[[#This Row],[Employee_ID]])</f>
        <v>EMP1845</v>
      </c>
      <c r="B847" t="str">
        <f>PROPER(TRIM(Employee_dataset[[#This Row],[First_Name]]))</f>
        <v>Frank</v>
      </c>
      <c r="C847" t="str">
        <f>PROPER(TRIM(Employee_dataset[[#This Row],[Last_Name]]))</f>
        <v>Jones</v>
      </c>
      <c r="D847" s="6" t="str">
        <f>_xlfn.LET(
     _xlpm.a, TRIM(Employee_dataset[[#This Row],[Age]]),
     IF(
        _xlpm.a="","",
        IF(
           AND(ISNUMBER(--_xlpm.a),LEN(_xlpm.a)=2),_xlpm.a,""
          )
       )
    )</f>
        <v/>
      </c>
      <c r="E847" t="str">
        <f>TRIM(_xlfn.TEXTBEFORE(Employee_dataset[[#This Row],[Department_Region]],"-"))</f>
        <v>DevOps</v>
      </c>
      <c r="F847" t="str">
        <f>TRIM(_xlfn.TEXTAFTER(Employee_dataset[[#This Row],[Department_Region]],"-"))</f>
        <v>Texas</v>
      </c>
      <c r="G847" t="str">
        <f>TRIM(Employee_dataset[[#This Row],[Status]])</f>
        <v>Active</v>
      </c>
      <c r="H847" s="1">
        <f>_xlfn.LET(
     _xlpm.d, Employee_dataset[[#This Row],[Join_Date]],
     IF(
        ISNUMBER(_xlpm.d),_xlpm.d,""
       )
    )</f>
        <v>44919</v>
      </c>
      <c r="I847" s="6">
        <f>_xlfn.LET(
     _xlpm.s, TRIM(Employee_dataset[[#This Row],[Salary]]),
     IF(
        UPPER(_xlpm.s)="N/A","",
        IF(
           ISNUMBER(--_xlpm.s),ROUND(_xlfn.NUMBERVALUE(_xlpm.s),2),""
          )
       )
    )</f>
        <v>94619.69</v>
      </c>
      <c r="J847" t="str">
        <f>TRIM(Employee_dataset[[#This Row],[Email]])</f>
        <v>frank.jones@example.com</v>
      </c>
      <c r="K847" t="str">
        <f>_xlfn.LET(
     _xlpm.p,TRIM(SUBSTITUTE(Employee_dataset[[#This Row],[Phone]],"-","")),
     IF(
        LEN(_xlpm.p)=10,_xlfn.CONCAT("("&amp;LEFT(_xlpm.p,3)&amp;") "&amp;MID(_xlpm.p,4,3)&amp;"-"&amp;RIGHT(_xlpm.p,4),"")
       )
     )</f>
        <v>(278) 656-1941</v>
      </c>
      <c r="L847" t="str">
        <f>TRIM(Employee_dataset[[#This Row],[Performance_Score]])</f>
        <v>Good</v>
      </c>
      <c r="M847" t="str">
        <f>TRIM(Employee_dataset[[#This Row],[Remote_Work]])</f>
        <v>TRUE</v>
      </c>
    </row>
    <row r="848" spans="1:13" x14ac:dyDescent="0.3">
      <c r="A848" t="str">
        <f>TRIM(Employee_dataset[[#This Row],[Employee_ID]])</f>
        <v>EMP1846</v>
      </c>
      <c r="B848" t="str">
        <f>PROPER(TRIM(Employee_dataset[[#This Row],[First_Name]]))</f>
        <v>Grace</v>
      </c>
      <c r="C848" t="str">
        <f>PROPER(TRIM(Employee_dataset[[#This Row],[Last_Name]]))</f>
        <v>Johnson</v>
      </c>
      <c r="D848" s="6" t="str">
        <f>_xlfn.LET(
     _xlpm.a, TRIM(Employee_dataset[[#This Row],[Age]]),
     IF(
        _xlpm.a="","",
        IF(
           AND(ISNUMBER(--_xlpm.a),LEN(_xlpm.a)=2),_xlpm.a,""
          )
       )
    )</f>
        <v/>
      </c>
      <c r="E848" t="str">
        <f>TRIM(_xlfn.TEXTBEFORE(Employee_dataset[[#This Row],[Department_Region]],"-"))</f>
        <v>DevOps</v>
      </c>
      <c r="F848" t="str">
        <f>TRIM(_xlfn.TEXTAFTER(Employee_dataset[[#This Row],[Department_Region]],"-"))</f>
        <v>California</v>
      </c>
      <c r="G848" t="str">
        <f>TRIM(Employee_dataset[[#This Row],[Status]])</f>
        <v>Inactive</v>
      </c>
      <c r="H848" s="1">
        <f>_xlfn.LET(
     _xlpm.d, Employee_dataset[[#This Row],[Join_Date]],
     IF(
        ISNUMBER(_xlpm.d),_xlpm.d,""
       )
    )</f>
        <v>44384</v>
      </c>
      <c r="I848" s="6">
        <f>_xlfn.LET(
     _xlpm.s, TRIM(Employee_dataset[[#This Row],[Salary]]),
     IF(
        UPPER(_xlpm.s)="N/A","",
        IF(
           ISNUMBER(--_xlpm.s),ROUND(_xlfn.NUMBERVALUE(_xlpm.s),2),""
          )
       )
    )</f>
        <v>68696.149999999994</v>
      </c>
      <c r="J848" t="str">
        <f>TRIM(Employee_dataset[[#This Row],[Email]])</f>
        <v>grace.johnson@example.com</v>
      </c>
      <c r="K848" t="str">
        <f>_xlfn.LET(
     _xlpm.p,TRIM(SUBSTITUTE(Employee_dataset[[#This Row],[Phone]],"-","")),
     IF(
        LEN(_xlpm.p)=10,_xlfn.CONCAT("("&amp;LEFT(_xlpm.p,3)&amp;") "&amp;MID(_xlpm.p,4,3)&amp;"-"&amp;RIGHT(_xlpm.p,4),"")
       )
     )</f>
        <v>(557) 782-0581</v>
      </c>
      <c r="L848" t="str">
        <f>TRIM(Employee_dataset[[#This Row],[Performance_Score]])</f>
        <v>Good</v>
      </c>
      <c r="M848" t="str">
        <f>TRIM(Employee_dataset[[#This Row],[Remote_Work]])</f>
        <v>FALSE</v>
      </c>
    </row>
    <row r="849" spans="1:13" x14ac:dyDescent="0.3">
      <c r="A849" t="str">
        <f>TRIM(Employee_dataset[[#This Row],[Employee_ID]])</f>
        <v>EMP1847</v>
      </c>
      <c r="B849" t="str">
        <f>PROPER(TRIM(Employee_dataset[[#This Row],[First_Name]]))</f>
        <v>Grace</v>
      </c>
      <c r="C849" t="str">
        <f>PROPER(TRIM(Employee_dataset[[#This Row],[Last_Name]]))</f>
        <v>Johnson</v>
      </c>
      <c r="D849" s="6" t="str">
        <f>_xlfn.LET(
     _xlpm.a, TRIM(Employee_dataset[[#This Row],[Age]]),
     IF(
        _xlpm.a="","",
        IF(
           AND(ISNUMBER(--_xlpm.a),LEN(_xlpm.a)=2),_xlpm.a,""
          )
       )
    )</f>
        <v>40</v>
      </c>
      <c r="E849" t="str">
        <f>TRIM(_xlfn.TEXTBEFORE(Employee_dataset[[#This Row],[Department_Region]],"-"))</f>
        <v>DevOps</v>
      </c>
      <c r="F849" t="str">
        <f>TRIM(_xlfn.TEXTAFTER(Employee_dataset[[#This Row],[Department_Region]],"-"))</f>
        <v>Nevada</v>
      </c>
      <c r="G849" t="str">
        <f>TRIM(Employee_dataset[[#This Row],[Status]])</f>
        <v>Active</v>
      </c>
      <c r="H849" s="1">
        <f>_xlfn.LET(
     _xlpm.d, Employee_dataset[[#This Row],[Join_Date]],
     IF(
        ISNUMBER(_xlpm.d),_xlpm.d,""
       )
    )</f>
        <v>45334</v>
      </c>
      <c r="I849" s="6">
        <f>_xlfn.LET(
     _xlpm.s, TRIM(Employee_dataset[[#This Row],[Salary]]),
     IF(
        UPPER(_xlpm.s)="N/A","",
        IF(
           ISNUMBER(--_xlpm.s),ROUND(_xlfn.NUMBERVALUE(_xlpm.s),2),""
          )
       )
    )</f>
        <v>97032.29</v>
      </c>
      <c r="J849" t="str">
        <f>TRIM(Employee_dataset[[#This Row],[Email]])</f>
        <v>grace.johnson@example.com</v>
      </c>
      <c r="K849" t="str">
        <f>_xlfn.LET(
     _xlpm.p,TRIM(SUBSTITUTE(Employee_dataset[[#This Row],[Phone]],"-","")),
     IF(
        LEN(_xlpm.p)=10,_xlfn.CONCAT("("&amp;LEFT(_xlpm.p,3)&amp;") "&amp;MID(_xlpm.p,4,3)&amp;"-"&amp;RIGHT(_xlpm.p,4),"")
       )
     )</f>
        <v>(958) 292-3615</v>
      </c>
      <c r="L849" t="str">
        <f>TRIM(Employee_dataset[[#This Row],[Performance_Score]])</f>
        <v>Excellent</v>
      </c>
      <c r="M849" t="str">
        <f>TRIM(Employee_dataset[[#This Row],[Remote_Work]])</f>
        <v>FALSE</v>
      </c>
    </row>
    <row r="850" spans="1:13" x14ac:dyDescent="0.3">
      <c r="A850" t="str">
        <f>TRIM(Employee_dataset[[#This Row],[Employee_ID]])</f>
        <v>EMP1848</v>
      </c>
      <c r="B850" t="str">
        <f>PROPER(TRIM(Employee_dataset[[#This Row],[First_Name]]))</f>
        <v>Frank</v>
      </c>
      <c r="C850" t="str">
        <f>PROPER(TRIM(Employee_dataset[[#This Row],[Last_Name]]))</f>
        <v>Davis</v>
      </c>
      <c r="D850" s="6" t="str">
        <f>_xlfn.LET(
     _xlpm.a, TRIM(Employee_dataset[[#This Row],[Age]]),
     IF(
        _xlpm.a="","",
        IF(
           AND(ISNUMBER(--_xlpm.a),LEN(_xlpm.a)=2),_xlpm.a,""
          )
       )
    )</f>
        <v>30</v>
      </c>
      <c r="E850" t="str">
        <f>TRIM(_xlfn.TEXTBEFORE(Employee_dataset[[#This Row],[Department_Region]],"-"))</f>
        <v>HR</v>
      </c>
      <c r="F850" t="str">
        <f>TRIM(_xlfn.TEXTAFTER(Employee_dataset[[#This Row],[Department_Region]],"-"))</f>
        <v>Illinois</v>
      </c>
      <c r="G850" t="str">
        <f>TRIM(Employee_dataset[[#This Row],[Status]])</f>
        <v>Active</v>
      </c>
      <c r="H850" s="1">
        <f>_xlfn.LET(
     _xlpm.d, Employee_dataset[[#This Row],[Join_Date]],
     IF(
        ISNUMBER(_xlpm.d),_xlpm.d,""
       )
    )</f>
        <v>45208</v>
      </c>
      <c r="I850" s="6">
        <f>_xlfn.LET(
     _xlpm.s, TRIM(Employee_dataset[[#This Row],[Salary]]),
     IF(
        UPPER(_xlpm.s)="N/A","",
        IF(
           ISNUMBER(--_xlpm.s),ROUND(_xlfn.NUMBERVALUE(_xlpm.s),2),""
          )
       )
    )</f>
        <v>50593.33</v>
      </c>
      <c r="J850" t="str">
        <f>TRIM(Employee_dataset[[#This Row],[Email]])</f>
        <v>frank.davis@example.com</v>
      </c>
      <c r="K850" t="str">
        <f>_xlfn.LET(
     _xlpm.p,TRIM(SUBSTITUTE(Employee_dataset[[#This Row],[Phone]],"-","")),
     IF(
        LEN(_xlpm.p)=10,_xlfn.CONCAT("("&amp;LEFT(_xlpm.p,3)&amp;") "&amp;MID(_xlpm.p,4,3)&amp;"-"&amp;RIGHT(_xlpm.p,4),"")
       )
     )</f>
        <v>(188) 081-9047</v>
      </c>
      <c r="L850" t="str">
        <f>TRIM(Employee_dataset[[#This Row],[Performance_Score]])</f>
        <v>Excellent</v>
      </c>
      <c r="M850" t="str">
        <f>TRIM(Employee_dataset[[#This Row],[Remote_Work]])</f>
        <v>TRUE</v>
      </c>
    </row>
    <row r="851" spans="1:13" x14ac:dyDescent="0.3">
      <c r="A851" t="str">
        <f>TRIM(Employee_dataset[[#This Row],[Employee_ID]])</f>
        <v>EMP1849</v>
      </c>
      <c r="B851" t="str">
        <f>PROPER(TRIM(Employee_dataset[[#This Row],[First_Name]]))</f>
        <v>Grace</v>
      </c>
      <c r="C851" t="str">
        <f>PROPER(TRIM(Employee_dataset[[#This Row],[Last_Name]]))</f>
        <v>Miller</v>
      </c>
      <c r="D851" s="6" t="str">
        <f>_xlfn.LET(
     _xlpm.a, TRIM(Employee_dataset[[#This Row],[Age]]),
     IF(
        _xlpm.a="","",
        IF(
           AND(ISNUMBER(--_xlpm.a),LEN(_xlpm.a)=2),_xlpm.a,""
          )
       )
    )</f>
        <v>25</v>
      </c>
      <c r="E851" t="str">
        <f>TRIM(_xlfn.TEXTBEFORE(Employee_dataset[[#This Row],[Department_Region]],"-"))</f>
        <v>Sales</v>
      </c>
      <c r="F851" t="str">
        <f>TRIM(_xlfn.TEXTAFTER(Employee_dataset[[#This Row],[Department_Region]],"-"))</f>
        <v>Texas</v>
      </c>
      <c r="G851" t="str">
        <f>TRIM(Employee_dataset[[#This Row],[Status]])</f>
        <v>Pending</v>
      </c>
      <c r="H851" s="1">
        <f>_xlfn.LET(
     _xlpm.d, Employee_dataset[[#This Row],[Join_Date]],
     IF(
        ISNUMBER(_xlpm.d),_xlpm.d,""
       )
    )</f>
        <v>44744</v>
      </c>
      <c r="I851" s="6">
        <f>_xlfn.LET(
     _xlpm.s, TRIM(Employee_dataset[[#This Row],[Salary]]),
     IF(
        UPPER(_xlpm.s)="N/A","",
        IF(
           ISNUMBER(--_xlpm.s),ROUND(_xlfn.NUMBERVALUE(_xlpm.s),2),""
          )
       )
    )</f>
        <v>74606.149999999994</v>
      </c>
      <c r="J851" t="str">
        <f>TRIM(Employee_dataset[[#This Row],[Email]])</f>
        <v>grace.miller@example.com</v>
      </c>
      <c r="K851" t="str">
        <f>_xlfn.LET(
     _xlpm.p,TRIM(SUBSTITUTE(Employee_dataset[[#This Row],[Phone]],"-","")),
     IF(
        LEN(_xlpm.p)=10,_xlfn.CONCAT("("&amp;LEFT(_xlpm.p,3)&amp;") "&amp;MID(_xlpm.p,4,3)&amp;"-"&amp;RIGHT(_xlpm.p,4),"")
       )
     )</f>
        <v>(235) 715-5867</v>
      </c>
      <c r="L851" t="str">
        <f>TRIM(Employee_dataset[[#This Row],[Performance_Score]])</f>
        <v>Good</v>
      </c>
      <c r="M851" t="str">
        <f>TRIM(Employee_dataset[[#This Row],[Remote_Work]])</f>
        <v>TRUE</v>
      </c>
    </row>
    <row r="852" spans="1:13" x14ac:dyDescent="0.3">
      <c r="A852" t="str">
        <f>TRIM(Employee_dataset[[#This Row],[Employee_ID]])</f>
        <v>EMP1850</v>
      </c>
      <c r="B852" t="str">
        <f>PROPER(TRIM(Employee_dataset[[#This Row],[First_Name]]))</f>
        <v>Eva</v>
      </c>
      <c r="C852" t="str">
        <f>PROPER(TRIM(Employee_dataset[[#This Row],[Last_Name]]))</f>
        <v>Davis</v>
      </c>
      <c r="D852" s="6" t="str">
        <f>_xlfn.LET(
     _xlpm.a, TRIM(Employee_dataset[[#This Row],[Age]]),
     IF(
        _xlpm.a="","",
        IF(
           AND(ISNUMBER(--_xlpm.a),LEN(_xlpm.a)=2),_xlpm.a,""
          )
       )
    )</f>
        <v>30</v>
      </c>
      <c r="E852" t="str">
        <f>TRIM(_xlfn.TEXTBEFORE(Employee_dataset[[#This Row],[Department_Region]],"-"))</f>
        <v>Cloud Tech</v>
      </c>
      <c r="F852" t="str">
        <f>TRIM(_xlfn.TEXTAFTER(Employee_dataset[[#This Row],[Department_Region]],"-"))</f>
        <v>Texas</v>
      </c>
      <c r="G852" t="str">
        <f>TRIM(Employee_dataset[[#This Row],[Status]])</f>
        <v>Pending</v>
      </c>
      <c r="H852" s="1">
        <f>_xlfn.LET(
     _xlpm.d, Employee_dataset[[#This Row],[Join_Date]],
     IF(
        ISNUMBER(_xlpm.d),_xlpm.d,""
       )
    )</f>
        <v>44019</v>
      </c>
      <c r="I852" s="6">
        <f>_xlfn.LET(
     _xlpm.s, TRIM(Employee_dataset[[#This Row],[Salary]]),
     IF(
        UPPER(_xlpm.s)="N/A","",
        IF(
           ISNUMBER(--_xlpm.s),ROUND(_xlfn.NUMBERVALUE(_xlpm.s),2),""
          )
       )
    )</f>
        <v>53981.73</v>
      </c>
      <c r="J852" t="str">
        <f>TRIM(Employee_dataset[[#This Row],[Email]])</f>
        <v>eva.davis@example.com</v>
      </c>
      <c r="K852" t="str">
        <f>_xlfn.LET(
     _xlpm.p,TRIM(SUBSTITUTE(Employee_dataset[[#This Row],[Phone]],"-","")),
     IF(
        LEN(_xlpm.p)=10,_xlfn.CONCAT("("&amp;LEFT(_xlpm.p,3)&amp;") "&amp;MID(_xlpm.p,4,3)&amp;"-"&amp;RIGHT(_xlpm.p,4),"")
       )
     )</f>
        <v>(639) 561-3722</v>
      </c>
      <c r="L852" t="str">
        <f>TRIM(Employee_dataset[[#This Row],[Performance_Score]])</f>
        <v>Average</v>
      </c>
      <c r="M852" t="str">
        <f>TRIM(Employee_dataset[[#This Row],[Remote_Work]])</f>
        <v>FALSE</v>
      </c>
    </row>
    <row r="853" spans="1:13" x14ac:dyDescent="0.3">
      <c r="A853" t="str">
        <f>TRIM(Employee_dataset[[#This Row],[Employee_ID]])</f>
        <v>EMP1851</v>
      </c>
      <c r="B853" t="str">
        <f>PROPER(TRIM(Employee_dataset[[#This Row],[First_Name]]))</f>
        <v>David</v>
      </c>
      <c r="C853" t="str">
        <f>PROPER(TRIM(Employee_dataset[[#This Row],[Last_Name]]))</f>
        <v>Johnson</v>
      </c>
      <c r="D853" s="6" t="str">
        <f>_xlfn.LET(
     _xlpm.a, TRIM(Employee_dataset[[#This Row],[Age]]),
     IF(
        _xlpm.a="","",
        IF(
           AND(ISNUMBER(--_xlpm.a),LEN(_xlpm.a)=2),_xlpm.a,""
          )
       )
    )</f>
        <v/>
      </c>
      <c r="E853" t="str">
        <f>TRIM(_xlfn.TEXTBEFORE(Employee_dataset[[#This Row],[Department_Region]],"-"))</f>
        <v>DevOps</v>
      </c>
      <c r="F853" t="str">
        <f>TRIM(_xlfn.TEXTAFTER(Employee_dataset[[#This Row],[Department_Region]],"-"))</f>
        <v>Texas</v>
      </c>
      <c r="G853" t="str">
        <f>TRIM(Employee_dataset[[#This Row],[Status]])</f>
        <v>Pending</v>
      </c>
      <c r="H853" s="1">
        <f>_xlfn.LET(
     _xlpm.d, Employee_dataset[[#This Row],[Join_Date]],
     IF(
        ISNUMBER(_xlpm.d),_xlpm.d,""
       )
    )</f>
        <v>44076</v>
      </c>
      <c r="I853" s="6">
        <f>_xlfn.LET(
     _xlpm.s, TRIM(Employee_dataset[[#This Row],[Salary]]),
     IF(
        UPPER(_xlpm.s)="N/A","",
        IF(
           ISNUMBER(--_xlpm.s),ROUND(_xlfn.NUMBERVALUE(_xlpm.s),2),""
          )
       )
    )</f>
        <v>56047.05</v>
      </c>
      <c r="J853" t="str">
        <f>TRIM(Employee_dataset[[#This Row],[Email]])</f>
        <v>david.johnson@example.com</v>
      </c>
      <c r="K853" t="b">
        <f>_xlfn.LET(
     _xlpm.p,TRIM(SUBSTITUTE(Employee_dataset[[#This Row],[Phone]],"-","")),
     IF(
        LEN(_xlpm.p)=10,_xlfn.CONCAT("("&amp;LEFT(_xlpm.p,3)&amp;") "&amp;MID(_xlpm.p,4,3)&amp;"-"&amp;RIGHT(_xlpm.p,4),"")
       )
     )</f>
        <v>0</v>
      </c>
      <c r="L853" t="str">
        <f>TRIM(Employee_dataset[[#This Row],[Performance_Score]])</f>
        <v>Excellent</v>
      </c>
      <c r="M853" t="str">
        <f>TRIM(Employee_dataset[[#This Row],[Remote_Work]])</f>
        <v>TRUE</v>
      </c>
    </row>
    <row r="854" spans="1:13" x14ac:dyDescent="0.3">
      <c r="A854" t="str">
        <f>TRIM(Employee_dataset[[#This Row],[Employee_ID]])</f>
        <v>EMP1852</v>
      </c>
      <c r="B854" t="str">
        <f>PROPER(TRIM(Employee_dataset[[#This Row],[First_Name]]))</f>
        <v>Grace</v>
      </c>
      <c r="C854" t="str">
        <f>PROPER(TRIM(Employee_dataset[[#This Row],[Last_Name]]))</f>
        <v>Jones</v>
      </c>
      <c r="D854" s="6" t="str">
        <f>_xlfn.LET(
     _xlpm.a, TRIM(Employee_dataset[[#This Row],[Age]]),
     IF(
        _xlpm.a="","",
        IF(
           AND(ISNUMBER(--_xlpm.a),LEN(_xlpm.a)=2),_xlpm.a,""
          )
       )
    )</f>
        <v/>
      </c>
      <c r="E854" t="str">
        <f>TRIM(_xlfn.TEXTBEFORE(Employee_dataset[[#This Row],[Department_Region]],"-"))</f>
        <v>Admin</v>
      </c>
      <c r="F854" t="str">
        <f>TRIM(_xlfn.TEXTAFTER(Employee_dataset[[#This Row],[Department_Region]],"-"))</f>
        <v>Texas</v>
      </c>
      <c r="G854" t="str">
        <f>TRIM(Employee_dataset[[#This Row],[Status]])</f>
        <v>Pending</v>
      </c>
      <c r="H854" s="1">
        <f>_xlfn.LET(
     _xlpm.d, Employee_dataset[[#This Row],[Join_Date]],
     IF(
        ISNUMBER(_xlpm.d),_xlpm.d,""
       )
    )</f>
        <v>44208</v>
      </c>
      <c r="I854" s="6">
        <f>_xlfn.LET(
     _xlpm.s, TRIM(Employee_dataset[[#This Row],[Salary]]),
     IF(
        UPPER(_xlpm.s)="N/A","",
        IF(
           ISNUMBER(--_xlpm.s),ROUND(_xlfn.NUMBERVALUE(_xlpm.s),2),""
          )
       )
    )</f>
        <v>67733.5</v>
      </c>
      <c r="J854" t="str">
        <f>TRIM(Employee_dataset[[#This Row],[Email]])</f>
        <v>grace.jones@example.com</v>
      </c>
      <c r="K854" t="str">
        <f>_xlfn.LET(
     _xlpm.p,TRIM(SUBSTITUTE(Employee_dataset[[#This Row],[Phone]],"-","")),
     IF(
        LEN(_xlpm.p)=10,_xlfn.CONCAT("("&amp;LEFT(_xlpm.p,3)&amp;") "&amp;MID(_xlpm.p,4,3)&amp;"-"&amp;RIGHT(_xlpm.p,4),"")
       )
     )</f>
        <v>(381) 300-0412</v>
      </c>
      <c r="L854" t="str">
        <f>TRIM(Employee_dataset[[#This Row],[Performance_Score]])</f>
        <v>Average</v>
      </c>
      <c r="M854" t="str">
        <f>TRIM(Employee_dataset[[#This Row],[Remote_Work]])</f>
        <v>FALSE</v>
      </c>
    </row>
    <row r="855" spans="1:13" x14ac:dyDescent="0.3">
      <c r="A855" t="str">
        <f>TRIM(Employee_dataset[[#This Row],[Employee_ID]])</f>
        <v>EMP1853</v>
      </c>
      <c r="B855" t="str">
        <f>PROPER(TRIM(Employee_dataset[[#This Row],[First_Name]]))</f>
        <v>Bob</v>
      </c>
      <c r="C855" t="str">
        <f>PROPER(TRIM(Employee_dataset[[#This Row],[Last_Name]]))</f>
        <v>Williams</v>
      </c>
      <c r="D855" s="6" t="str">
        <f>_xlfn.LET(
     _xlpm.a, TRIM(Employee_dataset[[#This Row],[Age]]),
     IF(
        _xlpm.a="","",
        IF(
           AND(ISNUMBER(--_xlpm.a),LEN(_xlpm.a)=2),_xlpm.a,""
          )
       )
    )</f>
        <v>40</v>
      </c>
      <c r="E855" t="str">
        <f>TRIM(_xlfn.TEXTBEFORE(Employee_dataset[[#This Row],[Department_Region]],"-"))</f>
        <v>HR</v>
      </c>
      <c r="F855" t="str">
        <f>TRIM(_xlfn.TEXTAFTER(Employee_dataset[[#This Row],[Department_Region]],"-"))</f>
        <v>Florida</v>
      </c>
      <c r="G855" t="str">
        <f>TRIM(Employee_dataset[[#This Row],[Status]])</f>
        <v>Pending</v>
      </c>
      <c r="H855" s="1">
        <f>_xlfn.LET(
     _xlpm.d, Employee_dataset[[#This Row],[Join_Date]],
     IF(
        ISNUMBER(_xlpm.d),_xlpm.d,""
       )
    )</f>
        <v>45198</v>
      </c>
      <c r="I855" s="6">
        <f>_xlfn.LET(
     _xlpm.s, TRIM(Employee_dataset[[#This Row],[Salary]]),
     IF(
        UPPER(_xlpm.s)="N/A","",
        IF(
           ISNUMBER(--_xlpm.s),ROUND(_xlfn.NUMBERVALUE(_xlpm.s),2),""
          )
       )
    )</f>
        <v>103891.64</v>
      </c>
      <c r="J855" t="str">
        <f>TRIM(Employee_dataset[[#This Row],[Email]])</f>
        <v>bob.williams@example.com</v>
      </c>
      <c r="K855" t="str">
        <f>_xlfn.LET(
     _xlpm.p,TRIM(SUBSTITUTE(Employee_dataset[[#This Row],[Phone]],"-","")),
     IF(
        LEN(_xlpm.p)=10,_xlfn.CONCAT("("&amp;LEFT(_xlpm.p,3)&amp;") "&amp;MID(_xlpm.p,4,3)&amp;"-"&amp;RIGHT(_xlpm.p,4),"")
       )
     )</f>
        <v>(211) 471-6559</v>
      </c>
      <c r="L855" t="str">
        <f>TRIM(Employee_dataset[[#This Row],[Performance_Score]])</f>
        <v>Good</v>
      </c>
      <c r="M855" t="str">
        <f>TRIM(Employee_dataset[[#This Row],[Remote_Work]])</f>
        <v>TRUE</v>
      </c>
    </row>
    <row r="856" spans="1:13" x14ac:dyDescent="0.3">
      <c r="A856" t="str">
        <f>TRIM(Employee_dataset[[#This Row],[Employee_ID]])</f>
        <v>EMP1854</v>
      </c>
      <c r="B856" t="str">
        <f>PROPER(TRIM(Employee_dataset[[#This Row],[First_Name]]))</f>
        <v>Charlie</v>
      </c>
      <c r="C856" t="str">
        <f>PROPER(TRIM(Employee_dataset[[#This Row],[Last_Name]]))</f>
        <v>Davis</v>
      </c>
      <c r="D856" s="6" t="str">
        <f>_xlfn.LET(
     _xlpm.a, TRIM(Employee_dataset[[#This Row],[Age]]),
     IF(
        _xlpm.a="","",
        IF(
           AND(ISNUMBER(--_xlpm.a),LEN(_xlpm.a)=2),_xlpm.a,""
          )
       )
    )</f>
        <v>25</v>
      </c>
      <c r="E856" t="str">
        <f>TRIM(_xlfn.TEXTBEFORE(Employee_dataset[[#This Row],[Department_Region]],"-"))</f>
        <v>HR</v>
      </c>
      <c r="F856" t="str">
        <f>TRIM(_xlfn.TEXTAFTER(Employee_dataset[[#This Row],[Department_Region]],"-"))</f>
        <v>Texas</v>
      </c>
      <c r="G856" t="str">
        <f>TRIM(Employee_dataset[[#This Row],[Status]])</f>
        <v>Inactive</v>
      </c>
      <c r="H856" s="1">
        <f>_xlfn.LET(
     _xlpm.d, Employee_dataset[[#This Row],[Join_Date]],
     IF(
        ISNUMBER(_xlpm.d),_xlpm.d,""
       )
    )</f>
        <v>44626</v>
      </c>
      <c r="I856" s="6">
        <f>_xlfn.LET(
     _xlpm.s, TRIM(Employee_dataset[[#This Row],[Salary]]),
     IF(
        UPPER(_xlpm.s)="N/A","",
        IF(
           ISNUMBER(--_xlpm.s),ROUND(_xlfn.NUMBERVALUE(_xlpm.s),2),""
          )
       )
    )</f>
        <v>73285.83</v>
      </c>
      <c r="J856" t="str">
        <f>TRIM(Employee_dataset[[#This Row],[Email]])</f>
        <v>charlie.davis@example.com</v>
      </c>
      <c r="K856" t="str">
        <f>_xlfn.LET(
     _xlpm.p,TRIM(SUBSTITUTE(Employee_dataset[[#This Row],[Phone]],"-","")),
     IF(
        LEN(_xlpm.p)=10,_xlfn.CONCAT("("&amp;LEFT(_xlpm.p,3)&amp;") "&amp;MID(_xlpm.p,4,3)&amp;"-"&amp;RIGHT(_xlpm.p,4),"")
       )
     )</f>
        <v>(945) 653-4698</v>
      </c>
      <c r="L856" t="str">
        <f>TRIM(Employee_dataset[[#This Row],[Performance_Score]])</f>
        <v>Good</v>
      </c>
      <c r="M856" t="str">
        <f>TRIM(Employee_dataset[[#This Row],[Remote_Work]])</f>
        <v>TRUE</v>
      </c>
    </row>
    <row r="857" spans="1:13" x14ac:dyDescent="0.3">
      <c r="A857" t="str">
        <f>TRIM(Employee_dataset[[#This Row],[Employee_ID]])</f>
        <v>EMP1855</v>
      </c>
      <c r="B857" t="str">
        <f>PROPER(TRIM(Employee_dataset[[#This Row],[First_Name]]))</f>
        <v>Eva</v>
      </c>
      <c r="C857" t="str">
        <f>PROPER(TRIM(Employee_dataset[[#This Row],[Last_Name]]))</f>
        <v>Jones</v>
      </c>
      <c r="D857" s="6" t="str">
        <f>_xlfn.LET(
     _xlpm.a, TRIM(Employee_dataset[[#This Row],[Age]]),
     IF(
        _xlpm.a="","",
        IF(
           AND(ISNUMBER(--_xlpm.a),LEN(_xlpm.a)=2),_xlpm.a,""
          )
       )
    )</f>
        <v>30</v>
      </c>
      <c r="E857" t="str">
        <f>TRIM(_xlfn.TEXTBEFORE(Employee_dataset[[#This Row],[Department_Region]],"-"))</f>
        <v>Finance</v>
      </c>
      <c r="F857" t="str">
        <f>TRIM(_xlfn.TEXTAFTER(Employee_dataset[[#This Row],[Department_Region]],"-"))</f>
        <v>Texas</v>
      </c>
      <c r="G857" t="str">
        <f>TRIM(Employee_dataset[[#This Row],[Status]])</f>
        <v>Inactive</v>
      </c>
      <c r="H857" s="1">
        <f>_xlfn.LET(
     _xlpm.d, Employee_dataset[[#This Row],[Join_Date]],
     IF(
        ISNUMBER(_xlpm.d),_xlpm.d,""
       )
    )</f>
        <v>44241</v>
      </c>
      <c r="I857" s="6">
        <f>_xlfn.LET(
     _xlpm.s, TRIM(Employee_dataset[[#This Row],[Salary]]),
     IF(
        UPPER(_xlpm.s)="N/A","",
        IF(
           ISNUMBER(--_xlpm.s),ROUND(_xlfn.NUMBERVALUE(_xlpm.s),2),""
          )
       )
    )</f>
        <v>92721.13</v>
      </c>
      <c r="J857" t="str">
        <f>TRIM(Employee_dataset[[#This Row],[Email]])</f>
        <v>eva.jones@example.com</v>
      </c>
      <c r="K857" t="str">
        <f>_xlfn.LET(
     _xlpm.p,TRIM(SUBSTITUTE(Employee_dataset[[#This Row],[Phone]],"-","")),
     IF(
        LEN(_xlpm.p)=10,_xlfn.CONCAT("("&amp;LEFT(_xlpm.p,3)&amp;") "&amp;MID(_xlpm.p,4,3)&amp;"-"&amp;RIGHT(_xlpm.p,4),"")
       )
     )</f>
        <v>(799) 070-7549</v>
      </c>
      <c r="L857" t="str">
        <f>TRIM(Employee_dataset[[#This Row],[Performance_Score]])</f>
        <v>Poor</v>
      </c>
      <c r="M857" t="str">
        <f>TRIM(Employee_dataset[[#This Row],[Remote_Work]])</f>
        <v>TRUE</v>
      </c>
    </row>
    <row r="858" spans="1:13" x14ac:dyDescent="0.3">
      <c r="A858" t="str">
        <f>TRIM(Employee_dataset[[#This Row],[Employee_ID]])</f>
        <v>EMP1856</v>
      </c>
      <c r="B858" t="str">
        <f>PROPER(TRIM(Employee_dataset[[#This Row],[First_Name]]))</f>
        <v>Heidi</v>
      </c>
      <c r="C858" t="str">
        <f>PROPER(TRIM(Employee_dataset[[#This Row],[Last_Name]]))</f>
        <v>Williams</v>
      </c>
      <c r="D858" s="6" t="str">
        <f>_xlfn.LET(
     _xlpm.a, TRIM(Employee_dataset[[#This Row],[Age]]),
     IF(
        _xlpm.a="","",
        IF(
           AND(ISNUMBER(--_xlpm.a),LEN(_xlpm.a)=2),_xlpm.a,""
          )
       )
    )</f>
        <v>25</v>
      </c>
      <c r="E858" t="str">
        <f>TRIM(_xlfn.TEXTBEFORE(Employee_dataset[[#This Row],[Department_Region]],"-"))</f>
        <v>Admin</v>
      </c>
      <c r="F858" t="str">
        <f>TRIM(_xlfn.TEXTAFTER(Employee_dataset[[#This Row],[Department_Region]],"-"))</f>
        <v>Illinois</v>
      </c>
      <c r="G858" t="str">
        <f>TRIM(Employee_dataset[[#This Row],[Status]])</f>
        <v>Inactive</v>
      </c>
      <c r="H858" s="1">
        <f>_xlfn.LET(
     _xlpm.d, Employee_dataset[[#This Row],[Join_Date]],
     IF(
        ISNUMBER(_xlpm.d),_xlpm.d,""
       )
    )</f>
        <v>44278</v>
      </c>
      <c r="I858" s="6">
        <f>_xlfn.LET(
     _xlpm.s, TRIM(Employee_dataset[[#This Row],[Salary]]),
     IF(
        UPPER(_xlpm.s)="N/A","",
        IF(
           ISNUMBER(--_xlpm.s),ROUND(_xlfn.NUMBERVALUE(_xlpm.s),2),""
          )
       )
    )</f>
        <v>92977.64</v>
      </c>
      <c r="J858" t="str">
        <f>TRIM(Employee_dataset[[#This Row],[Email]])</f>
        <v>heidi.williams@example.com</v>
      </c>
      <c r="K858" t="str">
        <f>_xlfn.LET(
     _xlpm.p,TRIM(SUBSTITUTE(Employee_dataset[[#This Row],[Phone]],"-","")),
     IF(
        LEN(_xlpm.p)=10,_xlfn.CONCAT("("&amp;LEFT(_xlpm.p,3)&amp;") "&amp;MID(_xlpm.p,4,3)&amp;"-"&amp;RIGHT(_xlpm.p,4),"")
       )
     )</f>
        <v>(476) 816-9956</v>
      </c>
      <c r="L858" t="str">
        <f>TRIM(Employee_dataset[[#This Row],[Performance_Score]])</f>
        <v>Excellent</v>
      </c>
      <c r="M858" t="str">
        <f>TRIM(Employee_dataset[[#This Row],[Remote_Work]])</f>
        <v>FALSE</v>
      </c>
    </row>
    <row r="859" spans="1:13" x14ac:dyDescent="0.3">
      <c r="A859" t="str">
        <f>TRIM(Employee_dataset[[#This Row],[Employee_ID]])</f>
        <v>EMP1857</v>
      </c>
      <c r="B859" t="str">
        <f>PROPER(TRIM(Employee_dataset[[#This Row],[First_Name]]))</f>
        <v>Heidi</v>
      </c>
      <c r="C859" t="str">
        <f>PROPER(TRIM(Employee_dataset[[#This Row],[Last_Name]]))</f>
        <v>Williams</v>
      </c>
      <c r="D859" s="6" t="str">
        <f>_xlfn.LET(
     _xlpm.a, TRIM(Employee_dataset[[#This Row],[Age]]),
     IF(
        _xlpm.a="","",
        IF(
           AND(ISNUMBER(--_xlpm.a),LEN(_xlpm.a)=2),_xlpm.a,""
          )
       )
    )</f>
        <v>35</v>
      </c>
      <c r="E859" t="str">
        <f>TRIM(_xlfn.TEXTBEFORE(Employee_dataset[[#This Row],[Department_Region]],"-"))</f>
        <v>Cloud Tech</v>
      </c>
      <c r="F859" t="str">
        <f>TRIM(_xlfn.TEXTAFTER(Employee_dataset[[#This Row],[Department_Region]],"-"))</f>
        <v>Texas</v>
      </c>
      <c r="G859" t="str">
        <f>TRIM(Employee_dataset[[#This Row],[Status]])</f>
        <v>Active</v>
      </c>
      <c r="H859" s="1">
        <f>_xlfn.LET(
     _xlpm.d, Employee_dataset[[#This Row],[Join_Date]],
     IF(
        ISNUMBER(_xlpm.d),_xlpm.d,""
       )
    )</f>
        <v>43975</v>
      </c>
      <c r="I859" s="6">
        <f>_xlfn.LET(
     _xlpm.s, TRIM(Employee_dataset[[#This Row],[Salary]]),
     IF(
        UPPER(_xlpm.s)="N/A","",
        IF(
           ISNUMBER(--_xlpm.s),ROUND(_xlfn.NUMBERVALUE(_xlpm.s),2),""
          )
       )
    )</f>
        <v>89994.12</v>
      </c>
      <c r="J859" t="str">
        <f>TRIM(Employee_dataset[[#This Row],[Email]])</f>
        <v>heidi.williams@example.com</v>
      </c>
      <c r="K859" t="b">
        <f>_xlfn.LET(
     _xlpm.p,TRIM(SUBSTITUTE(Employee_dataset[[#This Row],[Phone]],"-","")),
     IF(
        LEN(_xlpm.p)=10,_xlfn.CONCAT("("&amp;LEFT(_xlpm.p,3)&amp;") "&amp;MID(_xlpm.p,4,3)&amp;"-"&amp;RIGHT(_xlpm.p,4),"")
       )
     )</f>
        <v>0</v>
      </c>
      <c r="L859" t="str">
        <f>TRIM(Employee_dataset[[#This Row],[Performance_Score]])</f>
        <v>Good</v>
      </c>
      <c r="M859" t="str">
        <f>TRIM(Employee_dataset[[#This Row],[Remote_Work]])</f>
        <v>TRUE</v>
      </c>
    </row>
    <row r="860" spans="1:13" x14ac:dyDescent="0.3">
      <c r="A860" t="str">
        <f>TRIM(Employee_dataset[[#This Row],[Employee_ID]])</f>
        <v>EMP1858</v>
      </c>
      <c r="B860" t="str">
        <f>PROPER(TRIM(Employee_dataset[[#This Row],[First_Name]]))</f>
        <v>Heidi</v>
      </c>
      <c r="C860" t="str">
        <f>PROPER(TRIM(Employee_dataset[[#This Row],[Last_Name]]))</f>
        <v>Johnson</v>
      </c>
      <c r="D860" s="6" t="str">
        <f>_xlfn.LET(
     _xlpm.a, TRIM(Employee_dataset[[#This Row],[Age]]),
     IF(
        _xlpm.a="","",
        IF(
           AND(ISNUMBER(--_xlpm.a),LEN(_xlpm.a)=2),_xlpm.a,""
          )
       )
    )</f>
        <v>25</v>
      </c>
      <c r="E860" t="str">
        <f>TRIM(_xlfn.TEXTBEFORE(Employee_dataset[[#This Row],[Department_Region]],"-"))</f>
        <v>Finance</v>
      </c>
      <c r="F860" t="str">
        <f>TRIM(_xlfn.TEXTAFTER(Employee_dataset[[#This Row],[Department_Region]],"-"))</f>
        <v>New York</v>
      </c>
      <c r="G860" t="str">
        <f>TRIM(Employee_dataset[[#This Row],[Status]])</f>
        <v>Pending</v>
      </c>
      <c r="H860" s="1">
        <f>_xlfn.LET(
     _xlpm.d, Employee_dataset[[#This Row],[Join_Date]],
     IF(
        ISNUMBER(_xlpm.d),_xlpm.d,""
       )
    )</f>
        <v>45142</v>
      </c>
      <c r="I860" s="6">
        <f>_xlfn.LET(
     _xlpm.s, TRIM(Employee_dataset[[#This Row],[Salary]]),
     IF(
        UPPER(_xlpm.s)="N/A","",
        IF(
           ISNUMBER(--_xlpm.s),ROUND(_xlfn.NUMBERVALUE(_xlpm.s),2),""
          )
       )
    )</f>
        <v>50060.73</v>
      </c>
      <c r="J860" t="str">
        <f>TRIM(Employee_dataset[[#This Row],[Email]])</f>
        <v>heidi.johnson@example.com</v>
      </c>
      <c r="K860" t="str">
        <f>_xlfn.LET(
     _xlpm.p,TRIM(SUBSTITUTE(Employee_dataset[[#This Row],[Phone]],"-","")),
     IF(
        LEN(_xlpm.p)=10,_xlfn.CONCAT("("&amp;LEFT(_xlpm.p,3)&amp;") "&amp;MID(_xlpm.p,4,3)&amp;"-"&amp;RIGHT(_xlpm.p,4),"")
       )
     )</f>
        <v>(317) 653-9704</v>
      </c>
      <c r="L860" t="str">
        <f>TRIM(Employee_dataset[[#This Row],[Performance_Score]])</f>
        <v>Poor</v>
      </c>
      <c r="M860" t="str">
        <f>TRIM(Employee_dataset[[#This Row],[Remote_Work]])</f>
        <v>FALSE</v>
      </c>
    </row>
    <row r="861" spans="1:13" x14ac:dyDescent="0.3">
      <c r="A861" t="str">
        <f>TRIM(Employee_dataset[[#This Row],[Employee_ID]])</f>
        <v>EMP1859</v>
      </c>
      <c r="B861" t="str">
        <f>PROPER(TRIM(Employee_dataset[[#This Row],[First_Name]]))</f>
        <v>Grace</v>
      </c>
      <c r="C861" t="str">
        <f>PROPER(TRIM(Employee_dataset[[#This Row],[Last_Name]]))</f>
        <v>Davis</v>
      </c>
      <c r="D861" s="6" t="str">
        <f>_xlfn.LET(
     _xlpm.a, TRIM(Employee_dataset[[#This Row],[Age]]),
     IF(
        _xlpm.a="","",
        IF(
           AND(ISNUMBER(--_xlpm.a),LEN(_xlpm.a)=2),_xlpm.a,""
          )
       )
    )</f>
        <v>35</v>
      </c>
      <c r="E861" t="str">
        <f>TRIM(_xlfn.TEXTBEFORE(Employee_dataset[[#This Row],[Department_Region]],"-"))</f>
        <v>Admin</v>
      </c>
      <c r="F861" t="str">
        <f>TRIM(_xlfn.TEXTAFTER(Employee_dataset[[#This Row],[Department_Region]],"-"))</f>
        <v>Nevada</v>
      </c>
      <c r="G861" t="str">
        <f>TRIM(Employee_dataset[[#This Row],[Status]])</f>
        <v>Inactive</v>
      </c>
      <c r="H861" s="1">
        <f>_xlfn.LET(
     _xlpm.d, Employee_dataset[[#This Row],[Join_Date]],
     IF(
        ISNUMBER(_xlpm.d),_xlpm.d,""
       )
    )</f>
        <v>44632</v>
      </c>
      <c r="I861" s="6">
        <f>_xlfn.LET(
     _xlpm.s, TRIM(Employee_dataset[[#This Row],[Salary]]),
     IF(
        UPPER(_xlpm.s)="N/A","",
        IF(
           ISNUMBER(--_xlpm.s),ROUND(_xlfn.NUMBERVALUE(_xlpm.s),2),""
          )
       )
    )</f>
        <v>90224.82</v>
      </c>
      <c r="J861" t="str">
        <f>TRIM(Employee_dataset[[#This Row],[Email]])</f>
        <v>grace.davis@example.com</v>
      </c>
      <c r="K861" t="str">
        <f>_xlfn.LET(
     _xlpm.p,TRIM(SUBSTITUTE(Employee_dataset[[#This Row],[Phone]],"-","")),
     IF(
        LEN(_xlpm.p)=10,_xlfn.CONCAT("("&amp;LEFT(_xlpm.p,3)&amp;") "&amp;MID(_xlpm.p,4,3)&amp;"-"&amp;RIGHT(_xlpm.p,4),"")
       )
     )</f>
        <v>(487) 396-1028</v>
      </c>
      <c r="L861" t="str">
        <f>TRIM(Employee_dataset[[#This Row],[Performance_Score]])</f>
        <v>Excellent</v>
      </c>
      <c r="M861" t="str">
        <f>TRIM(Employee_dataset[[#This Row],[Remote_Work]])</f>
        <v>FALSE</v>
      </c>
    </row>
    <row r="862" spans="1:13" x14ac:dyDescent="0.3">
      <c r="A862" t="str">
        <f>TRIM(Employee_dataset[[#This Row],[Employee_ID]])</f>
        <v>EMP1860</v>
      </c>
      <c r="B862" t="str">
        <f>PROPER(TRIM(Employee_dataset[[#This Row],[First_Name]]))</f>
        <v>Heidi</v>
      </c>
      <c r="C862" t="str">
        <f>PROPER(TRIM(Employee_dataset[[#This Row],[Last_Name]]))</f>
        <v>Brown</v>
      </c>
      <c r="D862" s="6" t="str">
        <f>_xlfn.LET(
     _xlpm.a, TRIM(Employee_dataset[[#This Row],[Age]]),
     IF(
        _xlpm.a="","",
        IF(
           AND(ISNUMBER(--_xlpm.a),LEN(_xlpm.a)=2),_xlpm.a,""
          )
       )
    )</f>
        <v>40</v>
      </c>
      <c r="E862" t="str">
        <f>TRIM(_xlfn.TEXTBEFORE(Employee_dataset[[#This Row],[Department_Region]],"-"))</f>
        <v>Finance</v>
      </c>
      <c r="F862" t="str">
        <f>TRIM(_xlfn.TEXTAFTER(Employee_dataset[[#This Row],[Department_Region]],"-"))</f>
        <v>Florida</v>
      </c>
      <c r="G862" t="str">
        <f>TRIM(Employee_dataset[[#This Row],[Status]])</f>
        <v>Pending</v>
      </c>
      <c r="H862" s="1">
        <f>_xlfn.LET(
     _xlpm.d, Employee_dataset[[#This Row],[Join_Date]],
     IF(
        ISNUMBER(_xlpm.d),_xlpm.d,""
       )
    )</f>
        <v>45430</v>
      </c>
      <c r="I862" s="6">
        <f>_xlfn.LET(
     _xlpm.s, TRIM(Employee_dataset[[#This Row],[Salary]]),
     IF(
        UPPER(_xlpm.s)="N/A","",
        IF(
           ISNUMBER(--_xlpm.s),ROUND(_xlfn.NUMBERVALUE(_xlpm.s),2),""
          )
       )
    )</f>
        <v>106859.3</v>
      </c>
      <c r="J862" t="str">
        <f>TRIM(Employee_dataset[[#This Row],[Email]])</f>
        <v>heidi.brown@example.com</v>
      </c>
      <c r="K862" t="b">
        <f>_xlfn.LET(
     _xlpm.p,TRIM(SUBSTITUTE(Employee_dataset[[#This Row],[Phone]],"-","")),
     IF(
        LEN(_xlpm.p)=10,_xlfn.CONCAT("("&amp;LEFT(_xlpm.p,3)&amp;") "&amp;MID(_xlpm.p,4,3)&amp;"-"&amp;RIGHT(_xlpm.p,4),"")
       )
     )</f>
        <v>0</v>
      </c>
      <c r="L862" t="str">
        <f>TRIM(Employee_dataset[[#This Row],[Performance_Score]])</f>
        <v>Good</v>
      </c>
      <c r="M862" t="str">
        <f>TRIM(Employee_dataset[[#This Row],[Remote_Work]])</f>
        <v>FALSE</v>
      </c>
    </row>
    <row r="863" spans="1:13" x14ac:dyDescent="0.3">
      <c r="A863" t="str">
        <f>TRIM(Employee_dataset[[#This Row],[Employee_ID]])</f>
        <v>EMP1861</v>
      </c>
      <c r="B863" t="str">
        <f>PROPER(TRIM(Employee_dataset[[#This Row],[First_Name]]))</f>
        <v>David</v>
      </c>
      <c r="C863" t="str">
        <f>PROPER(TRIM(Employee_dataset[[#This Row],[Last_Name]]))</f>
        <v>Smith</v>
      </c>
      <c r="D863" s="6" t="str">
        <f>_xlfn.LET(
     _xlpm.a, TRIM(Employee_dataset[[#This Row],[Age]]),
     IF(
        _xlpm.a="","",
        IF(
           AND(ISNUMBER(--_xlpm.a),LEN(_xlpm.a)=2),_xlpm.a,""
          )
       )
    )</f>
        <v>25</v>
      </c>
      <c r="E863" t="str">
        <f>TRIM(_xlfn.TEXTBEFORE(Employee_dataset[[#This Row],[Department_Region]],"-"))</f>
        <v>Finance</v>
      </c>
      <c r="F863" t="str">
        <f>TRIM(_xlfn.TEXTAFTER(Employee_dataset[[#This Row],[Department_Region]],"-"))</f>
        <v>Nevada</v>
      </c>
      <c r="G863" t="str">
        <f>TRIM(Employee_dataset[[#This Row],[Status]])</f>
        <v>Inactive</v>
      </c>
      <c r="H863" s="1">
        <f>_xlfn.LET(
     _xlpm.d, Employee_dataset[[#This Row],[Join_Date]],
     IF(
        ISNUMBER(_xlpm.d),_xlpm.d,""
       )
    )</f>
        <v>44079</v>
      </c>
      <c r="I863" s="6">
        <f>_xlfn.LET(
     _xlpm.s, TRIM(Employee_dataset[[#This Row],[Salary]]),
     IF(
        UPPER(_xlpm.s)="N/A","",
        IF(
           ISNUMBER(--_xlpm.s),ROUND(_xlfn.NUMBERVALUE(_xlpm.s),2),""
          )
       )
    )</f>
        <v>89707.07</v>
      </c>
      <c r="J863" t="str">
        <f>TRIM(Employee_dataset[[#This Row],[Email]])</f>
        <v>david.smith@example.com</v>
      </c>
      <c r="K863" t="str">
        <f>_xlfn.LET(
     _xlpm.p,TRIM(SUBSTITUTE(Employee_dataset[[#This Row],[Phone]],"-","")),
     IF(
        LEN(_xlpm.p)=10,_xlfn.CONCAT("("&amp;LEFT(_xlpm.p,3)&amp;") "&amp;MID(_xlpm.p,4,3)&amp;"-"&amp;RIGHT(_xlpm.p,4),"")
       )
     )</f>
        <v>(804) 918-7273</v>
      </c>
      <c r="L863" t="str">
        <f>TRIM(Employee_dataset[[#This Row],[Performance_Score]])</f>
        <v>Good</v>
      </c>
      <c r="M863" t="str">
        <f>TRIM(Employee_dataset[[#This Row],[Remote_Work]])</f>
        <v>FALSE</v>
      </c>
    </row>
    <row r="864" spans="1:13" x14ac:dyDescent="0.3">
      <c r="A864" t="str">
        <f>TRIM(Employee_dataset[[#This Row],[Employee_ID]])</f>
        <v>EMP1862</v>
      </c>
      <c r="B864" t="str">
        <f>PROPER(TRIM(Employee_dataset[[#This Row],[First_Name]]))</f>
        <v>Frank</v>
      </c>
      <c r="C864" t="str">
        <f>PROPER(TRIM(Employee_dataset[[#This Row],[Last_Name]]))</f>
        <v>Johnson</v>
      </c>
      <c r="D864" s="6" t="str">
        <f>_xlfn.LET(
     _xlpm.a, TRIM(Employee_dataset[[#This Row],[Age]]),
     IF(
        _xlpm.a="","",
        IF(
           AND(ISNUMBER(--_xlpm.a),LEN(_xlpm.a)=2),_xlpm.a,""
          )
       )
    )</f>
        <v>35</v>
      </c>
      <c r="E864" t="str">
        <f>TRIM(_xlfn.TEXTBEFORE(Employee_dataset[[#This Row],[Department_Region]],"-"))</f>
        <v>DevOps</v>
      </c>
      <c r="F864" t="str">
        <f>TRIM(_xlfn.TEXTAFTER(Employee_dataset[[#This Row],[Department_Region]],"-"))</f>
        <v>California</v>
      </c>
      <c r="G864" t="str">
        <f>TRIM(Employee_dataset[[#This Row],[Status]])</f>
        <v>Inactive</v>
      </c>
      <c r="H864" s="1">
        <f>_xlfn.LET(
     _xlpm.d, Employee_dataset[[#This Row],[Join_Date]],
     IF(
        ISNUMBER(_xlpm.d),_xlpm.d,""
       )
    )</f>
        <v>43944</v>
      </c>
      <c r="I864" s="6">
        <f>_xlfn.LET(
     _xlpm.s, TRIM(Employee_dataset[[#This Row],[Salary]]),
     IF(
        UPPER(_xlpm.s)="N/A","",
        IF(
           ISNUMBER(--_xlpm.s),ROUND(_xlfn.NUMBERVALUE(_xlpm.s),2),""
          )
       )
    )</f>
        <v>94259.08</v>
      </c>
      <c r="J864" t="str">
        <f>TRIM(Employee_dataset[[#This Row],[Email]])</f>
        <v>frank.johnson@example.com</v>
      </c>
      <c r="K864" t="str">
        <f>_xlfn.LET(
     _xlpm.p,TRIM(SUBSTITUTE(Employee_dataset[[#This Row],[Phone]],"-","")),
     IF(
        LEN(_xlpm.p)=10,_xlfn.CONCAT("("&amp;LEFT(_xlpm.p,3)&amp;") "&amp;MID(_xlpm.p,4,3)&amp;"-"&amp;RIGHT(_xlpm.p,4),"")
       )
     )</f>
        <v>(204) 956-1212</v>
      </c>
      <c r="L864" t="str">
        <f>TRIM(Employee_dataset[[#This Row],[Performance_Score]])</f>
        <v>Excellent</v>
      </c>
      <c r="M864" t="str">
        <f>TRIM(Employee_dataset[[#This Row],[Remote_Work]])</f>
        <v>TRUE</v>
      </c>
    </row>
    <row r="865" spans="1:13" x14ac:dyDescent="0.3">
      <c r="A865" t="str">
        <f>TRIM(Employee_dataset[[#This Row],[Employee_ID]])</f>
        <v>EMP1863</v>
      </c>
      <c r="B865" t="str">
        <f>PROPER(TRIM(Employee_dataset[[#This Row],[First_Name]]))</f>
        <v>Bob</v>
      </c>
      <c r="C865" t="str">
        <f>PROPER(TRIM(Employee_dataset[[#This Row],[Last_Name]]))</f>
        <v>Johnson</v>
      </c>
      <c r="D865" s="6" t="str">
        <f>_xlfn.LET(
     _xlpm.a, TRIM(Employee_dataset[[#This Row],[Age]]),
     IF(
        _xlpm.a="","",
        IF(
           AND(ISNUMBER(--_xlpm.a),LEN(_xlpm.a)=2),_xlpm.a,""
          )
       )
    )</f>
        <v>35</v>
      </c>
      <c r="E865" t="str">
        <f>TRIM(_xlfn.TEXTBEFORE(Employee_dataset[[#This Row],[Department_Region]],"-"))</f>
        <v>Sales</v>
      </c>
      <c r="F865" t="str">
        <f>TRIM(_xlfn.TEXTAFTER(Employee_dataset[[#This Row],[Department_Region]],"-"))</f>
        <v>California</v>
      </c>
      <c r="G865" t="str">
        <f>TRIM(Employee_dataset[[#This Row],[Status]])</f>
        <v>Active</v>
      </c>
      <c r="H865" s="1">
        <f>_xlfn.LET(
     _xlpm.d, Employee_dataset[[#This Row],[Join_Date]],
     IF(
        ISNUMBER(_xlpm.d),_xlpm.d,""
       )
    )</f>
        <v>45553</v>
      </c>
      <c r="I865" s="6">
        <f>_xlfn.LET(
     _xlpm.s, TRIM(Employee_dataset[[#This Row],[Salary]]),
     IF(
        UPPER(_xlpm.s)="N/A","",
        IF(
           ISNUMBER(--_xlpm.s),ROUND(_xlfn.NUMBERVALUE(_xlpm.s),2),""
          )
       )
    )</f>
        <v>82174.75</v>
      </c>
      <c r="J865" t="str">
        <f>TRIM(Employee_dataset[[#This Row],[Email]])</f>
        <v>bob.johnson@example.com</v>
      </c>
      <c r="K865" t="str">
        <f>_xlfn.LET(
     _xlpm.p,TRIM(SUBSTITUTE(Employee_dataset[[#This Row],[Phone]],"-","")),
     IF(
        LEN(_xlpm.p)=10,_xlfn.CONCAT("("&amp;LEFT(_xlpm.p,3)&amp;") "&amp;MID(_xlpm.p,4,3)&amp;"-"&amp;RIGHT(_xlpm.p,4),"")
       )
     )</f>
        <v>(773) 062-6041</v>
      </c>
      <c r="L865" t="str">
        <f>TRIM(Employee_dataset[[#This Row],[Performance_Score]])</f>
        <v>Excellent</v>
      </c>
      <c r="M865" t="str">
        <f>TRIM(Employee_dataset[[#This Row],[Remote_Work]])</f>
        <v>FALSE</v>
      </c>
    </row>
    <row r="866" spans="1:13" x14ac:dyDescent="0.3">
      <c r="A866" t="str">
        <f>TRIM(Employee_dataset[[#This Row],[Employee_ID]])</f>
        <v>EMP1864</v>
      </c>
      <c r="B866" t="str">
        <f>PROPER(TRIM(Employee_dataset[[#This Row],[First_Name]]))</f>
        <v>David</v>
      </c>
      <c r="C866" t="str">
        <f>PROPER(TRIM(Employee_dataset[[#This Row],[Last_Name]]))</f>
        <v>Brown</v>
      </c>
      <c r="D866" s="6" t="str">
        <f>_xlfn.LET(
     _xlpm.a, TRIM(Employee_dataset[[#This Row],[Age]]),
     IF(
        _xlpm.a="","",
        IF(
           AND(ISNUMBER(--_xlpm.a),LEN(_xlpm.a)=2),_xlpm.a,""
          )
       )
    )</f>
        <v>30</v>
      </c>
      <c r="E866" t="str">
        <f>TRIM(_xlfn.TEXTBEFORE(Employee_dataset[[#This Row],[Department_Region]],"-"))</f>
        <v>Sales</v>
      </c>
      <c r="F866" t="str">
        <f>TRIM(_xlfn.TEXTAFTER(Employee_dataset[[#This Row],[Department_Region]],"-"))</f>
        <v>Texas</v>
      </c>
      <c r="G866" t="str">
        <f>TRIM(Employee_dataset[[#This Row],[Status]])</f>
        <v>Inactive</v>
      </c>
      <c r="H866" s="1">
        <f>_xlfn.LET(
     _xlpm.d, Employee_dataset[[#This Row],[Join_Date]],
     IF(
        ISNUMBER(_xlpm.d),_xlpm.d,""
       )
    )</f>
        <v>45184</v>
      </c>
      <c r="I866" s="6">
        <f>_xlfn.LET(
     _xlpm.s, TRIM(Employee_dataset[[#This Row],[Salary]]),
     IF(
        UPPER(_xlpm.s)="N/A","",
        IF(
           ISNUMBER(--_xlpm.s),ROUND(_xlfn.NUMBERVALUE(_xlpm.s),2),""
          )
       )
    )</f>
        <v>63370.22</v>
      </c>
      <c r="J866" t="str">
        <f>TRIM(Employee_dataset[[#This Row],[Email]])</f>
        <v>david.brown@example.com</v>
      </c>
      <c r="K866" t="str">
        <f>_xlfn.LET(
     _xlpm.p,TRIM(SUBSTITUTE(Employee_dataset[[#This Row],[Phone]],"-","")),
     IF(
        LEN(_xlpm.p)=10,_xlfn.CONCAT("("&amp;LEFT(_xlpm.p,3)&amp;") "&amp;MID(_xlpm.p,4,3)&amp;"-"&amp;RIGHT(_xlpm.p,4),"")
       )
     )</f>
        <v>(359) 737-1121</v>
      </c>
      <c r="L866" t="str">
        <f>TRIM(Employee_dataset[[#This Row],[Performance_Score]])</f>
        <v>Excellent</v>
      </c>
      <c r="M866" t="str">
        <f>TRIM(Employee_dataset[[#This Row],[Remote_Work]])</f>
        <v>FALSE</v>
      </c>
    </row>
    <row r="867" spans="1:13" x14ac:dyDescent="0.3">
      <c r="A867" t="str">
        <f>TRIM(Employee_dataset[[#This Row],[Employee_ID]])</f>
        <v>EMP1865</v>
      </c>
      <c r="B867" t="str">
        <f>PROPER(TRIM(Employee_dataset[[#This Row],[First_Name]]))</f>
        <v>Bob</v>
      </c>
      <c r="C867" t="str">
        <f>PROPER(TRIM(Employee_dataset[[#This Row],[Last_Name]]))</f>
        <v>Smith</v>
      </c>
      <c r="D867" s="6" t="str">
        <f>_xlfn.LET(
     _xlpm.a, TRIM(Employee_dataset[[#This Row],[Age]]),
     IF(
        _xlpm.a="","",
        IF(
           AND(ISNUMBER(--_xlpm.a),LEN(_xlpm.a)=2),_xlpm.a,""
          )
       )
    )</f>
        <v>35</v>
      </c>
      <c r="E867" t="str">
        <f>TRIM(_xlfn.TEXTBEFORE(Employee_dataset[[#This Row],[Department_Region]],"-"))</f>
        <v>Finance</v>
      </c>
      <c r="F867" t="str">
        <f>TRIM(_xlfn.TEXTAFTER(Employee_dataset[[#This Row],[Department_Region]],"-"))</f>
        <v>Texas</v>
      </c>
      <c r="G867" t="str">
        <f>TRIM(Employee_dataset[[#This Row],[Status]])</f>
        <v>Pending</v>
      </c>
      <c r="H867" s="1">
        <f>_xlfn.LET(
     _xlpm.d, Employee_dataset[[#This Row],[Join_Date]],
     IF(
        ISNUMBER(_xlpm.d),_xlpm.d,""
       )
    )</f>
        <v>44727</v>
      </c>
      <c r="I867" s="6">
        <f>_xlfn.LET(
     _xlpm.s, TRIM(Employee_dataset[[#This Row],[Salary]]),
     IF(
        UPPER(_xlpm.s)="N/A","",
        IF(
           ISNUMBER(--_xlpm.s),ROUND(_xlfn.NUMBERVALUE(_xlpm.s),2),""
          )
       )
    )</f>
        <v>101472.69</v>
      </c>
      <c r="J867" t="str">
        <f>TRIM(Employee_dataset[[#This Row],[Email]])</f>
        <v>bob.smith@example.com</v>
      </c>
      <c r="K867" t="str">
        <f>_xlfn.LET(
     _xlpm.p,TRIM(SUBSTITUTE(Employee_dataset[[#This Row],[Phone]],"-","")),
     IF(
        LEN(_xlpm.p)=10,_xlfn.CONCAT("("&amp;LEFT(_xlpm.p,3)&amp;") "&amp;MID(_xlpm.p,4,3)&amp;"-"&amp;RIGHT(_xlpm.p,4),"")
       )
     )</f>
        <v>(299) 077-5607</v>
      </c>
      <c r="L867" t="str">
        <f>TRIM(Employee_dataset[[#This Row],[Performance_Score]])</f>
        <v>Good</v>
      </c>
      <c r="M867" t="str">
        <f>TRIM(Employee_dataset[[#This Row],[Remote_Work]])</f>
        <v>TRUE</v>
      </c>
    </row>
    <row r="868" spans="1:13" x14ac:dyDescent="0.3">
      <c r="A868" t="str">
        <f>TRIM(Employee_dataset[[#This Row],[Employee_ID]])</f>
        <v>EMP1866</v>
      </c>
      <c r="B868" t="str">
        <f>PROPER(TRIM(Employee_dataset[[#This Row],[First_Name]]))</f>
        <v>David</v>
      </c>
      <c r="C868" t="str">
        <f>PROPER(TRIM(Employee_dataset[[#This Row],[Last_Name]]))</f>
        <v>Jones</v>
      </c>
      <c r="D868" s="6" t="str">
        <f>_xlfn.LET(
     _xlpm.a, TRIM(Employee_dataset[[#This Row],[Age]]),
     IF(
        _xlpm.a="","",
        IF(
           AND(ISNUMBER(--_xlpm.a),LEN(_xlpm.a)=2),_xlpm.a,""
          )
       )
    )</f>
        <v>25</v>
      </c>
      <c r="E868" t="str">
        <f>TRIM(_xlfn.TEXTBEFORE(Employee_dataset[[#This Row],[Department_Region]],"-"))</f>
        <v>DevOps</v>
      </c>
      <c r="F868" t="str">
        <f>TRIM(_xlfn.TEXTAFTER(Employee_dataset[[#This Row],[Department_Region]],"-"))</f>
        <v>Illinois</v>
      </c>
      <c r="G868" t="str">
        <f>TRIM(Employee_dataset[[#This Row],[Status]])</f>
        <v>Active</v>
      </c>
      <c r="H868" s="1">
        <f>_xlfn.LET(
     _xlpm.d, Employee_dataset[[#This Row],[Join_Date]],
     IF(
        ISNUMBER(_xlpm.d),_xlpm.d,""
       )
    )</f>
        <v>44832</v>
      </c>
      <c r="I868" s="6">
        <f>_xlfn.LET(
     _xlpm.s, TRIM(Employee_dataset[[#This Row],[Salary]]),
     IF(
        UPPER(_xlpm.s)="N/A","",
        IF(
           ISNUMBER(--_xlpm.s),ROUND(_xlfn.NUMBERVALUE(_xlpm.s),2),""
          )
       )
    )</f>
        <v>77213.73</v>
      </c>
      <c r="J868" t="str">
        <f>TRIM(Employee_dataset[[#This Row],[Email]])</f>
        <v>david.jones@example.com</v>
      </c>
      <c r="K868" t="str">
        <f>_xlfn.LET(
     _xlpm.p,TRIM(SUBSTITUTE(Employee_dataset[[#This Row],[Phone]],"-","")),
     IF(
        LEN(_xlpm.p)=10,_xlfn.CONCAT("("&amp;LEFT(_xlpm.p,3)&amp;") "&amp;MID(_xlpm.p,4,3)&amp;"-"&amp;RIGHT(_xlpm.p,4),"")
       )
     )</f>
        <v>(581) 670-4685</v>
      </c>
      <c r="L868" t="str">
        <f>TRIM(Employee_dataset[[#This Row],[Performance_Score]])</f>
        <v>Good</v>
      </c>
      <c r="M868" t="str">
        <f>TRIM(Employee_dataset[[#This Row],[Remote_Work]])</f>
        <v>FALSE</v>
      </c>
    </row>
    <row r="869" spans="1:13" x14ac:dyDescent="0.3">
      <c r="A869" t="str">
        <f>TRIM(Employee_dataset[[#This Row],[Employee_ID]])</f>
        <v>EMP1867</v>
      </c>
      <c r="B869" t="str">
        <f>PROPER(TRIM(Employee_dataset[[#This Row],[First_Name]]))</f>
        <v>Eva</v>
      </c>
      <c r="C869" t="str">
        <f>PROPER(TRIM(Employee_dataset[[#This Row],[Last_Name]]))</f>
        <v>Miller</v>
      </c>
      <c r="D869" s="6" t="str">
        <f>_xlfn.LET(
     _xlpm.a, TRIM(Employee_dataset[[#This Row],[Age]]),
     IF(
        _xlpm.a="","",
        IF(
           AND(ISNUMBER(--_xlpm.a),LEN(_xlpm.a)=2),_xlpm.a,""
          )
       )
    )</f>
        <v>40</v>
      </c>
      <c r="E869" t="str">
        <f>TRIM(_xlfn.TEXTBEFORE(Employee_dataset[[#This Row],[Department_Region]],"-"))</f>
        <v>Sales</v>
      </c>
      <c r="F869" t="str">
        <f>TRIM(_xlfn.TEXTAFTER(Employee_dataset[[#This Row],[Department_Region]],"-"))</f>
        <v>Florida</v>
      </c>
      <c r="G869" t="str">
        <f>TRIM(Employee_dataset[[#This Row],[Status]])</f>
        <v>Active</v>
      </c>
      <c r="H869" s="1">
        <f>_xlfn.LET(
     _xlpm.d, Employee_dataset[[#This Row],[Join_Date]],
     IF(
        ISNUMBER(_xlpm.d),_xlpm.d,""
       )
    )</f>
        <v>43906</v>
      </c>
      <c r="I869" s="6">
        <f>_xlfn.LET(
     _xlpm.s, TRIM(Employee_dataset[[#This Row],[Salary]]),
     IF(
        UPPER(_xlpm.s)="N/A","",
        IF(
           ISNUMBER(--_xlpm.s),ROUND(_xlfn.NUMBERVALUE(_xlpm.s),2),""
          )
       )
    )</f>
        <v>73749.960000000006</v>
      </c>
      <c r="J869" t="str">
        <f>TRIM(Employee_dataset[[#This Row],[Email]])</f>
        <v>eva.miller@example.com</v>
      </c>
      <c r="K869" t="str">
        <f>_xlfn.LET(
     _xlpm.p,TRIM(SUBSTITUTE(Employee_dataset[[#This Row],[Phone]],"-","")),
     IF(
        LEN(_xlpm.p)=10,_xlfn.CONCAT("("&amp;LEFT(_xlpm.p,3)&amp;") "&amp;MID(_xlpm.p,4,3)&amp;"-"&amp;RIGHT(_xlpm.p,4),"")
       )
     )</f>
        <v>(111) 457-6831</v>
      </c>
      <c r="L869" t="str">
        <f>TRIM(Employee_dataset[[#This Row],[Performance_Score]])</f>
        <v>Poor</v>
      </c>
      <c r="M869" t="str">
        <f>TRIM(Employee_dataset[[#This Row],[Remote_Work]])</f>
        <v>TRUE</v>
      </c>
    </row>
    <row r="870" spans="1:13" x14ac:dyDescent="0.3">
      <c r="A870" t="str">
        <f>TRIM(Employee_dataset[[#This Row],[Employee_ID]])</f>
        <v>EMP1868</v>
      </c>
      <c r="B870" t="str">
        <f>PROPER(TRIM(Employee_dataset[[#This Row],[First_Name]]))</f>
        <v>Alice</v>
      </c>
      <c r="C870" t="str">
        <f>PROPER(TRIM(Employee_dataset[[#This Row],[Last_Name]]))</f>
        <v>Davis</v>
      </c>
      <c r="D870" s="6" t="str">
        <f>_xlfn.LET(
     _xlpm.a, TRIM(Employee_dataset[[#This Row],[Age]]),
     IF(
        _xlpm.a="","",
        IF(
           AND(ISNUMBER(--_xlpm.a),LEN(_xlpm.a)=2),_xlpm.a,""
          )
       )
    )</f>
        <v>40</v>
      </c>
      <c r="E870" t="str">
        <f>TRIM(_xlfn.TEXTBEFORE(Employee_dataset[[#This Row],[Department_Region]],"-"))</f>
        <v>Cloud Tech</v>
      </c>
      <c r="F870" t="str">
        <f>TRIM(_xlfn.TEXTAFTER(Employee_dataset[[#This Row],[Department_Region]],"-"))</f>
        <v>New York</v>
      </c>
      <c r="G870" t="str">
        <f>TRIM(Employee_dataset[[#This Row],[Status]])</f>
        <v>Pending</v>
      </c>
      <c r="H870" s="1">
        <f>_xlfn.LET(
     _xlpm.d, Employee_dataset[[#This Row],[Join_Date]],
     IF(
        ISNUMBER(_xlpm.d),_xlpm.d,""
       )
    )</f>
        <v>45197</v>
      </c>
      <c r="I870" s="6">
        <f>_xlfn.LET(
     _xlpm.s, TRIM(Employee_dataset[[#This Row],[Salary]]),
     IF(
        UPPER(_xlpm.s)="N/A","",
        IF(
           ISNUMBER(--_xlpm.s),ROUND(_xlfn.NUMBERVALUE(_xlpm.s),2),""
          )
       )
    )</f>
        <v>86618.37</v>
      </c>
      <c r="J870" t="str">
        <f>TRIM(Employee_dataset[[#This Row],[Email]])</f>
        <v>alice.davis@example.com</v>
      </c>
      <c r="K870" t="str">
        <f>_xlfn.LET(
     _xlpm.p,TRIM(SUBSTITUTE(Employee_dataset[[#This Row],[Phone]],"-","")),
     IF(
        LEN(_xlpm.p)=10,_xlfn.CONCAT("("&amp;LEFT(_xlpm.p,3)&amp;") "&amp;MID(_xlpm.p,4,3)&amp;"-"&amp;RIGHT(_xlpm.p,4),"")
       )
     )</f>
        <v>(102) 192-3784</v>
      </c>
      <c r="L870" t="str">
        <f>TRIM(Employee_dataset[[#This Row],[Performance_Score]])</f>
        <v>Average</v>
      </c>
      <c r="M870" t="str">
        <f>TRIM(Employee_dataset[[#This Row],[Remote_Work]])</f>
        <v>FALSE</v>
      </c>
    </row>
    <row r="871" spans="1:13" x14ac:dyDescent="0.3">
      <c r="A871" t="str">
        <f>TRIM(Employee_dataset[[#This Row],[Employee_ID]])</f>
        <v>EMP1869</v>
      </c>
      <c r="B871" t="str">
        <f>PROPER(TRIM(Employee_dataset[[#This Row],[First_Name]]))</f>
        <v>Charlie</v>
      </c>
      <c r="C871" t="str">
        <f>PROPER(TRIM(Employee_dataset[[#This Row],[Last_Name]]))</f>
        <v>Miller</v>
      </c>
      <c r="D871" s="6" t="str">
        <f>_xlfn.LET(
     _xlpm.a, TRIM(Employee_dataset[[#This Row],[Age]]),
     IF(
        _xlpm.a="","",
        IF(
           AND(ISNUMBER(--_xlpm.a),LEN(_xlpm.a)=2),_xlpm.a,""
          )
       )
    )</f>
        <v/>
      </c>
      <c r="E871" t="str">
        <f>TRIM(_xlfn.TEXTBEFORE(Employee_dataset[[#This Row],[Department_Region]],"-"))</f>
        <v>Admin</v>
      </c>
      <c r="F871" t="str">
        <f>TRIM(_xlfn.TEXTAFTER(Employee_dataset[[#This Row],[Department_Region]],"-"))</f>
        <v>Texas</v>
      </c>
      <c r="G871" t="str">
        <f>TRIM(Employee_dataset[[#This Row],[Status]])</f>
        <v>Active</v>
      </c>
      <c r="H871" s="1">
        <f>_xlfn.LET(
     _xlpm.d, Employee_dataset[[#This Row],[Join_Date]],
     IF(
        ISNUMBER(_xlpm.d),_xlpm.d,""
       )
    )</f>
        <v>45337</v>
      </c>
      <c r="I871" s="6">
        <f>_xlfn.LET(
     _xlpm.s, TRIM(Employee_dataset[[#This Row],[Salary]]),
     IF(
        UPPER(_xlpm.s)="N/A","",
        IF(
           ISNUMBER(--_xlpm.s),ROUND(_xlfn.NUMBERVALUE(_xlpm.s),2),""
          )
       )
    )</f>
        <v>59911.33</v>
      </c>
      <c r="J871" t="str">
        <f>TRIM(Employee_dataset[[#This Row],[Email]])</f>
        <v>charlie.miller@example.com</v>
      </c>
      <c r="K871" t="str">
        <f>_xlfn.LET(
     _xlpm.p,TRIM(SUBSTITUTE(Employee_dataset[[#This Row],[Phone]],"-","")),
     IF(
        LEN(_xlpm.p)=10,_xlfn.CONCAT("("&amp;LEFT(_xlpm.p,3)&amp;") "&amp;MID(_xlpm.p,4,3)&amp;"-"&amp;RIGHT(_xlpm.p,4),"")
       )
     )</f>
        <v>(847) 129-6179</v>
      </c>
      <c r="L871" t="str">
        <f>TRIM(Employee_dataset[[#This Row],[Performance_Score]])</f>
        <v>Excellent</v>
      </c>
      <c r="M871" t="str">
        <f>TRIM(Employee_dataset[[#This Row],[Remote_Work]])</f>
        <v>TRUE</v>
      </c>
    </row>
    <row r="872" spans="1:13" x14ac:dyDescent="0.3">
      <c r="A872" t="str">
        <f>TRIM(Employee_dataset[[#This Row],[Employee_ID]])</f>
        <v>EMP1870</v>
      </c>
      <c r="B872" t="str">
        <f>PROPER(TRIM(Employee_dataset[[#This Row],[First_Name]]))</f>
        <v>Heidi</v>
      </c>
      <c r="C872" t="str">
        <f>PROPER(TRIM(Employee_dataset[[#This Row],[Last_Name]]))</f>
        <v>Jones</v>
      </c>
      <c r="D872" s="6" t="str">
        <f>_xlfn.LET(
     _xlpm.a, TRIM(Employee_dataset[[#This Row],[Age]]),
     IF(
        _xlpm.a="","",
        IF(
           AND(ISNUMBER(--_xlpm.a),LEN(_xlpm.a)=2),_xlpm.a,""
          )
       )
    )</f>
        <v/>
      </c>
      <c r="E872" t="str">
        <f>TRIM(_xlfn.TEXTBEFORE(Employee_dataset[[#This Row],[Department_Region]],"-"))</f>
        <v>Cloud Tech</v>
      </c>
      <c r="F872" t="str">
        <f>TRIM(_xlfn.TEXTAFTER(Employee_dataset[[#This Row],[Department_Region]],"-"))</f>
        <v>New York</v>
      </c>
      <c r="G872" t="str">
        <f>TRIM(Employee_dataset[[#This Row],[Status]])</f>
        <v>Pending</v>
      </c>
      <c r="H872" s="1">
        <f>_xlfn.LET(
     _xlpm.d, Employee_dataset[[#This Row],[Join_Date]],
     IF(
        ISNUMBER(_xlpm.d),_xlpm.d,""
       )
    )</f>
        <v>45159</v>
      </c>
      <c r="I872" s="6">
        <f>_xlfn.LET(
     _xlpm.s, TRIM(Employee_dataset[[#This Row],[Salary]]),
     IF(
        UPPER(_xlpm.s)="N/A","",
        IF(
           ISNUMBER(--_xlpm.s),ROUND(_xlfn.NUMBERVALUE(_xlpm.s),2),""
          )
       )
    )</f>
        <v>59137.64</v>
      </c>
      <c r="J872" t="str">
        <f>TRIM(Employee_dataset[[#This Row],[Email]])</f>
        <v>heidi.jones@example.com</v>
      </c>
      <c r="K872" t="str">
        <f>_xlfn.LET(
     _xlpm.p,TRIM(SUBSTITUTE(Employee_dataset[[#This Row],[Phone]],"-","")),
     IF(
        LEN(_xlpm.p)=10,_xlfn.CONCAT("("&amp;LEFT(_xlpm.p,3)&amp;") "&amp;MID(_xlpm.p,4,3)&amp;"-"&amp;RIGHT(_xlpm.p,4),"")
       )
     )</f>
        <v>(332) 426-0507</v>
      </c>
      <c r="L872" t="str">
        <f>TRIM(Employee_dataset[[#This Row],[Performance_Score]])</f>
        <v>Good</v>
      </c>
      <c r="M872" t="str">
        <f>TRIM(Employee_dataset[[#This Row],[Remote_Work]])</f>
        <v>FALSE</v>
      </c>
    </row>
    <row r="873" spans="1:13" x14ac:dyDescent="0.3">
      <c r="A873" t="str">
        <f>TRIM(Employee_dataset[[#This Row],[Employee_ID]])</f>
        <v>EMP1871</v>
      </c>
      <c r="B873" t="str">
        <f>PROPER(TRIM(Employee_dataset[[#This Row],[First_Name]]))</f>
        <v>Alice</v>
      </c>
      <c r="C873" t="str">
        <f>PROPER(TRIM(Employee_dataset[[#This Row],[Last_Name]]))</f>
        <v>Garcia</v>
      </c>
      <c r="D873" s="6" t="str">
        <f>_xlfn.LET(
     _xlpm.a, TRIM(Employee_dataset[[#This Row],[Age]]),
     IF(
        _xlpm.a="","",
        IF(
           AND(ISNUMBER(--_xlpm.a),LEN(_xlpm.a)=2),_xlpm.a,""
          )
       )
    )</f>
        <v>35</v>
      </c>
      <c r="E873" t="str">
        <f>TRIM(_xlfn.TEXTBEFORE(Employee_dataset[[#This Row],[Department_Region]],"-"))</f>
        <v>Cloud Tech</v>
      </c>
      <c r="F873" t="str">
        <f>TRIM(_xlfn.TEXTAFTER(Employee_dataset[[#This Row],[Department_Region]],"-"))</f>
        <v>Florida</v>
      </c>
      <c r="G873" t="str">
        <f>TRIM(Employee_dataset[[#This Row],[Status]])</f>
        <v>Pending</v>
      </c>
      <c r="H873" s="1">
        <f>_xlfn.LET(
     _xlpm.d, Employee_dataset[[#This Row],[Join_Date]],
     IF(
        ISNUMBER(_xlpm.d),_xlpm.d,""
       )
    )</f>
        <v>44180</v>
      </c>
      <c r="I873" s="6">
        <f>_xlfn.LET(
     _xlpm.s, TRIM(Employee_dataset[[#This Row],[Salary]]),
     IF(
        UPPER(_xlpm.s)="N/A","",
        IF(
           ISNUMBER(--_xlpm.s),ROUND(_xlfn.NUMBERVALUE(_xlpm.s),2),""
          )
       )
    )</f>
        <v>108474.65</v>
      </c>
      <c r="J873" t="str">
        <f>TRIM(Employee_dataset[[#This Row],[Email]])</f>
        <v>alice.garcia@example.com</v>
      </c>
      <c r="K873" t="b">
        <f>_xlfn.LET(
     _xlpm.p,TRIM(SUBSTITUTE(Employee_dataset[[#This Row],[Phone]],"-","")),
     IF(
        LEN(_xlpm.p)=10,_xlfn.CONCAT("("&amp;LEFT(_xlpm.p,3)&amp;") "&amp;MID(_xlpm.p,4,3)&amp;"-"&amp;RIGHT(_xlpm.p,4),"")
       )
     )</f>
        <v>0</v>
      </c>
      <c r="L873" t="str">
        <f>TRIM(Employee_dataset[[#This Row],[Performance_Score]])</f>
        <v>Good</v>
      </c>
      <c r="M873" t="str">
        <f>TRIM(Employee_dataset[[#This Row],[Remote_Work]])</f>
        <v>TRUE</v>
      </c>
    </row>
    <row r="874" spans="1:13" x14ac:dyDescent="0.3">
      <c r="A874" t="str">
        <f>TRIM(Employee_dataset[[#This Row],[Employee_ID]])</f>
        <v>EMP1872</v>
      </c>
      <c r="B874" t="str">
        <f>PROPER(TRIM(Employee_dataset[[#This Row],[First_Name]]))</f>
        <v>Bob</v>
      </c>
      <c r="C874" t="str">
        <f>PROPER(TRIM(Employee_dataset[[#This Row],[Last_Name]]))</f>
        <v>Johnson</v>
      </c>
      <c r="D874" s="6" t="str">
        <f>_xlfn.LET(
     _xlpm.a, TRIM(Employee_dataset[[#This Row],[Age]]),
     IF(
        _xlpm.a="","",
        IF(
           AND(ISNUMBER(--_xlpm.a),LEN(_xlpm.a)=2),_xlpm.a,""
          )
       )
    )</f>
        <v>25</v>
      </c>
      <c r="E874" t="str">
        <f>TRIM(_xlfn.TEXTBEFORE(Employee_dataset[[#This Row],[Department_Region]],"-"))</f>
        <v>Finance</v>
      </c>
      <c r="F874" t="str">
        <f>TRIM(_xlfn.TEXTAFTER(Employee_dataset[[#This Row],[Department_Region]],"-"))</f>
        <v>Illinois</v>
      </c>
      <c r="G874" t="str">
        <f>TRIM(Employee_dataset[[#This Row],[Status]])</f>
        <v>Pending</v>
      </c>
      <c r="H874" s="1">
        <f>_xlfn.LET(
     _xlpm.d, Employee_dataset[[#This Row],[Join_Date]],
     IF(
        ISNUMBER(_xlpm.d),_xlpm.d,""
       )
    )</f>
        <v>44282</v>
      </c>
      <c r="I874" s="6">
        <f>_xlfn.LET(
     _xlpm.s, TRIM(Employee_dataset[[#This Row],[Salary]]),
     IF(
        UPPER(_xlpm.s)="N/A","",
        IF(
           ISNUMBER(--_xlpm.s),ROUND(_xlfn.NUMBERVALUE(_xlpm.s),2),""
          )
       )
    )</f>
        <v>54417.71</v>
      </c>
      <c r="J874" t="str">
        <f>TRIM(Employee_dataset[[#This Row],[Email]])</f>
        <v>bob.johnson@example.com</v>
      </c>
      <c r="K874" t="str">
        <f>_xlfn.LET(
     _xlpm.p,TRIM(SUBSTITUTE(Employee_dataset[[#This Row],[Phone]],"-","")),
     IF(
        LEN(_xlpm.p)=10,_xlfn.CONCAT("("&amp;LEFT(_xlpm.p,3)&amp;") "&amp;MID(_xlpm.p,4,3)&amp;"-"&amp;RIGHT(_xlpm.p,4),"")
       )
     )</f>
        <v>(373) 377-7311</v>
      </c>
      <c r="L874" t="str">
        <f>TRIM(Employee_dataset[[#This Row],[Performance_Score]])</f>
        <v>Excellent</v>
      </c>
      <c r="M874" t="str">
        <f>TRIM(Employee_dataset[[#This Row],[Remote_Work]])</f>
        <v>FALSE</v>
      </c>
    </row>
    <row r="875" spans="1:13" x14ac:dyDescent="0.3">
      <c r="A875" t="str">
        <f>TRIM(Employee_dataset[[#This Row],[Employee_ID]])</f>
        <v>EMP1873</v>
      </c>
      <c r="B875" t="str">
        <f>PROPER(TRIM(Employee_dataset[[#This Row],[First_Name]]))</f>
        <v>Frank</v>
      </c>
      <c r="C875" t="str">
        <f>PROPER(TRIM(Employee_dataset[[#This Row],[Last_Name]]))</f>
        <v>Smith</v>
      </c>
      <c r="D875" s="6" t="str">
        <f>_xlfn.LET(
     _xlpm.a, TRIM(Employee_dataset[[#This Row],[Age]]),
     IF(
        _xlpm.a="","",
        IF(
           AND(ISNUMBER(--_xlpm.a),LEN(_xlpm.a)=2),_xlpm.a,""
          )
       )
    )</f>
        <v>40</v>
      </c>
      <c r="E875" t="str">
        <f>TRIM(_xlfn.TEXTBEFORE(Employee_dataset[[#This Row],[Department_Region]],"-"))</f>
        <v>HR</v>
      </c>
      <c r="F875" t="str">
        <f>TRIM(_xlfn.TEXTAFTER(Employee_dataset[[#This Row],[Department_Region]],"-"))</f>
        <v>Texas</v>
      </c>
      <c r="G875" t="str">
        <f>TRIM(Employee_dataset[[#This Row],[Status]])</f>
        <v>Pending</v>
      </c>
      <c r="H875" s="1">
        <f>_xlfn.LET(
     _xlpm.d, Employee_dataset[[#This Row],[Join_Date]],
     IF(
        ISNUMBER(_xlpm.d),_xlpm.d,""
       )
    )</f>
        <v>45010</v>
      </c>
      <c r="I875" s="6">
        <f>_xlfn.LET(
     _xlpm.s, TRIM(Employee_dataset[[#This Row],[Salary]]),
     IF(
        UPPER(_xlpm.s)="N/A","",
        IF(
           ISNUMBER(--_xlpm.s),ROUND(_xlfn.NUMBERVALUE(_xlpm.s),2),""
          )
       )
    )</f>
        <v>88211.94</v>
      </c>
      <c r="J875" t="str">
        <f>TRIM(Employee_dataset[[#This Row],[Email]])</f>
        <v>frank.smith@example.com</v>
      </c>
      <c r="K875" t="str">
        <f>_xlfn.LET(
     _xlpm.p,TRIM(SUBSTITUTE(Employee_dataset[[#This Row],[Phone]],"-","")),
     IF(
        LEN(_xlpm.p)=10,_xlfn.CONCAT("("&amp;LEFT(_xlpm.p,3)&amp;") "&amp;MID(_xlpm.p,4,3)&amp;"-"&amp;RIGHT(_xlpm.p,4),"")
       )
     )</f>
        <v>(688) 122-8216</v>
      </c>
      <c r="L875" t="str">
        <f>TRIM(Employee_dataset[[#This Row],[Performance_Score]])</f>
        <v>Average</v>
      </c>
      <c r="M875" t="str">
        <f>TRIM(Employee_dataset[[#This Row],[Remote_Work]])</f>
        <v>FALSE</v>
      </c>
    </row>
    <row r="876" spans="1:13" x14ac:dyDescent="0.3">
      <c r="A876" t="str">
        <f>TRIM(Employee_dataset[[#This Row],[Employee_ID]])</f>
        <v>EMP1874</v>
      </c>
      <c r="B876" t="str">
        <f>PROPER(TRIM(Employee_dataset[[#This Row],[First_Name]]))</f>
        <v>David</v>
      </c>
      <c r="C876" t="str">
        <f>PROPER(TRIM(Employee_dataset[[#This Row],[Last_Name]]))</f>
        <v>Johnson</v>
      </c>
      <c r="D876" s="6" t="str">
        <f>_xlfn.LET(
     _xlpm.a, TRIM(Employee_dataset[[#This Row],[Age]]),
     IF(
        _xlpm.a="","",
        IF(
           AND(ISNUMBER(--_xlpm.a),LEN(_xlpm.a)=2),_xlpm.a,""
          )
       )
    )</f>
        <v>25</v>
      </c>
      <c r="E876" t="str">
        <f>TRIM(_xlfn.TEXTBEFORE(Employee_dataset[[#This Row],[Department_Region]],"-"))</f>
        <v>Sales</v>
      </c>
      <c r="F876" t="str">
        <f>TRIM(_xlfn.TEXTAFTER(Employee_dataset[[#This Row],[Department_Region]],"-"))</f>
        <v>New York</v>
      </c>
      <c r="G876" t="str">
        <f>TRIM(Employee_dataset[[#This Row],[Status]])</f>
        <v>Inactive</v>
      </c>
      <c r="H876" s="1">
        <f>_xlfn.LET(
     _xlpm.d, Employee_dataset[[#This Row],[Join_Date]],
     IF(
        ISNUMBER(_xlpm.d),_xlpm.d,""
       )
    )</f>
        <v>43960</v>
      </c>
      <c r="I876" s="6">
        <f>_xlfn.LET(
     _xlpm.s, TRIM(Employee_dataset[[#This Row],[Salary]]),
     IF(
        UPPER(_xlpm.s)="N/A","",
        IF(
           ISNUMBER(--_xlpm.s),ROUND(_xlfn.NUMBERVALUE(_xlpm.s),2),""
          )
       )
    )</f>
        <v>58452.18</v>
      </c>
      <c r="J876" t="str">
        <f>TRIM(Employee_dataset[[#This Row],[Email]])</f>
        <v>david.johnson@example.com</v>
      </c>
      <c r="K876" t="str">
        <f>_xlfn.LET(
     _xlpm.p,TRIM(SUBSTITUTE(Employee_dataset[[#This Row],[Phone]],"-","")),
     IF(
        LEN(_xlpm.p)=10,_xlfn.CONCAT("("&amp;LEFT(_xlpm.p,3)&amp;") "&amp;MID(_xlpm.p,4,3)&amp;"-"&amp;RIGHT(_xlpm.p,4),"")
       )
     )</f>
        <v>(819) 236-5345</v>
      </c>
      <c r="L876" t="str">
        <f>TRIM(Employee_dataset[[#This Row],[Performance_Score]])</f>
        <v>Excellent</v>
      </c>
      <c r="M876" t="str">
        <f>TRIM(Employee_dataset[[#This Row],[Remote_Work]])</f>
        <v>TRUE</v>
      </c>
    </row>
    <row r="877" spans="1:13" x14ac:dyDescent="0.3">
      <c r="A877" t="str">
        <f>TRIM(Employee_dataset[[#This Row],[Employee_ID]])</f>
        <v>EMP1875</v>
      </c>
      <c r="B877" t="str">
        <f>PROPER(TRIM(Employee_dataset[[#This Row],[First_Name]]))</f>
        <v>Grace</v>
      </c>
      <c r="C877" t="str">
        <f>PROPER(TRIM(Employee_dataset[[#This Row],[Last_Name]]))</f>
        <v>Williams</v>
      </c>
      <c r="D877" s="6" t="str">
        <f>_xlfn.LET(
     _xlpm.a, TRIM(Employee_dataset[[#This Row],[Age]]),
     IF(
        _xlpm.a="","",
        IF(
           AND(ISNUMBER(--_xlpm.a),LEN(_xlpm.a)=2),_xlpm.a,""
          )
       )
    )</f>
        <v>30</v>
      </c>
      <c r="E877" t="str">
        <f>TRIM(_xlfn.TEXTBEFORE(Employee_dataset[[#This Row],[Department_Region]],"-"))</f>
        <v>DevOps</v>
      </c>
      <c r="F877" t="str">
        <f>TRIM(_xlfn.TEXTAFTER(Employee_dataset[[#This Row],[Department_Region]],"-"))</f>
        <v>California</v>
      </c>
      <c r="G877" t="str">
        <f>TRIM(Employee_dataset[[#This Row],[Status]])</f>
        <v>Pending</v>
      </c>
      <c r="H877" s="1">
        <f>_xlfn.LET(
     _xlpm.d, Employee_dataset[[#This Row],[Join_Date]],
     IF(
        ISNUMBER(_xlpm.d),_xlpm.d,""
       )
    )</f>
        <v>44168</v>
      </c>
      <c r="I877" s="6">
        <f>_xlfn.LET(
     _xlpm.s, TRIM(Employee_dataset[[#This Row],[Salary]]),
     IF(
        UPPER(_xlpm.s)="N/A","",
        IF(
           ISNUMBER(--_xlpm.s),ROUND(_xlfn.NUMBERVALUE(_xlpm.s),2),""
          )
       )
    )</f>
        <v>80706.28</v>
      </c>
      <c r="J877" t="str">
        <f>TRIM(Employee_dataset[[#This Row],[Email]])</f>
        <v>grace.williams@example.com</v>
      </c>
      <c r="K877" t="b">
        <f>_xlfn.LET(
     _xlpm.p,TRIM(SUBSTITUTE(Employee_dataset[[#This Row],[Phone]],"-","")),
     IF(
        LEN(_xlpm.p)=10,_xlfn.CONCAT("("&amp;LEFT(_xlpm.p,3)&amp;") "&amp;MID(_xlpm.p,4,3)&amp;"-"&amp;RIGHT(_xlpm.p,4),"")
       )
     )</f>
        <v>0</v>
      </c>
      <c r="L877" t="str">
        <f>TRIM(Employee_dataset[[#This Row],[Performance_Score]])</f>
        <v>Average</v>
      </c>
      <c r="M877" t="str">
        <f>TRIM(Employee_dataset[[#This Row],[Remote_Work]])</f>
        <v>TRUE</v>
      </c>
    </row>
    <row r="878" spans="1:13" x14ac:dyDescent="0.3">
      <c r="A878" t="str">
        <f>TRIM(Employee_dataset[[#This Row],[Employee_ID]])</f>
        <v>EMP1876</v>
      </c>
      <c r="B878" t="str">
        <f>PROPER(TRIM(Employee_dataset[[#This Row],[First_Name]]))</f>
        <v>Alice</v>
      </c>
      <c r="C878" t="str">
        <f>PROPER(TRIM(Employee_dataset[[#This Row],[Last_Name]]))</f>
        <v>Johnson</v>
      </c>
      <c r="D878" s="6" t="str">
        <f>_xlfn.LET(
     _xlpm.a, TRIM(Employee_dataset[[#This Row],[Age]]),
     IF(
        _xlpm.a="","",
        IF(
           AND(ISNUMBER(--_xlpm.a),LEN(_xlpm.a)=2),_xlpm.a,""
          )
       )
    )</f>
        <v>30</v>
      </c>
      <c r="E878" t="str">
        <f>TRIM(_xlfn.TEXTBEFORE(Employee_dataset[[#This Row],[Department_Region]],"-"))</f>
        <v>Cloud Tech</v>
      </c>
      <c r="F878" t="str">
        <f>TRIM(_xlfn.TEXTAFTER(Employee_dataset[[#This Row],[Department_Region]],"-"))</f>
        <v>Nevada</v>
      </c>
      <c r="G878" t="str">
        <f>TRIM(Employee_dataset[[#This Row],[Status]])</f>
        <v>Pending</v>
      </c>
      <c r="H878" s="1">
        <f>_xlfn.LET(
     _xlpm.d, Employee_dataset[[#This Row],[Join_Date]],
     IF(
        ISNUMBER(_xlpm.d),_xlpm.d,""
       )
    )</f>
        <v>44601</v>
      </c>
      <c r="I878" s="6" t="str">
        <f>_xlfn.LET(
     _xlpm.s, TRIM(Employee_dataset[[#This Row],[Salary]]),
     IF(
        UPPER(_xlpm.s)="N/A","",
        IF(
           ISNUMBER(--_xlpm.s),ROUND(_xlfn.NUMBERVALUE(_xlpm.s),2),""
          )
       )
    )</f>
        <v/>
      </c>
      <c r="J878" t="str">
        <f>TRIM(Employee_dataset[[#This Row],[Email]])</f>
        <v>alice.johnson@example.com</v>
      </c>
      <c r="K878" t="str">
        <f>_xlfn.LET(
     _xlpm.p,TRIM(SUBSTITUTE(Employee_dataset[[#This Row],[Phone]],"-","")),
     IF(
        LEN(_xlpm.p)=10,_xlfn.CONCAT("("&amp;LEFT(_xlpm.p,3)&amp;") "&amp;MID(_xlpm.p,4,3)&amp;"-"&amp;RIGHT(_xlpm.p,4),"")
       )
     )</f>
        <v>(932) 798-6238</v>
      </c>
      <c r="L878" t="str">
        <f>TRIM(Employee_dataset[[#This Row],[Performance_Score]])</f>
        <v>Good</v>
      </c>
      <c r="M878" t="str">
        <f>TRIM(Employee_dataset[[#This Row],[Remote_Work]])</f>
        <v>TRUE</v>
      </c>
    </row>
    <row r="879" spans="1:13" x14ac:dyDescent="0.3">
      <c r="A879" t="str">
        <f>TRIM(Employee_dataset[[#This Row],[Employee_ID]])</f>
        <v>EMP1877</v>
      </c>
      <c r="B879" t="str">
        <f>PROPER(TRIM(Employee_dataset[[#This Row],[First_Name]]))</f>
        <v>Heidi</v>
      </c>
      <c r="C879" t="str">
        <f>PROPER(TRIM(Employee_dataset[[#This Row],[Last_Name]]))</f>
        <v>Johnson</v>
      </c>
      <c r="D879" s="6" t="str">
        <f>_xlfn.LET(
     _xlpm.a, TRIM(Employee_dataset[[#This Row],[Age]]),
     IF(
        _xlpm.a="","",
        IF(
           AND(ISNUMBER(--_xlpm.a),LEN(_xlpm.a)=2),_xlpm.a,""
          )
       )
    )</f>
        <v>25</v>
      </c>
      <c r="E879" t="str">
        <f>TRIM(_xlfn.TEXTBEFORE(Employee_dataset[[#This Row],[Department_Region]],"-"))</f>
        <v>Cloud Tech</v>
      </c>
      <c r="F879" t="str">
        <f>TRIM(_xlfn.TEXTAFTER(Employee_dataset[[#This Row],[Department_Region]],"-"))</f>
        <v>Texas</v>
      </c>
      <c r="G879" t="str">
        <f>TRIM(Employee_dataset[[#This Row],[Status]])</f>
        <v>Active</v>
      </c>
      <c r="H879" s="1">
        <f>_xlfn.LET(
     _xlpm.d, Employee_dataset[[#This Row],[Join_Date]],
     IF(
        ISNUMBER(_xlpm.d),_xlpm.d,""
       )
    )</f>
        <v>44013</v>
      </c>
      <c r="I879" s="6">
        <f>_xlfn.LET(
     _xlpm.s, TRIM(Employee_dataset[[#This Row],[Salary]]),
     IF(
        UPPER(_xlpm.s)="N/A","",
        IF(
           ISNUMBER(--_xlpm.s),ROUND(_xlfn.NUMBERVALUE(_xlpm.s),2),""
          )
       )
    )</f>
        <v>99471.89</v>
      </c>
      <c r="J879" t="str">
        <f>TRIM(Employee_dataset[[#This Row],[Email]])</f>
        <v>heidi.johnson@example.com</v>
      </c>
      <c r="K879" t="str">
        <f>_xlfn.LET(
     _xlpm.p,TRIM(SUBSTITUTE(Employee_dataset[[#This Row],[Phone]],"-","")),
     IF(
        LEN(_xlpm.p)=10,_xlfn.CONCAT("("&amp;LEFT(_xlpm.p,3)&amp;") "&amp;MID(_xlpm.p,4,3)&amp;"-"&amp;RIGHT(_xlpm.p,4),"")
       )
     )</f>
        <v>(847) 169-0617</v>
      </c>
      <c r="L879" t="str">
        <f>TRIM(Employee_dataset[[#This Row],[Performance_Score]])</f>
        <v>Average</v>
      </c>
      <c r="M879" t="str">
        <f>TRIM(Employee_dataset[[#This Row],[Remote_Work]])</f>
        <v>TRUE</v>
      </c>
    </row>
    <row r="880" spans="1:13" x14ac:dyDescent="0.3">
      <c r="A880" t="str">
        <f>TRIM(Employee_dataset[[#This Row],[Employee_ID]])</f>
        <v>EMP1878</v>
      </c>
      <c r="B880" t="str">
        <f>PROPER(TRIM(Employee_dataset[[#This Row],[First_Name]]))</f>
        <v>Eva</v>
      </c>
      <c r="C880" t="str">
        <f>PROPER(TRIM(Employee_dataset[[#This Row],[Last_Name]]))</f>
        <v>Jones</v>
      </c>
      <c r="D880" s="6" t="str">
        <f>_xlfn.LET(
     _xlpm.a, TRIM(Employee_dataset[[#This Row],[Age]]),
     IF(
        _xlpm.a="","",
        IF(
           AND(ISNUMBER(--_xlpm.a),LEN(_xlpm.a)=2),_xlpm.a,""
          )
       )
    )</f>
        <v>40</v>
      </c>
      <c r="E880" t="str">
        <f>TRIM(_xlfn.TEXTBEFORE(Employee_dataset[[#This Row],[Department_Region]],"-"))</f>
        <v>DevOps</v>
      </c>
      <c r="F880" t="str">
        <f>TRIM(_xlfn.TEXTAFTER(Employee_dataset[[#This Row],[Department_Region]],"-"))</f>
        <v>Florida</v>
      </c>
      <c r="G880" t="str">
        <f>TRIM(Employee_dataset[[#This Row],[Status]])</f>
        <v>Pending</v>
      </c>
      <c r="H880" s="1">
        <f>_xlfn.LET(
     _xlpm.d, Employee_dataset[[#This Row],[Join_Date]],
     IF(
        ISNUMBER(_xlpm.d),_xlpm.d,""
       )
    )</f>
        <v>44090</v>
      </c>
      <c r="I880" s="6">
        <f>_xlfn.LET(
     _xlpm.s, TRIM(Employee_dataset[[#This Row],[Salary]]),
     IF(
        UPPER(_xlpm.s)="N/A","",
        IF(
           ISNUMBER(--_xlpm.s),ROUND(_xlfn.NUMBERVALUE(_xlpm.s),2),""
          )
       )
    )</f>
        <v>64431.22</v>
      </c>
      <c r="J880" t="str">
        <f>TRIM(Employee_dataset[[#This Row],[Email]])</f>
        <v>eva.jones@example.com</v>
      </c>
      <c r="K880" t="str">
        <f>_xlfn.LET(
     _xlpm.p,TRIM(SUBSTITUTE(Employee_dataset[[#This Row],[Phone]],"-","")),
     IF(
        LEN(_xlpm.p)=10,_xlfn.CONCAT("("&amp;LEFT(_xlpm.p,3)&amp;") "&amp;MID(_xlpm.p,4,3)&amp;"-"&amp;RIGHT(_xlpm.p,4),"")
       )
     )</f>
        <v>(120) 546-4753</v>
      </c>
      <c r="L880" t="str">
        <f>TRIM(Employee_dataset[[#This Row],[Performance_Score]])</f>
        <v>Poor</v>
      </c>
      <c r="M880" t="str">
        <f>TRIM(Employee_dataset[[#This Row],[Remote_Work]])</f>
        <v>FALSE</v>
      </c>
    </row>
    <row r="881" spans="1:13" x14ac:dyDescent="0.3">
      <c r="A881" t="str">
        <f>TRIM(Employee_dataset[[#This Row],[Employee_ID]])</f>
        <v>EMP1879</v>
      </c>
      <c r="B881" t="str">
        <f>PROPER(TRIM(Employee_dataset[[#This Row],[First_Name]]))</f>
        <v>Heidi</v>
      </c>
      <c r="C881" t="str">
        <f>PROPER(TRIM(Employee_dataset[[#This Row],[Last_Name]]))</f>
        <v>Jones</v>
      </c>
      <c r="D881" s="6" t="str">
        <f>_xlfn.LET(
     _xlpm.a, TRIM(Employee_dataset[[#This Row],[Age]]),
     IF(
        _xlpm.a="","",
        IF(
           AND(ISNUMBER(--_xlpm.a),LEN(_xlpm.a)=2),_xlpm.a,""
          )
       )
    )</f>
        <v>40</v>
      </c>
      <c r="E881" t="str">
        <f>TRIM(_xlfn.TEXTBEFORE(Employee_dataset[[#This Row],[Department_Region]],"-"))</f>
        <v>Admin</v>
      </c>
      <c r="F881" t="str">
        <f>TRIM(_xlfn.TEXTAFTER(Employee_dataset[[#This Row],[Department_Region]],"-"))</f>
        <v>New York</v>
      </c>
      <c r="G881" t="str">
        <f>TRIM(Employee_dataset[[#This Row],[Status]])</f>
        <v>Pending</v>
      </c>
      <c r="H881" s="1">
        <f>_xlfn.LET(
     _xlpm.d, Employee_dataset[[#This Row],[Join_Date]],
     IF(
        ISNUMBER(_xlpm.d),_xlpm.d,""
       )
    )</f>
        <v>45247</v>
      </c>
      <c r="I881" s="6">
        <f>_xlfn.LET(
     _xlpm.s, TRIM(Employee_dataset[[#This Row],[Salary]]),
     IF(
        UPPER(_xlpm.s)="N/A","",
        IF(
           ISNUMBER(--_xlpm.s),ROUND(_xlfn.NUMBERVALUE(_xlpm.s),2),""
          )
       )
    )</f>
        <v>52633.48</v>
      </c>
      <c r="J881" t="str">
        <f>TRIM(Employee_dataset[[#This Row],[Email]])</f>
        <v>heidi.jones@example.com</v>
      </c>
      <c r="K881" t="str">
        <f>_xlfn.LET(
     _xlpm.p,TRIM(SUBSTITUTE(Employee_dataset[[#This Row],[Phone]],"-","")),
     IF(
        LEN(_xlpm.p)=10,_xlfn.CONCAT("("&amp;LEFT(_xlpm.p,3)&amp;") "&amp;MID(_xlpm.p,4,3)&amp;"-"&amp;RIGHT(_xlpm.p,4),"")
       )
     )</f>
        <v>(895) 478-7697</v>
      </c>
      <c r="L881" t="str">
        <f>TRIM(Employee_dataset[[#This Row],[Performance_Score]])</f>
        <v>Good</v>
      </c>
      <c r="M881" t="str">
        <f>TRIM(Employee_dataset[[#This Row],[Remote_Work]])</f>
        <v>FALSE</v>
      </c>
    </row>
    <row r="882" spans="1:13" x14ac:dyDescent="0.3">
      <c r="A882" t="str">
        <f>TRIM(Employee_dataset[[#This Row],[Employee_ID]])</f>
        <v>EMP1880</v>
      </c>
      <c r="B882" t="str">
        <f>PROPER(TRIM(Employee_dataset[[#This Row],[First_Name]]))</f>
        <v>Heidi</v>
      </c>
      <c r="C882" t="str">
        <f>PROPER(TRIM(Employee_dataset[[#This Row],[Last_Name]]))</f>
        <v>Jones</v>
      </c>
      <c r="D882" s="6" t="str">
        <f>_xlfn.LET(
     _xlpm.a, TRIM(Employee_dataset[[#This Row],[Age]]),
     IF(
        _xlpm.a="","",
        IF(
           AND(ISNUMBER(--_xlpm.a),LEN(_xlpm.a)=2),_xlpm.a,""
          )
       )
    )</f>
        <v/>
      </c>
      <c r="E882" t="str">
        <f>TRIM(_xlfn.TEXTBEFORE(Employee_dataset[[#This Row],[Department_Region]],"-"))</f>
        <v>Cloud Tech</v>
      </c>
      <c r="F882" t="str">
        <f>TRIM(_xlfn.TEXTAFTER(Employee_dataset[[#This Row],[Department_Region]],"-"))</f>
        <v>Nevada</v>
      </c>
      <c r="G882" t="str">
        <f>TRIM(Employee_dataset[[#This Row],[Status]])</f>
        <v>Inactive</v>
      </c>
      <c r="H882" s="1">
        <f>_xlfn.LET(
     _xlpm.d, Employee_dataset[[#This Row],[Join_Date]],
     IF(
        ISNUMBER(_xlpm.d),_xlpm.d,""
       )
    )</f>
        <v>44543</v>
      </c>
      <c r="I882" s="6">
        <f>_xlfn.LET(
     _xlpm.s, TRIM(Employee_dataset[[#This Row],[Salary]]),
     IF(
        UPPER(_xlpm.s)="N/A","",
        IF(
           ISNUMBER(--_xlpm.s),ROUND(_xlfn.NUMBERVALUE(_xlpm.s),2),""
          )
       )
    )</f>
        <v>79315.009999999995</v>
      </c>
      <c r="J882" t="str">
        <f>TRIM(Employee_dataset[[#This Row],[Email]])</f>
        <v>heidi.jones@example.com</v>
      </c>
      <c r="K882" t="str">
        <f>_xlfn.LET(
     _xlpm.p,TRIM(SUBSTITUTE(Employee_dataset[[#This Row],[Phone]],"-","")),
     IF(
        LEN(_xlpm.p)=10,_xlfn.CONCAT("("&amp;LEFT(_xlpm.p,3)&amp;") "&amp;MID(_xlpm.p,4,3)&amp;"-"&amp;RIGHT(_xlpm.p,4),"")
       )
     )</f>
        <v>(999) 275-1757</v>
      </c>
      <c r="L882" t="str">
        <f>TRIM(Employee_dataset[[#This Row],[Performance_Score]])</f>
        <v>Poor</v>
      </c>
      <c r="M882" t="str">
        <f>TRIM(Employee_dataset[[#This Row],[Remote_Work]])</f>
        <v>TRUE</v>
      </c>
    </row>
    <row r="883" spans="1:13" x14ac:dyDescent="0.3">
      <c r="A883" t="str">
        <f>TRIM(Employee_dataset[[#This Row],[Employee_ID]])</f>
        <v>EMP1881</v>
      </c>
      <c r="B883" t="str">
        <f>PROPER(TRIM(Employee_dataset[[#This Row],[First_Name]]))</f>
        <v>David</v>
      </c>
      <c r="C883" t="str">
        <f>PROPER(TRIM(Employee_dataset[[#This Row],[Last_Name]]))</f>
        <v>Miller</v>
      </c>
      <c r="D883" s="6" t="str">
        <f>_xlfn.LET(
     _xlpm.a, TRIM(Employee_dataset[[#This Row],[Age]]),
     IF(
        _xlpm.a="","",
        IF(
           AND(ISNUMBER(--_xlpm.a),LEN(_xlpm.a)=2),_xlpm.a,""
          )
       )
    )</f>
        <v>25</v>
      </c>
      <c r="E883" t="str">
        <f>TRIM(_xlfn.TEXTBEFORE(Employee_dataset[[#This Row],[Department_Region]],"-"))</f>
        <v>Sales</v>
      </c>
      <c r="F883" t="str">
        <f>TRIM(_xlfn.TEXTAFTER(Employee_dataset[[#This Row],[Department_Region]],"-"))</f>
        <v>Texas</v>
      </c>
      <c r="G883" t="str">
        <f>TRIM(Employee_dataset[[#This Row],[Status]])</f>
        <v>Pending</v>
      </c>
      <c r="H883" s="1">
        <f>_xlfn.LET(
     _xlpm.d, Employee_dataset[[#This Row],[Join_Date]],
     IF(
        ISNUMBER(_xlpm.d),_xlpm.d,""
       )
    )</f>
        <v>44572</v>
      </c>
      <c r="I883" s="6">
        <f>_xlfn.LET(
     _xlpm.s, TRIM(Employee_dataset[[#This Row],[Salary]]),
     IF(
        UPPER(_xlpm.s)="N/A","",
        IF(
           ISNUMBER(--_xlpm.s),ROUND(_xlfn.NUMBERVALUE(_xlpm.s),2),""
          )
       )
    )</f>
        <v>110391.17</v>
      </c>
      <c r="J883" t="str">
        <f>TRIM(Employee_dataset[[#This Row],[Email]])</f>
        <v>david.miller@example.com</v>
      </c>
      <c r="K883" t="str">
        <f>_xlfn.LET(
     _xlpm.p,TRIM(SUBSTITUTE(Employee_dataset[[#This Row],[Phone]],"-","")),
     IF(
        LEN(_xlpm.p)=10,_xlfn.CONCAT("("&amp;LEFT(_xlpm.p,3)&amp;") "&amp;MID(_xlpm.p,4,3)&amp;"-"&amp;RIGHT(_xlpm.p,4),"")
       )
     )</f>
        <v>(891) 444-4982</v>
      </c>
      <c r="L883" t="str">
        <f>TRIM(Employee_dataset[[#This Row],[Performance_Score]])</f>
        <v>Excellent</v>
      </c>
      <c r="M883" t="str">
        <f>TRIM(Employee_dataset[[#This Row],[Remote_Work]])</f>
        <v>FALSE</v>
      </c>
    </row>
    <row r="884" spans="1:13" x14ac:dyDescent="0.3">
      <c r="A884" t="str">
        <f>TRIM(Employee_dataset[[#This Row],[Employee_ID]])</f>
        <v>EMP1882</v>
      </c>
      <c r="B884" t="str">
        <f>PROPER(TRIM(Employee_dataset[[#This Row],[First_Name]]))</f>
        <v>David</v>
      </c>
      <c r="C884" t="str">
        <f>PROPER(TRIM(Employee_dataset[[#This Row],[Last_Name]]))</f>
        <v>Williams</v>
      </c>
      <c r="D884" s="6" t="str">
        <f>_xlfn.LET(
     _xlpm.a, TRIM(Employee_dataset[[#This Row],[Age]]),
     IF(
        _xlpm.a="","",
        IF(
           AND(ISNUMBER(--_xlpm.a),LEN(_xlpm.a)=2),_xlpm.a,""
          )
       )
    )</f>
        <v>40</v>
      </c>
      <c r="E884" t="str">
        <f>TRIM(_xlfn.TEXTBEFORE(Employee_dataset[[#This Row],[Department_Region]],"-"))</f>
        <v>DevOps</v>
      </c>
      <c r="F884" t="str">
        <f>TRIM(_xlfn.TEXTAFTER(Employee_dataset[[#This Row],[Department_Region]],"-"))</f>
        <v>Nevada</v>
      </c>
      <c r="G884" t="str">
        <f>TRIM(Employee_dataset[[#This Row],[Status]])</f>
        <v>Active</v>
      </c>
      <c r="H884" s="1">
        <f>_xlfn.LET(
     _xlpm.d, Employee_dataset[[#This Row],[Join_Date]],
     IF(
        ISNUMBER(_xlpm.d),_xlpm.d,""
       )
    )</f>
        <v>44397</v>
      </c>
      <c r="I884" s="6">
        <f>_xlfn.LET(
     _xlpm.s, TRIM(Employee_dataset[[#This Row],[Salary]]),
     IF(
        UPPER(_xlpm.s)="N/A","",
        IF(
           ISNUMBER(--_xlpm.s),ROUND(_xlfn.NUMBERVALUE(_xlpm.s),2),""
          )
       )
    )</f>
        <v>53714.83</v>
      </c>
      <c r="J884" t="str">
        <f>TRIM(Employee_dataset[[#This Row],[Email]])</f>
        <v>david.williams@example.com</v>
      </c>
      <c r="K884" t="str">
        <f>_xlfn.LET(
     _xlpm.p,TRIM(SUBSTITUTE(Employee_dataset[[#This Row],[Phone]],"-","")),
     IF(
        LEN(_xlpm.p)=10,_xlfn.CONCAT("("&amp;LEFT(_xlpm.p,3)&amp;") "&amp;MID(_xlpm.p,4,3)&amp;"-"&amp;RIGHT(_xlpm.p,4),"")
       )
     )</f>
        <v>(553) 935-4357</v>
      </c>
      <c r="L884" t="str">
        <f>TRIM(Employee_dataset[[#This Row],[Performance_Score]])</f>
        <v>Excellent</v>
      </c>
      <c r="M884" t="str">
        <f>TRIM(Employee_dataset[[#This Row],[Remote_Work]])</f>
        <v>TRUE</v>
      </c>
    </row>
    <row r="885" spans="1:13" x14ac:dyDescent="0.3">
      <c r="A885" t="str">
        <f>TRIM(Employee_dataset[[#This Row],[Employee_ID]])</f>
        <v>EMP1883</v>
      </c>
      <c r="B885" t="str">
        <f>PROPER(TRIM(Employee_dataset[[#This Row],[First_Name]]))</f>
        <v>Charlie</v>
      </c>
      <c r="C885" t="str">
        <f>PROPER(TRIM(Employee_dataset[[#This Row],[Last_Name]]))</f>
        <v>Garcia</v>
      </c>
      <c r="D885" s="6" t="str">
        <f>_xlfn.LET(
     _xlpm.a, TRIM(Employee_dataset[[#This Row],[Age]]),
     IF(
        _xlpm.a="","",
        IF(
           AND(ISNUMBER(--_xlpm.a),LEN(_xlpm.a)=2),_xlpm.a,""
          )
       )
    )</f>
        <v>40</v>
      </c>
      <c r="E885" t="str">
        <f>TRIM(_xlfn.TEXTBEFORE(Employee_dataset[[#This Row],[Department_Region]],"-"))</f>
        <v>Finance</v>
      </c>
      <c r="F885" t="str">
        <f>TRIM(_xlfn.TEXTAFTER(Employee_dataset[[#This Row],[Department_Region]],"-"))</f>
        <v>New York</v>
      </c>
      <c r="G885" t="str">
        <f>TRIM(Employee_dataset[[#This Row],[Status]])</f>
        <v>Active</v>
      </c>
      <c r="H885" s="1">
        <f>_xlfn.LET(
     _xlpm.d, Employee_dataset[[#This Row],[Join_Date]],
     IF(
        ISNUMBER(_xlpm.d),_xlpm.d,""
       )
    )</f>
        <v>45203</v>
      </c>
      <c r="I885" s="6">
        <f>_xlfn.LET(
     _xlpm.s, TRIM(Employee_dataset[[#This Row],[Salary]]),
     IF(
        UPPER(_xlpm.s)="N/A","",
        IF(
           ISNUMBER(--_xlpm.s),ROUND(_xlfn.NUMBERVALUE(_xlpm.s),2),""
          )
       )
    )</f>
        <v>114587.11</v>
      </c>
      <c r="J885" t="str">
        <f>TRIM(Employee_dataset[[#This Row],[Email]])</f>
        <v>charlie.garcia@example.com</v>
      </c>
      <c r="K885" t="str">
        <f>_xlfn.LET(
     _xlpm.p,TRIM(SUBSTITUTE(Employee_dataset[[#This Row],[Phone]],"-","")),
     IF(
        LEN(_xlpm.p)=10,_xlfn.CONCAT("("&amp;LEFT(_xlpm.p,3)&amp;") "&amp;MID(_xlpm.p,4,3)&amp;"-"&amp;RIGHT(_xlpm.p,4),"")
       )
     )</f>
        <v>(644) 963-9242</v>
      </c>
      <c r="L885" t="str">
        <f>TRIM(Employee_dataset[[#This Row],[Performance_Score]])</f>
        <v>Excellent</v>
      </c>
      <c r="M885" t="str">
        <f>TRIM(Employee_dataset[[#This Row],[Remote_Work]])</f>
        <v>TRUE</v>
      </c>
    </row>
    <row r="886" spans="1:13" x14ac:dyDescent="0.3">
      <c r="A886" t="str">
        <f>TRIM(Employee_dataset[[#This Row],[Employee_ID]])</f>
        <v>EMP1884</v>
      </c>
      <c r="B886" t="str">
        <f>PROPER(TRIM(Employee_dataset[[#This Row],[First_Name]]))</f>
        <v>Frank</v>
      </c>
      <c r="C886" t="str">
        <f>PROPER(TRIM(Employee_dataset[[#This Row],[Last_Name]]))</f>
        <v>Garcia</v>
      </c>
      <c r="D886" s="6" t="str">
        <f>_xlfn.LET(
     _xlpm.a, TRIM(Employee_dataset[[#This Row],[Age]]),
     IF(
        _xlpm.a="","",
        IF(
           AND(ISNUMBER(--_xlpm.a),LEN(_xlpm.a)=2),_xlpm.a,""
          )
       )
    )</f>
        <v>35</v>
      </c>
      <c r="E886" t="str">
        <f>TRIM(_xlfn.TEXTBEFORE(Employee_dataset[[#This Row],[Department_Region]],"-"))</f>
        <v>Admin</v>
      </c>
      <c r="F886" t="str">
        <f>TRIM(_xlfn.TEXTAFTER(Employee_dataset[[#This Row],[Department_Region]],"-"))</f>
        <v>Florida</v>
      </c>
      <c r="G886" t="str">
        <f>TRIM(Employee_dataset[[#This Row],[Status]])</f>
        <v>Inactive</v>
      </c>
      <c r="H886" s="1">
        <f>_xlfn.LET(
     _xlpm.d, Employee_dataset[[#This Row],[Join_Date]],
     IF(
        ISNUMBER(_xlpm.d),_xlpm.d,""
       )
    )</f>
        <v>44515</v>
      </c>
      <c r="I886" s="6">
        <f>_xlfn.LET(
     _xlpm.s, TRIM(Employee_dataset[[#This Row],[Salary]]),
     IF(
        UPPER(_xlpm.s)="N/A","",
        IF(
           ISNUMBER(--_xlpm.s),ROUND(_xlfn.NUMBERVALUE(_xlpm.s),2),""
          )
       )
    )</f>
        <v>93177.35</v>
      </c>
      <c r="J886" t="str">
        <f>TRIM(Employee_dataset[[#This Row],[Email]])</f>
        <v>frank.garcia@example.com</v>
      </c>
      <c r="K886" t="str">
        <f>_xlfn.LET(
     _xlpm.p,TRIM(SUBSTITUTE(Employee_dataset[[#This Row],[Phone]],"-","")),
     IF(
        LEN(_xlpm.p)=10,_xlfn.CONCAT("("&amp;LEFT(_xlpm.p,3)&amp;") "&amp;MID(_xlpm.p,4,3)&amp;"-"&amp;RIGHT(_xlpm.p,4),"")
       )
     )</f>
        <v>(588) 537-9820</v>
      </c>
      <c r="L886" t="str">
        <f>TRIM(Employee_dataset[[#This Row],[Performance_Score]])</f>
        <v>Average</v>
      </c>
      <c r="M886" t="str">
        <f>TRIM(Employee_dataset[[#This Row],[Remote_Work]])</f>
        <v>FALSE</v>
      </c>
    </row>
    <row r="887" spans="1:13" x14ac:dyDescent="0.3">
      <c r="A887" t="str">
        <f>TRIM(Employee_dataset[[#This Row],[Employee_ID]])</f>
        <v>EMP1885</v>
      </c>
      <c r="B887" t="str">
        <f>PROPER(TRIM(Employee_dataset[[#This Row],[First_Name]]))</f>
        <v>Heidi</v>
      </c>
      <c r="C887" t="str">
        <f>PROPER(TRIM(Employee_dataset[[#This Row],[Last_Name]]))</f>
        <v>Jones</v>
      </c>
      <c r="D887" s="6" t="str">
        <f>_xlfn.LET(
     _xlpm.a, TRIM(Employee_dataset[[#This Row],[Age]]),
     IF(
        _xlpm.a="","",
        IF(
           AND(ISNUMBER(--_xlpm.a),LEN(_xlpm.a)=2),_xlpm.a,""
          )
       )
    )</f>
        <v>25</v>
      </c>
      <c r="E887" t="str">
        <f>TRIM(_xlfn.TEXTBEFORE(Employee_dataset[[#This Row],[Department_Region]],"-"))</f>
        <v>Cloud Tech</v>
      </c>
      <c r="F887" t="str">
        <f>TRIM(_xlfn.TEXTAFTER(Employee_dataset[[#This Row],[Department_Region]],"-"))</f>
        <v>Nevada</v>
      </c>
      <c r="G887" t="str">
        <f>TRIM(Employee_dataset[[#This Row],[Status]])</f>
        <v>Active</v>
      </c>
      <c r="H887" s="1">
        <f>_xlfn.LET(
     _xlpm.d, Employee_dataset[[#This Row],[Join_Date]],
     IF(
        ISNUMBER(_xlpm.d),_xlpm.d,""
       )
    )</f>
        <v>44931</v>
      </c>
      <c r="I887" s="6">
        <f>_xlfn.LET(
     _xlpm.s, TRIM(Employee_dataset[[#This Row],[Salary]]),
     IF(
        UPPER(_xlpm.s)="N/A","",
        IF(
           ISNUMBER(--_xlpm.s),ROUND(_xlfn.NUMBERVALUE(_xlpm.s),2),""
          )
       )
    )</f>
        <v>62312.13</v>
      </c>
      <c r="J887" t="str">
        <f>TRIM(Employee_dataset[[#This Row],[Email]])</f>
        <v>heidi.jones@example.com</v>
      </c>
      <c r="K887" t="str">
        <f>_xlfn.LET(
     _xlpm.p,TRIM(SUBSTITUTE(Employee_dataset[[#This Row],[Phone]],"-","")),
     IF(
        LEN(_xlpm.p)=10,_xlfn.CONCAT("("&amp;LEFT(_xlpm.p,3)&amp;") "&amp;MID(_xlpm.p,4,3)&amp;"-"&amp;RIGHT(_xlpm.p,4),"")
       )
     )</f>
        <v>(433) 952-7535</v>
      </c>
      <c r="L887" t="str">
        <f>TRIM(Employee_dataset[[#This Row],[Performance_Score]])</f>
        <v>Good</v>
      </c>
      <c r="M887" t="str">
        <f>TRIM(Employee_dataset[[#This Row],[Remote_Work]])</f>
        <v>FALSE</v>
      </c>
    </row>
    <row r="888" spans="1:13" x14ac:dyDescent="0.3">
      <c r="A888" t="str">
        <f>TRIM(Employee_dataset[[#This Row],[Employee_ID]])</f>
        <v>EMP1886</v>
      </c>
      <c r="B888" t="str">
        <f>PROPER(TRIM(Employee_dataset[[#This Row],[First_Name]]))</f>
        <v>Heidi</v>
      </c>
      <c r="C888" t="str">
        <f>PROPER(TRIM(Employee_dataset[[#This Row],[Last_Name]]))</f>
        <v>Smith</v>
      </c>
      <c r="D888" s="6" t="str">
        <f>_xlfn.LET(
     _xlpm.a, TRIM(Employee_dataset[[#This Row],[Age]]),
     IF(
        _xlpm.a="","",
        IF(
           AND(ISNUMBER(--_xlpm.a),LEN(_xlpm.a)=2),_xlpm.a,""
          )
       )
    )</f>
        <v/>
      </c>
      <c r="E888" t="str">
        <f>TRIM(_xlfn.TEXTBEFORE(Employee_dataset[[#This Row],[Department_Region]],"-"))</f>
        <v>Cloud Tech</v>
      </c>
      <c r="F888" t="str">
        <f>TRIM(_xlfn.TEXTAFTER(Employee_dataset[[#This Row],[Department_Region]],"-"))</f>
        <v>Texas</v>
      </c>
      <c r="G888" t="str">
        <f>TRIM(Employee_dataset[[#This Row],[Status]])</f>
        <v>Active</v>
      </c>
      <c r="H888" s="1">
        <f>_xlfn.LET(
     _xlpm.d, Employee_dataset[[#This Row],[Join_Date]],
     IF(
        ISNUMBER(_xlpm.d),_xlpm.d,""
       )
    )</f>
        <v>45308</v>
      </c>
      <c r="I888" s="6">
        <f>_xlfn.LET(
     _xlpm.s, TRIM(Employee_dataset[[#This Row],[Salary]]),
     IF(
        UPPER(_xlpm.s)="N/A","",
        IF(
           ISNUMBER(--_xlpm.s),ROUND(_xlfn.NUMBERVALUE(_xlpm.s),2),""
          )
       )
    )</f>
        <v>81137.460000000006</v>
      </c>
      <c r="J888" t="str">
        <f>TRIM(Employee_dataset[[#This Row],[Email]])</f>
        <v>heidi.smith@example.com</v>
      </c>
      <c r="K888" t="str">
        <f>_xlfn.LET(
     _xlpm.p,TRIM(SUBSTITUTE(Employee_dataset[[#This Row],[Phone]],"-","")),
     IF(
        LEN(_xlpm.p)=10,_xlfn.CONCAT("("&amp;LEFT(_xlpm.p,3)&amp;") "&amp;MID(_xlpm.p,4,3)&amp;"-"&amp;RIGHT(_xlpm.p,4),"")
       )
     )</f>
        <v>(749) 785-2490</v>
      </c>
      <c r="L888" t="str">
        <f>TRIM(Employee_dataset[[#This Row],[Performance_Score]])</f>
        <v>Excellent</v>
      </c>
      <c r="M888" t="str">
        <f>TRIM(Employee_dataset[[#This Row],[Remote_Work]])</f>
        <v>FALSE</v>
      </c>
    </row>
    <row r="889" spans="1:13" x14ac:dyDescent="0.3">
      <c r="A889" t="str">
        <f>TRIM(Employee_dataset[[#This Row],[Employee_ID]])</f>
        <v>EMP1887</v>
      </c>
      <c r="B889" t="str">
        <f>PROPER(TRIM(Employee_dataset[[#This Row],[First_Name]]))</f>
        <v>Grace</v>
      </c>
      <c r="C889" t="str">
        <f>PROPER(TRIM(Employee_dataset[[#This Row],[Last_Name]]))</f>
        <v>Miller</v>
      </c>
      <c r="D889" s="6" t="str">
        <f>_xlfn.LET(
     _xlpm.a, TRIM(Employee_dataset[[#This Row],[Age]]),
     IF(
        _xlpm.a="","",
        IF(
           AND(ISNUMBER(--_xlpm.a),LEN(_xlpm.a)=2),_xlpm.a,""
          )
       )
    )</f>
        <v>30</v>
      </c>
      <c r="E889" t="str">
        <f>TRIM(_xlfn.TEXTBEFORE(Employee_dataset[[#This Row],[Department_Region]],"-"))</f>
        <v>DevOps</v>
      </c>
      <c r="F889" t="str">
        <f>TRIM(_xlfn.TEXTAFTER(Employee_dataset[[#This Row],[Department_Region]],"-"))</f>
        <v>Nevada</v>
      </c>
      <c r="G889" t="str">
        <f>TRIM(Employee_dataset[[#This Row],[Status]])</f>
        <v>Inactive</v>
      </c>
      <c r="H889" s="1">
        <f>_xlfn.LET(
     _xlpm.d, Employee_dataset[[#This Row],[Join_Date]],
     IF(
        ISNUMBER(_xlpm.d),_xlpm.d,""
       )
    )</f>
        <v>44302</v>
      </c>
      <c r="I889" s="6">
        <f>_xlfn.LET(
     _xlpm.s, TRIM(Employee_dataset[[#This Row],[Salary]]),
     IF(
        UPPER(_xlpm.s)="N/A","",
        IF(
           ISNUMBER(--_xlpm.s),ROUND(_xlfn.NUMBERVALUE(_xlpm.s),2),""
          )
       )
    )</f>
        <v>104528.27</v>
      </c>
      <c r="J889" t="str">
        <f>TRIM(Employee_dataset[[#This Row],[Email]])</f>
        <v>grace.miller@example.com</v>
      </c>
      <c r="K889" t="str">
        <f>_xlfn.LET(
     _xlpm.p,TRIM(SUBSTITUTE(Employee_dataset[[#This Row],[Phone]],"-","")),
     IF(
        LEN(_xlpm.p)=10,_xlfn.CONCAT("("&amp;LEFT(_xlpm.p,3)&amp;") "&amp;MID(_xlpm.p,4,3)&amp;"-"&amp;RIGHT(_xlpm.p,4),"")
       )
     )</f>
        <v>(416) 860-1346</v>
      </c>
      <c r="L889" t="str">
        <f>TRIM(Employee_dataset[[#This Row],[Performance_Score]])</f>
        <v>Excellent</v>
      </c>
      <c r="M889" t="str">
        <f>TRIM(Employee_dataset[[#This Row],[Remote_Work]])</f>
        <v>FALSE</v>
      </c>
    </row>
    <row r="890" spans="1:13" x14ac:dyDescent="0.3">
      <c r="A890" t="str">
        <f>TRIM(Employee_dataset[[#This Row],[Employee_ID]])</f>
        <v>EMP1888</v>
      </c>
      <c r="B890" t="str">
        <f>PROPER(TRIM(Employee_dataset[[#This Row],[First_Name]]))</f>
        <v>Bob</v>
      </c>
      <c r="C890" t="str">
        <f>PROPER(TRIM(Employee_dataset[[#This Row],[Last_Name]]))</f>
        <v>Brown</v>
      </c>
      <c r="D890" s="6" t="str">
        <f>_xlfn.LET(
     _xlpm.a, TRIM(Employee_dataset[[#This Row],[Age]]),
     IF(
        _xlpm.a="","",
        IF(
           AND(ISNUMBER(--_xlpm.a),LEN(_xlpm.a)=2),_xlpm.a,""
          )
       )
    )</f>
        <v>30</v>
      </c>
      <c r="E890" t="str">
        <f>TRIM(_xlfn.TEXTBEFORE(Employee_dataset[[#This Row],[Department_Region]],"-"))</f>
        <v>DevOps</v>
      </c>
      <c r="F890" t="str">
        <f>TRIM(_xlfn.TEXTAFTER(Employee_dataset[[#This Row],[Department_Region]],"-"))</f>
        <v>Florida</v>
      </c>
      <c r="G890" t="str">
        <f>TRIM(Employee_dataset[[#This Row],[Status]])</f>
        <v>Active</v>
      </c>
      <c r="H890" s="1">
        <f>_xlfn.LET(
     _xlpm.d, Employee_dataset[[#This Row],[Join_Date]],
     IF(
        ISNUMBER(_xlpm.d),_xlpm.d,""
       )
    )</f>
        <v>44600</v>
      </c>
      <c r="I890" s="6">
        <f>_xlfn.LET(
     _xlpm.s, TRIM(Employee_dataset[[#This Row],[Salary]]),
     IF(
        UPPER(_xlpm.s)="N/A","",
        IF(
           ISNUMBER(--_xlpm.s),ROUND(_xlfn.NUMBERVALUE(_xlpm.s),2),""
          )
       )
    )</f>
        <v>112395.56</v>
      </c>
      <c r="J890" t="str">
        <f>TRIM(Employee_dataset[[#This Row],[Email]])</f>
        <v>bob.brown@example.com</v>
      </c>
      <c r="K890" t="str">
        <f>_xlfn.LET(
     _xlpm.p,TRIM(SUBSTITUTE(Employee_dataset[[#This Row],[Phone]],"-","")),
     IF(
        LEN(_xlpm.p)=10,_xlfn.CONCAT("("&amp;LEFT(_xlpm.p,3)&amp;") "&amp;MID(_xlpm.p,4,3)&amp;"-"&amp;RIGHT(_xlpm.p,4),"")
       )
     )</f>
        <v>(789) 489-6339</v>
      </c>
      <c r="L890" t="str">
        <f>TRIM(Employee_dataset[[#This Row],[Performance_Score]])</f>
        <v>Good</v>
      </c>
      <c r="M890" t="str">
        <f>TRIM(Employee_dataset[[#This Row],[Remote_Work]])</f>
        <v>FALSE</v>
      </c>
    </row>
    <row r="891" spans="1:13" x14ac:dyDescent="0.3">
      <c r="A891" t="str">
        <f>TRIM(Employee_dataset[[#This Row],[Employee_ID]])</f>
        <v>EMP1889</v>
      </c>
      <c r="B891" t="str">
        <f>PROPER(TRIM(Employee_dataset[[#This Row],[First_Name]]))</f>
        <v>Heidi</v>
      </c>
      <c r="C891" t="str">
        <f>PROPER(TRIM(Employee_dataset[[#This Row],[Last_Name]]))</f>
        <v>Smith</v>
      </c>
      <c r="D891" s="6" t="str">
        <f>_xlfn.LET(
     _xlpm.a, TRIM(Employee_dataset[[#This Row],[Age]]),
     IF(
        _xlpm.a="","",
        IF(
           AND(ISNUMBER(--_xlpm.a),LEN(_xlpm.a)=2),_xlpm.a,""
          )
       )
    )</f>
        <v>25</v>
      </c>
      <c r="E891" t="str">
        <f>TRIM(_xlfn.TEXTBEFORE(Employee_dataset[[#This Row],[Department_Region]],"-"))</f>
        <v>Finance</v>
      </c>
      <c r="F891" t="str">
        <f>TRIM(_xlfn.TEXTAFTER(Employee_dataset[[#This Row],[Department_Region]],"-"))</f>
        <v>New York</v>
      </c>
      <c r="G891" t="str">
        <f>TRIM(Employee_dataset[[#This Row],[Status]])</f>
        <v>Active</v>
      </c>
      <c r="H891" s="1">
        <f>_xlfn.LET(
     _xlpm.d, Employee_dataset[[#This Row],[Join_Date]],
     IF(
        ISNUMBER(_xlpm.d),_xlpm.d,""
       )
    )</f>
        <v>45079</v>
      </c>
      <c r="I891" s="6">
        <f>_xlfn.LET(
     _xlpm.s, TRIM(Employee_dataset[[#This Row],[Salary]]),
     IF(
        UPPER(_xlpm.s)="N/A","",
        IF(
           ISNUMBER(--_xlpm.s),ROUND(_xlfn.NUMBERVALUE(_xlpm.s),2),""
          )
       )
    )</f>
        <v>81849.36</v>
      </c>
      <c r="J891" t="str">
        <f>TRIM(Employee_dataset[[#This Row],[Email]])</f>
        <v>heidi.smith@example.com</v>
      </c>
      <c r="K891" t="str">
        <f>_xlfn.LET(
     _xlpm.p,TRIM(SUBSTITUTE(Employee_dataset[[#This Row],[Phone]],"-","")),
     IF(
        LEN(_xlpm.p)=10,_xlfn.CONCAT("("&amp;LEFT(_xlpm.p,3)&amp;") "&amp;MID(_xlpm.p,4,3)&amp;"-"&amp;RIGHT(_xlpm.p,4),"")
       )
     )</f>
        <v>(679) 176-6511</v>
      </c>
      <c r="L891" t="str">
        <f>TRIM(Employee_dataset[[#This Row],[Performance_Score]])</f>
        <v>Excellent</v>
      </c>
      <c r="M891" t="str">
        <f>TRIM(Employee_dataset[[#This Row],[Remote_Work]])</f>
        <v>FALSE</v>
      </c>
    </row>
    <row r="892" spans="1:13" x14ac:dyDescent="0.3">
      <c r="A892" t="str">
        <f>TRIM(Employee_dataset[[#This Row],[Employee_ID]])</f>
        <v>EMP1890</v>
      </c>
      <c r="B892" t="str">
        <f>PROPER(TRIM(Employee_dataset[[#This Row],[First_Name]]))</f>
        <v>Charlie</v>
      </c>
      <c r="C892" t="str">
        <f>PROPER(TRIM(Employee_dataset[[#This Row],[Last_Name]]))</f>
        <v>Davis</v>
      </c>
      <c r="D892" s="6" t="str">
        <f>_xlfn.LET(
     _xlpm.a, TRIM(Employee_dataset[[#This Row],[Age]]),
     IF(
        _xlpm.a="","",
        IF(
           AND(ISNUMBER(--_xlpm.a),LEN(_xlpm.a)=2),_xlpm.a,""
          )
       )
    )</f>
        <v>40</v>
      </c>
      <c r="E892" t="str">
        <f>TRIM(_xlfn.TEXTBEFORE(Employee_dataset[[#This Row],[Department_Region]],"-"))</f>
        <v>DevOps</v>
      </c>
      <c r="F892" t="str">
        <f>TRIM(_xlfn.TEXTAFTER(Employee_dataset[[#This Row],[Department_Region]],"-"))</f>
        <v>New York</v>
      </c>
      <c r="G892" t="str">
        <f>TRIM(Employee_dataset[[#This Row],[Status]])</f>
        <v>Pending</v>
      </c>
      <c r="H892" s="1">
        <f>_xlfn.LET(
     _xlpm.d, Employee_dataset[[#This Row],[Join_Date]],
     IF(
        ISNUMBER(_xlpm.d),_xlpm.d,""
       )
    )</f>
        <v>44565</v>
      </c>
      <c r="I892" s="6">
        <f>_xlfn.LET(
     _xlpm.s, TRIM(Employee_dataset[[#This Row],[Salary]]),
     IF(
        UPPER(_xlpm.s)="N/A","",
        IF(
           ISNUMBER(--_xlpm.s),ROUND(_xlfn.NUMBERVALUE(_xlpm.s),2),""
          )
       )
    )</f>
        <v>118288.91</v>
      </c>
      <c r="J892" t="str">
        <f>TRIM(Employee_dataset[[#This Row],[Email]])</f>
        <v>charlie.davis@example.com</v>
      </c>
      <c r="K892" t="str">
        <f>_xlfn.LET(
     _xlpm.p,TRIM(SUBSTITUTE(Employee_dataset[[#This Row],[Phone]],"-","")),
     IF(
        LEN(_xlpm.p)=10,_xlfn.CONCAT("("&amp;LEFT(_xlpm.p,3)&amp;") "&amp;MID(_xlpm.p,4,3)&amp;"-"&amp;RIGHT(_xlpm.p,4),"")
       )
     )</f>
        <v>(215) 001-4187</v>
      </c>
      <c r="L892" t="str">
        <f>TRIM(Employee_dataset[[#This Row],[Performance_Score]])</f>
        <v>Poor</v>
      </c>
      <c r="M892" t="str">
        <f>TRIM(Employee_dataset[[#This Row],[Remote_Work]])</f>
        <v>FALSE</v>
      </c>
    </row>
    <row r="893" spans="1:13" x14ac:dyDescent="0.3">
      <c r="A893" t="str">
        <f>TRIM(Employee_dataset[[#This Row],[Employee_ID]])</f>
        <v>EMP1891</v>
      </c>
      <c r="B893" t="str">
        <f>PROPER(TRIM(Employee_dataset[[#This Row],[First_Name]]))</f>
        <v>Charlie</v>
      </c>
      <c r="C893" t="str">
        <f>PROPER(TRIM(Employee_dataset[[#This Row],[Last_Name]]))</f>
        <v>Davis</v>
      </c>
      <c r="D893" s="6" t="str">
        <f>_xlfn.LET(
     _xlpm.a, TRIM(Employee_dataset[[#This Row],[Age]]),
     IF(
        _xlpm.a="","",
        IF(
           AND(ISNUMBER(--_xlpm.a),LEN(_xlpm.a)=2),_xlpm.a,""
          )
       )
    )</f>
        <v>25</v>
      </c>
      <c r="E893" t="str">
        <f>TRIM(_xlfn.TEXTBEFORE(Employee_dataset[[#This Row],[Department_Region]],"-"))</f>
        <v>DevOps</v>
      </c>
      <c r="F893" t="str">
        <f>TRIM(_xlfn.TEXTAFTER(Employee_dataset[[#This Row],[Department_Region]],"-"))</f>
        <v>Illinois</v>
      </c>
      <c r="G893" t="str">
        <f>TRIM(Employee_dataset[[#This Row],[Status]])</f>
        <v>Active</v>
      </c>
      <c r="H893" s="1">
        <f>_xlfn.LET(
     _xlpm.d, Employee_dataset[[#This Row],[Join_Date]],
     IF(
        ISNUMBER(_xlpm.d),_xlpm.d,""
       )
    )</f>
        <v>44405</v>
      </c>
      <c r="I893" s="6">
        <f>_xlfn.LET(
     _xlpm.s, TRIM(Employee_dataset[[#This Row],[Salary]]),
     IF(
        UPPER(_xlpm.s)="N/A","",
        IF(
           ISNUMBER(--_xlpm.s),ROUND(_xlfn.NUMBERVALUE(_xlpm.s),2),""
          )
       )
    )</f>
        <v>59555.1</v>
      </c>
      <c r="J893" t="str">
        <f>TRIM(Employee_dataset[[#This Row],[Email]])</f>
        <v>charlie.davis@example.com</v>
      </c>
      <c r="K893" t="str">
        <f>_xlfn.LET(
     _xlpm.p,TRIM(SUBSTITUTE(Employee_dataset[[#This Row],[Phone]],"-","")),
     IF(
        LEN(_xlpm.p)=10,_xlfn.CONCAT("("&amp;LEFT(_xlpm.p,3)&amp;") "&amp;MID(_xlpm.p,4,3)&amp;"-"&amp;RIGHT(_xlpm.p,4),"")
       )
     )</f>
        <v>(421) 630-9000</v>
      </c>
      <c r="L893" t="str">
        <f>TRIM(Employee_dataset[[#This Row],[Performance_Score]])</f>
        <v>Good</v>
      </c>
      <c r="M893" t="str">
        <f>TRIM(Employee_dataset[[#This Row],[Remote_Work]])</f>
        <v>TRUE</v>
      </c>
    </row>
    <row r="894" spans="1:13" x14ac:dyDescent="0.3">
      <c r="A894" t="str">
        <f>TRIM(Employee_dataset[[#This Row],[Employee_ID]])</f>
        <v>EMP1892</v>
      </c>
      <c r="B894" t="str">
        <f>PROPER(TRIM(Employee_dataset[[#This Row],[First_Name]]))</f>
        <v>Heidi</v>
      </c>
      <c r="C894" t="str">
        <f>PROPER(TRIM(Employee_dataset[[#This Row],[Last_Name]]))</f>
        <v>Smith</v>
      </c>
      <c r="D894" s="6" t="str">
        <f>_xlfn.LET(
     _xlpm.a, TRIM(Employee_dataset[[#This Row],[Age]]),
     IF(
        _xlpm.a="","",
        IF(
           AND(ISNUMBER(--_xlpm.a),LEN(_xlpm.a)=2),_xlpm.a,""
          )
       )
    )</f>
        <v>40</v>
      </c>
      <c r="E894" t="str">
        <f>TRIM(_xlfn.TEXTBEFORE(Employee_dataset[[#This Row],[Department_Region]],"-"))</f>
        <v>Admin</v>
      </c>
      <c r="F894" t="str">
        <f>TRIM(_xlfn.TEXTAFTER(Employee_dataset[[#This Row],[Department_Region]],"-"))</f>
        <v>California</v>
      </c>
      <c r="G894" t="str">
        <f>TRIM(Employee_dataset[[#This Row],[Status]])</f>
        <v>Active</v>
      </c>
      <c r="H894" s="1">
        <f>_xlfn.LET(
     _xlpm.d, Employee_dataset[[#This Row],[Join_Date]],
     IF(
        ISNUMBER(_xlpm.d),_xlpm.d,""
       )
    )</f>
        <v>45646</v>
      </c>
      <c r="I894" s="6">
        <f>_xlfn.LET(
     _xlpm.s, TRIM(Employee_dataset[[#This Row],[Salary]]),
     IF(
        UPPER(_xlpm.s)="N/A","",
        IF(
           ISNUMBER(--_xlpm.s),ROUND(_xlfn.NUMBERVALUE(_xlpm.s),2),""
          )
       )
    )</f>
        <v>70661.31</v>
      </c>
      <c r="J894" t="str">
        <f>TRIM(Employee_dataset[[#This Row],[Email]])</f>
        <v>heidi.smith@example.com</v>
      </c>
      <c r="K894" t="str">
        <f>_xlfn.LET(
     _xlpm.p,TRIM(SUBSTITUTE(Employee_dataset[[#This Row],[Phone]],"-","")),
     IF(
        LEN(_xlpm.p)=10,_xlfn.CONCAT("("&amp;LEFT(_xlpm.p,3)&amp;") "&amp;MID(_xlpm.p,4,3)&amp;"-"&amp;RIGHT(_xlpm.p,4),"")
       )
     )</f>
        <v>(594) 463-3398</v>
      </c>
      <c r="L894" t="str">
        <f>TRIM(Employee_dataset[[#This Row],[Performance_Score]])</f>
        <v>Good</v>
      </c>
      <c r="M894" t="str">
        <f>TRIM(Employee_dataset[[#This Row],[Remote_Work]])</f>
        <v>TRUE</v>
      </c>
    </row>
    <row r="895" spans="1:13" x14ac:dyDescent="0.3">
      <c r="A895" t="str">
        <f>TRIM(Employee_dataset[[#This Row],[Employee_ID]])</f>
        <v>EMP1893</v>
      </c>
      <c r="B895" t="str">
        <f>PROPER(TRIM(Employee_dataset[[#This Row],[First_Name]]))</f>
        <v>Charlie</v>
      </c>
      <c r="C895" t="str">
        <f>PROPER(TRIM(Employee_dataset[[#This Row],[Last_Name]]))</f>
        <v>Jones</v>
      </c>
      <c r="D895" s="6" t="str">
        <f>_xlfn.LET(
     _xlpm.a, TRIM(Employee_dataset[[#This Row],[Age]]),
     IF(
        _xlpm.a="","",
        IF(
           AND(ISNUMBER(--_xlpm.a),LEN(_xlpm.a)=2),_xlpm.a,""
          )
       )
    )</f>
        <v/>
      </c>
      <c r="E895" t="str">
        <f>TRIM(_xlfn.TEXTBEFORE(Employee_dataset[[#This Row],[Department_Region]],"-"))</f>
        <v>Sales</v>
      </c>
      <c r="F895" t="str">
        <f>TRIM(_xlfn.TEXTAFTER(Employee_dataset[[#This Row],[Department_Region]],"-"))</f>
        <v>New York</v>
      </c>
      <c r="G895" t="str">
        <f>TRIM(Employee_dataset[[#This Row],[Status]])</f>
        <v>Active</v>
      </c>
      <c r="H895" s="1">
        <f>_xlfn.LET(
     _xlpm.d, Employee_dataset[[#This Row],[Join_Date]],
     IF(
        ISNUMBER(_xlpm.d),_xlpm.d,""
       )
    )</f>
        <v>44674</v>
      </c>
      <c r="I895" s="6">
        <f>_xlfn.LET(
     _xlpm.s, TRIM(Employee_dataset[[#This Row],[Salary]]),
     IF(
        UPPER(_xlpm.s)="N/A","",
        IF(
           ISNUMBER(--_xlpm.s),ROUND(_xlfn.NUMBERVALUE(_xlpm.s),2),""
          )
       )
    )</f>
        <v>109988.16</v>
      </c>
      <c r="J895" t="str">
        <f>TRIM(Employee_dataset[[#This Row],[Email]])</f>
        <v>charlie.jones@example.com</v>
      </c>
      <c r="K895" t="str">
        <f>_xlfn.LET(
     _xlpm.p,TRIM(SUBSTITUTE(Employee_dataset[[#This Row],[Phone]],"-","")),
     IF(
        LEN(_xlpm.p)=10,_xlfn.CONCAT("("&amp;LEFT(_xlpm.p,3)&amp;") "&amp;MID(_xlpm.p,4,3)&amp;"-"&amp;RIGHT(_xlpm.p,4),"")
       )
     )</f>
        <v>(948) 532-0894</v>
      </c>
      <c r="L895" t="str">
        <f>TRIM(Employee_dataset[[#This Row],[Performance_Score]])</f>
        <v>Good</v>
      </c>
      <c r="M895" t="str">
        <f>TRIM(Employee_dataset[[#This Row],[Remote_Work]])</f>
        <v>TRUE</v>
      </c>
    </row>
    <row r="896" spans="1:13" x14ac:dyDescent="0.3">
      <c r="A896" t="str">
        <f>TRIM(Employee_dataset[[#This Row],[Employee_ID]])</f>
        <v>EMP1894</v>
      </c>
      <c r="B896" t="str">
        <f>PROPER(TRIM(Employee_dataset[[#This Row],[First_Name]]))</f>
        <v>David</v>
      </c>
      <c r="C896" t="str">
        <f>PROPER(TRIM(Employee_dataset[[#This Row],[Last_Name]]))</f>
        <v>Brown</v>
      </c>
      <c r="D896" s="6" t="str">
        <f>_xlfn.LET(
     _xlpm.a, TRIM(Employee_dataset[[#This Row],[Age]]),
     IF(
        _xlpm.a="","",
        IF(
           AND(ISNUMBER(--_xlpm.a),LEN(_xlpm.a)=2),_xlpm.a,""
          )
       )
    )</f>
        <v/>
      </c>
      <c r="E896" t="str">
        <f>TRIM(_xlfn.TEXTBEFORE(Employee_dataset[[#This Row],[Department_Region]],"-"))</f>
        <v>Finance</v>
      </c>
      <c r="F896" t="str">
        <f>TRIM(_xlfn.TEXTAFTER(Employee_dataset[[#This Row],[Department_Region]],"-"))</f>
        <v>Florida</v>
      </c>
      <c r="G896" t="str">
        <f>TRIM(Employee_dataset[[#This Row],[Status]])</f>
        <v>Inactive</v>
      </c>
      <c r="H896" s="1">
        <f>_xlfn.LET(
     _xlpm.d, Employee_dataset[[#This Row],[Join_Date]],
     IF(
        ISNUMBER(_xlpm.d),_xlpm.d,""
       )
    )</f>
        <v>43860</v>
      </c>
      <c r="I896" s="6">
        <f>_xlfn.LET(
     _xlpm.s, TRIM(Employee_dataset[[#This Row],[Salary]]),
     IF(
        UPPER(_xlpm.s)="N/A","",
        IF(
           ISNUMBER(--_xlpm.s),ROUND(_xlfn.NUMBERVALUE(_xlpm.s),2),""
          )
       )
    )</f>
        <v>101101.24</v>
      </c>
      <c r="J896" t="str">
        <f>TRIM(Employee_dataset[[#This Row],[Email]])</f>
        <v>david.brown@example.com</v>
      </c>
      <c r="K896" t="str">
        <f>_xlfn.LET(
     _xlpm.p,TRIM(SUBSTITUTE(Employee_dataset[[#This Row],[Phone]],"-","")),
     IF(
        LEN(_xlpm.p)=10,_xlfn.CONCAT("("&amp;LEFT(_xlpm.p,3)&amp;") "&amp;MID(_xlpm.p,4,3)&amp;"-"&amp;RIGHT(_xlpm.p,4),"")
       )
     )</f>
        <v>(326) 389-0218</v>
      </c>
      <c r="L896" t="str">
        <f>TRIM(Employee_dataset[[#This Row],[Performance_Score]])</f>
        <v>Poor</v>
      </c>
      <c r="M896" t="str">
        <f>TRIM(Employee_dataset[[#This Row],[Remote_Work]])</f>
        <v>TRUE</v>
      </c>
    </row>
    <row r="897" spans="1:13" x14ac:dyDescent="0.3">
      <c r="A897" t="str">
        <f>TRIM(Employee_dataset[[#This Row],[Employee_ID]])</f>
        <v>EMP1895</v>
      </c>
      <c r="B897" t="str">
        <f>PROPER(TRIM(Employee_dataset[[#This Row],[First_Name]]))</f>
        <v>David</v>
      </c>
      <c r="C897" t="str">
        <f>PROPER(TRIM(Employee_dataset[[#This Row],[Last_Name]]))</f>
        <v>Brown</v>
      </c>
      <c r="D897" s="6" t="str">
        <f>_xlfn.LET(
     _xlpm.a, TRIM(Employee_dataset[[#This Row],[Age]]),
     IF(
        _xlpm.a="","",
        IF(
           AND(ISNUMBER(--_xlpm.a),LEN(_xlpm.a)=2),_xlpm.a,""
          )
       )
    )</f>
        <v>30</v>
      </c>
      <c r="E897" t="str">
        <f>TRIM(_xlfn.TEXTBEFORE(Employee_dataset[[#This Row],[Department_Region]],"-"))</f>
        <v>HR</v>
      </c>
      <c r="F897" t="str">
        <f>TRIM(_xlfn.TEXTAFTER(Employee_dataset[[#This Row],[Department_Region]],"-"))</f>
        <v>Florida</v>
      </c>
      <c r="G897" t="str">
        <f>TRIM(Employee_dataset[[#This Row],[Status]])</f>
        <v>Pending</v>
      </c>
      <c r="H897" s="1">
        <f>_xlfn.LET(
     _xlpm.d, Employee_dataset[[#This Row],[Join_Date]],
     IF(
        ISNUMBER(_xlpm.d),_xlpm.d,""
       )
    )</f>
        <v>44286</v>
      </c>
      <c r="I897" s="6">
        <f>_xlfn.LET(
     _xlpm.s, TRIM(Employee_dataset[[#This Row],[Salary]]),
     IF(
        UPPER(_xlpm.s)="N/A","",
        IF(
           ISNUMBER(--_xlpm.s),ROUND(_xlfn.NUMBERVALUE(_xlpm.s),2),""
          )
       )
    )</f>
        <v>112427.58</v>
      </c>
      <c r="J897" t="str">
        <f>TRIM(Employee_dataset[[#This Row],[Email]])</f>
        <v>david.brown@example.com</v>
      </c>
      <c r="K897" t="str">
        <f>_xlfn.LET(
     _xlpm.p,TRIM(SUBSTITUTE(Employee_dataset[[#This Row],[Phone]],"-","")),
     IF(
        LEN(_xlpm.p)=10,_xlfn.CONCAT("("&amp;LEFT(_xlpm.p,3)&amp;") "&amp;MID(_xlpm.p,4,3)&amp;"-"&amp;RIGHT(_xlpm.p,4),"")
       )
     )</f>
        <v>(947) 113-6336</v>
      </c>
      <c r="L897" t="str">
        <f>TRIM(Employee_dataset[[#This Row],[Performance_Score]])</f>
        <v>Good</v>
      </c>
      <c r="M897" t="str">
        <f>TRIM(Employee_dataset[[#This Row],[Remote_Work]])</f>
        <v>TRUE</v>
      </c>
    </row>
    <row r="898" spans="1:13" x14ac:dyDescent="0.3">
      <c r="A898" t="str">
        <f>TRIM(Employee_dataset[[#This Row],[Employee_ID]])</f>
        <v>EMP1896</v>
      </c>
      <c r="B898" t="str">
        <f>PROPER(TRIM(Employee_dataset[[#This Row],[First_Name]]))</f>
        <v>Charlie</v>
      </c>
      <c r="C898" t="str">
        <f>PROPER(TRIM(Employee_dataset[[#This Row],[Last_Name]]))</f>
        <v>Miller</v>
      </c>
      <c r="D898" s="6" t="str">
        <f>_xlfn.LET(
     _xlpm.a, TRIM(Employee_dataset[[#This Row],[Age]]),
     IF(
        _xlpm.a="","",
        IF(
           AND(ISNUMBER(--_xlpm.a),LEN(_xlpm.a)=2),_xlpm.a,""
          )
       )
    )</f>
        <v/>
      </c>
      <c r="E898" t="str">
        <f>TRIM(_xlfn.TEXTBEFORE(Employee_dataset[[#This Row],[Department_Region]],"-"))</f>
        <v>Cloud Tech</v>
      </c>
      <c r="F898" t="str">
        <f>TRIM(_xlfn.TEXTAFTER(Employee_dataset[[#This Row],[Department_Region]],"-"))</f>
        <v>Florida</v>
      </c>
      <c r="G898" t="str">
        <f>TRIM(Employee_dataset[[#This Row],[Status]])</f>
        <v>Active</v>
      </c>
      <c r="H898" s="1">
        <f>_xlfn.LET(
     _xlpm.d, Employee_dataset[[#This Row],[Join_Date]],
     IF(
        ISNUMBER(_xlpm.d),_xlpm.d,""
       )
    )</f>
        <v>43913</v>
      </c>
      <c r="I898" s="6">
        <f>_xlfn.LET(
     _xlpm.s, TRIM(Employee_dataset[[#This Row],[Salary]]),
     IF(
        UPPER(_xlpm.s)="N/A","",
        IF(
           ISNUMBER(--_xlpm.s),ROUND(_xlfn.NUMBERVALUE(_xlpm.s),2),""
          )
       )
    )</f>
        <v>119389.15</v>
      </c>
      <c r="J898" t="str">
        <f>TRIM(Employee_dataset[[#This Row],[Email]])</f>
        <v>charlie.miller@example.com</v>
      </c>
      <c r="K898" t="str">
        <f>_xlfn.LET(
     _xlpm.p,TRIM(SUBSTITUTE(Employee_dataset[[#This Row],[Phone]],"-","")),
     IF(
        LEN(_xlpm.p)=10,_xlfn.CONCAT("("&amp;LEFT(_xlpm.p,3)&amp;") "&amp;MID(_xlpm.p,4,3)&amp;"-"&amp;RIGHT(_xlpm.p,4),"")
       )
     )</f>
        <v>(922) 341-0345</v>
      </c>
      <c r="L898" t="str">
        <f>TRIM(Employee_dataset[[#This Row],[Performance_Score]])</f>
        <v>Poor</v>
      </c>
      <c r="M898" t="str">
        <f>TRIM(Employee_dataset[[#This Row],[Remote_Work]])</f>
        <v>FALSE</v>
      </c>
    </row>
    <row r="899" spans="1:13" x14ac:dyDescent="0.3">
      <c r="A899" t="str">
        <f>TRIM(Employee_dataset[[#This Row],[Employee_ID]])</f>
        <v>EMP1897</v>
      </c>
      <c r="B899" t="str">
        <f>PROPER(TRIM(Employee_dataset[[#This Row],[First_Name]]))</f>
        <v>Alice</v>
      </c>
      <c r="C899" t="str">
        <f>PROPER(TRIM(Employee_dataset[[#This Row],[Last_Name]]))</f>
        <v>Brown</v>
      </c>
      <c r="D899" s="6" t="str">
        <f>_xlfn.LET(
     _xlpm.a, TRIM(Employee_dataset[[#This Row],[Age]]),
     IF(
        _xlpm.a="","",
        IF(
           AND(ISNUMBER(--_xlpm.a),LEN(_xlpm.a)=2),_xlpm.a,""
          )
       )
    )</f>
        <v>40</v>
      </c>
      <c r="E899" t="str">
        <f>TRIM(_xlfn.TEXTBEFORE(Employee_dataset[[#This Row],[Department_Region]],"-"))</f>
        <v>Sales</v>
      </c>
      <c r="F899" t="str">
        <f>TRIM(_xlfn.TEXTAFTER(Employee_dataset[[#This Row],[Department_Region]],"-"))</f>
        <v>Florida</v>
      </c>
      <c r="G899" t="str">
        <f>TRIM(Employee_dataset[[#This Row],[Status]])</f>
        <v>Inactive</v>
      </c>
      <c r="H899" s="1">
        <f>_xlfn.LET(
     _xlpm.d, Employee_dataset[[#This Row],[Join_Date]],
     IF(
        ISNUMBER(_xlpm.d),_xlpm.d,""
       )
    )</f>
        <v>45489</v>
      </c>
      <c r="I899" s="6">
        <f>_xlfn.LET(
     _xlpm.s, TRIM(Employee_dataset[[#This Row],[Salary]]),
     IF(
        UPPER(_xlpm.s)="N/A","",
        IF(
           ISNUMBER(--_xlpm.s),ROUND(_xlfn.NUMBERVALUE(_xlpm.s),2),""
          )
       )
    )</f>
        <v>105861.23</v>
      </c>
      <c r="J899" t="str">
        <f>TRIM(Employee_dataset[[#This Row],[Email]])</f>
        <v>alice.brown@example.com</v>
      </c>
      <c r="K899" t="str">
        <f>_xlfn.LET(
     _xlpm.p,TRIM(SUBSTITUTE(Employee_dataset[[#This Row],[Phone]],"-","")),
     IF(
        LEN(_xlpm.p)=10,_xlfn.CONCAT("("&amp;LEFT(_xlpm.p,3)&amp;") "&amp;MID(_xlpm.p,4,3)&amp;"-"&amp;RIGHT(_xlpm.p,4),"")
       )
     )</f>
        <v>(996) 733-1166</v>
      </c>
      <c r="L899" t="str">
        <f>TRIM(Employee_dataset[[#This Row],[Performance_Score]])</f>
        <v>Good</v>
      </c>
      <c r="M899" t="str">
        <f>TRIM(Employee_dataset[[#This Row],[Remote_Work]])</f>
        <v>TRUE</v>
      </c>
    </row>
    <row r="900" spans="1:13" x14ac:dyDescent="0.3">
      <c r="A900" t="str">
        <f>TRIM(Employee_dataset[[#This Row],[Employee_ID]])</f>
        <v>EMP1898</v>
      </c>
      <c r="B900" t="str">
        <f>PROPER(TRIM(Employee_dataset[[#This Row],[First_Name]]))</f>
        <v>Heidi</v>
      </c>
      <c r="C900" t="str">
        <f>PROPER(TRIM(Employee_dataset[[#This Row],[Last_Name]]))</f>
        <v>Davis</v>
      </c>
      <c r="D900" s="6" t="str">
        <f>_xlfn.LET(
     _xlpm.a, TRIM(Employee_dataset[[#This Row],[Age]]),
     IF(
        _xlpm.a="","",
        IF(
           AND(ISNUMBER(--_xlpm.a),LEN(_xlpm.a)=2),_xlpm.a,""
          )
       )
    )</f>
        <v>40</v>
      </c>
      <c r="E900" t="str">
        <f>TRIM(_xlfn.TEXTBEFORE(Employee_dataset[[#This Row],[Department_Region]],"-"))</f>
        <v>Admin</v>
      </c>
      <c r="F900" t="str">
        <f>TRIM(_xlfn.TEXTAFTER(Employee_dataset[[#This Row],[Department_Region]],"-"))</f>
        <v>Texas</v>
      </c>
      <c r="G900" t="str">
        <f>TRIM(Employee_dataset[[#This Row],[Status]])</f>
        <v>Pending</v>
      </c>
      <c r="H900" s="1">
        <f>_xlfn.LET(
     _xlpm.d, Employee_dataset[[#This Row],[Join_Date]],
     IF(
        ISNUMBER(_xlpm.d),_xlpm.d,""
       )
    )</f>
        <v>45373</v>
      </c>
      <c r="I900" s="6">
        <f>_xlfn.LET(
     _xlpm.s, TRIM(Employee_dataset[[#This Row],[Salary]]),
     IF(
        UPPER(_xlpm.s)="N/A","",
        IF(
           ISNUMBER(--_xlpm.s),ROUND(_xlfn.NUMBERVALUE(_xlpm.s),2),""
          )
       )
    )</f>
        <v>50869.61</v>
      </c>
      <c r="J900" t="str">
        <f>TRIM(Employee_dataset[[#This Row],[Email]])</f>
        <v>heidi.davis@example.com</v>
      </c>
      <c r="K900" t="str">
        <f>_xlfn.LET(
     _xlpm.p,TRIM(SUBSTITUTE(Employee_dataset[[#This Row],[Phone]],"-","")),
     IF(
        LEN(_xlpm.p)=10,_xlfn.CONCAT("("&amp;LEFT(_xlpm.p,3)&amp;") "&amp;MID(_xlpm.p,4,3)&amp;"-"&amp;RIGHT(_xlpm.p,4),"")
       )
     )</f>
        <v>(726) 960-8436</v>
      </c>
      <c r="L900" t="str">
        <f>TRIM(Employee_dataset[[#This Row],[Performance_Score]])</f>
        <v>Average</v>
      </c>
      <c r="M900" t="str">
        <f>TRIM(Employee_dataset[[#This Row],[Remote_Work]])</f>
        <v>TRUE</v>
      </c>
    </row>
    <row r="901" spans="1:13" x14ac:dyDescent="0.3">
      <c r="A901" t="str">
        <f>TRIM(Employee_dataset[[#This Row],[Employee_ID]])</f>
        <v>EMP1899</v>
      </c>
      <c r="B901" t="str">
        <f>PROPER(TRIM(Employee_dataset[[#This Row],[First_Name]]))</f>
        <v>David</v>
      </c>
      <c r="C901" t="str">
        <f>PROPER(TRIM(Employee_dataset[[#This Row],[Last_Name]]))</f>
        <v>Williams</v>
      </c>
      <c r="D901" s="6" t="str">
        <f>_xlfn.LET(
     _xlpm.a, TRIM(Employee_dataset[[#This Row],[Age]]),
     IF(
        _xlpm.a="","",
        IF(
           AND(ISNUMBER(--_xlpm.a),LEN(_xlpm.a)=2),_xlpm.a,""
          )
       )
    )</f>
        <v>30</v>
      </c>
      <c r="E901" t="str">
        <f>TRIM(_xlfn.TEXTBEFORE(Employee_dataset[[#This Row],[Department_Region]],"-"))</f>
        <v>HR</v>
      </c>
      <c r="F901" t="str">
        <f>TRIM(_xlfn.TEXTAFTER(Employee_dataset[[#This Row],[Department_Region]],"-"))</f>
        <v>California</v>
      </c>
      <c r="G901" t="str">
        <f>TRIM(Employee_dataset[[#This Row],[Status]])</f>
        <v>Active</v>
      </c>
      <c r="H901" s="1">
        <f>_xlfn.LET(
     _xlpm.d, Employee_dataset[[#This Row],[Join_Date]],
     IF(
        ISNUMBER(_xlpm.d),_xlpm.d,""
       )
    )</f>
        <v>45157</v>
      </c>
      <c r="I901" s="6" t="str">
        <f>_xlfn.LET(
     _xlpm.s, TRIM(Employee_dataset[[#This Row],[Salary]]),
     IF(
        UPPER(_xlpm.s)="N/A","",
        IF(
           ISNUMBER(--_xlpm.s),ROUND(_xlfn.NUMBERVALUE(_xlpm.s),2),""
          )
       )
    )</f>
        <v/>
      </c>
      <c r="J901" t="str">
        <f>TRIM(Employee_dataset[[#This Row],[Email]])</f>
        <v>david.williams@example.com</v>
      </c>
      <c r="K901" t="str">
        <f>_xlfn.LET(
     _xlpm.p,TRIM(SUBSTITUTE(Employee_dataset[[#This Row],[Phone]],"-","")),
     IF(
        LEN(_xlpm.p)=10,_xlfn.CONCAT("("&amp;LEFT(_xlpm.p,3)&amp;") "&amp;MID(_xlpm.p,4,3)&amp;"-"&amp;RIGHT(_xlpm.p,4),"")
       )
     )</f>
        <v>(685) 507-8966</v>
      </c>
      <c r="L901" t="str">
        <f>TRIM(Employee_dataset[[#This Row],[Performance_Score]])</f>
        <v>Excellent</v>
      </c>
      <c r="M901" t="str">
        <f>TRIM(Employee_dataset[[#This Row],[Remote_Work]])</f>
        <v>TRUE</v>
      </c>
    </row>
    <row r="902" spans="1:13" x14ac:dyDescent="0.3">
      <c r="A902" t="str">
        <f>TRIM(Employee_dataset[[#This Row],[Employee_ID]])</f>
        <v>EMP1900</v>
      </c>
      <c r="B902" t="str">
        <f>PROPER(TRIM(Employee_dataset[[#This Row],[First_Name]]))</f>
        <v>Eva</v>
      </c>
      <c r="C902" t="str">
        <f>PROPER(TRIM(Employee_dataset[[#This Row],[Last_Name]]))</f>
        <v>Jones</v>
      </c>
      <c r="D902" s="6" t="str">
        <f>_xlfn.LET(
     _xlpm.a, TRIM(Employee_dataset[[#This Row],[Age]]),
     IF(
        _xlpm.a="","",
        IF(
           AND(ISNUMBER(--_xlpm.a),LEN(_xlpm.a)=2),_xlpm.a,""
          )
       )
    )</f>
        <v>30</v>
      </c>
      <c r="E902" t="str">
        <f>TRIM(_xlfn.TEXTBEFORE(Employee_dataset[[#This Row],[Department_Region]],"-"))</f>
        <v>DevOps</v>
      </c>
      <c r="F902" t="str">
        <f>TRIM(_xlfn.TEXTAFTER(Employee_dataset[[#This Row],[Department_Region]],"-"))</f>
        <v>Florida</v>
      </c>
      <c r="G902" t="str">
        <f>TRIM(Employee_dataset[[#This Row],[Status]])</f>
        <v>Pending</v>
      </c>
      <c r="H902" s="1">
        <f>_xlfn.LET(
     _xlpm.d, Employee_dataset[[#This Row],[Join_Date]],
     IF(
        ISNUMBER(_xlpm.d),_xlpm.d,""
       )
    )</f>
        <v>45361</v>
      </c>
      <c r="I902" s="6">
        <f>_xlfn.LET(
     _xlpm.s, TRIM(Employee_dataset[[#This Row],[Salary]]),
     IF(
        UPPER(_xlpm.s)="N/A","",
        IF(
           ISNUMBER(--_xlpm.s),ROUND(_xlfn.NUMBERVALUE(_xlpm.s),2),""
          )
       )
    )</f>
        <v>90856.21</v>
      </c>
      <c r="J902" t="str">
        <f>TRIM(Employee_dataset[[#This Row],[Email]])</f>
        <v>eva.jones@example.com</v>
      </c>
      <c r="K902" t="str">
        <f>_xlfn.LET(
     _xlpm.p,TRIM(SUBSTITUTE(Employee_dataset[[#This Row],[Phone]],"-","")),
     IF(
        LEN(_xlpm.p)=10,_xlfn.CONCAT("("&amp;LEFT(_xlpm.p,3)&amp;") "&amp;MID(_xlpm.p,4,3)&amp;"-"&amp;RIGHT(_xlpm.p,4),"")
       )
     )</f>
        <v>(935) 219-6262</v>
      </c>
      <c r="L902" t="str">
        <f>TRIM(Employee_dataset[[#This Row],[Performance_Score]])</f>
        <v>Average</v>
      </c>
      <c r="M902" t="str">
        <f>TRIM(Employee_dataset[[#This Row],[Remote_Work]])</f>
        <v>TRUE</v>
      </c>
    </row>
    <row r="903" spans="1:13" x14ac:dyDescent="0.3">
      <c r="A903" t="str">
        <f>TRIM(Employee_dataset[[#This Row],[Employee_ID]])</f>
        <v>EMP1901</v>
      </c>
      <c r="B903" t="str">
        <f>PROPER(TRIM(Employee_dataset[[#This Row],[First_Name]]))</f>
        <v>Heidi</v>
      </c>
      <c r="C903" t="str">
        <f>PROPER(TRIM(Employee_dataset[[#This Row],[Last_Name]]))</f>
        <v>Brown</v>
      </c>
      <c r="D903" s="6" t="str">
        <f>_xlfn.LET(
     _xlpm.a, TRIM(Employee_dataset[[#This Row],[Age]]),
     IF(
        _xlpm.a="","",
        IF(
           AND(ISNUMBER(--_xlpm.a),LEN(_xlpm.a)=2),_xlpm.a,""
          )
       )
    )</f>
        <v>30</v>
      </c>
      <c r="E903" t="str">
        <f>TRIM(_xlfn.TEXTBEFORE(Employee_dataset[[#This Row],[Department_Region]],"-"))</f>
        <v>DevOps</v>
      </c>
      <c r="F903" t="str">
        <f>TRIM(_xlfn.TEXTAFTER(Employee_dataset[[#This Row],[Department_Region]],"-"))</f>
        <v>Florida</v>
      </c>
      <c r="G903" t="str">
        <f>TRIM(Employee_dataset[[#This Row],[Status]])</f>
        <v>Active</v>
      </c>
      <c r="H903" s="1">
        <f>_xlfn.LET(
     _xlpm.d, Employee_dataset[[#This Row],[Join_Date]],
     IF(
        ISNUMBER(_xlpm.d),_xlpm.d,""
       )
    )</f>
        <v>45448</v>
      </c>
      <c r="I903" s="6">
        <f>_xlfn.LET(
     _xlpm.s, TRIM(Employee_dataset[[#This Row],[Salary]]),
     IF(
        UPPER(_xlpm.s)="N/A","",
        IF(
           ISNUMBER(--_xlpm.s),ROUND(_xlfn.NUMBERVALUE(_xlpm.s),2),""
          )
       )
    )</f>
        <v>111008.63</v>
      </c>
      <c r="J903" t="str">
        <f>TRIM(Employee_dataset[[#This Row],[Email]])</f>
        <v>heidi.brown@example.com</v>
      </c>
      <c r="K903" t="str">
        <f>_xlfn.LET(
     _xlpm.p,TRIM(SUBSTITUTE(Employee_dataset[[#This Row],[Phone]],"-","")),
     IF(
        LEN(_xlpm.p)=10,_xlfn.CONCAT("("&amp;LEFT(_xlpm.p,3)&amp;") "&amp;MID(_xlpm.p,4,3)&amp;"-"&amp;RIGHT(_xlpm.p,4),"")
       )
     )</f>
        <v>(355) 643-4368</v>
      </c>
      <c r="L903" t="str">
        <f>TRIM(Employee_dataset[[#This Row],[Performance_Score]])</f>
        <v>Excellent</v>
      </c>
      <c r="M903" t="str">
        <f>TRIM(Employee_dataset[[#This Row],[Remote_Work]])</f>
        <v>TRUE</v>
      </c>
    </row>
    <row r="904" spans="1:13" x14ac:dyDescent="0.3">
      <c r="A904" t="str">
        <f>TRIM(Employee_dataset[[#This Row],[Employee_ID]])</f>
        <v>EMP1902</v>
      </c>
      <c r="B904" t="str">
        <f>PROPER(TRIM(Employee_dataset[[#This Row],[First_Name]]))</f>
        <v>Alice</v>
      </c>
      <c r="C904" t="str">
        <f>PROPER(TRIM(Employee_dataset[[#This Row],[Last_Name]]))</f>
        <v>Miller</v>
      </c>
      <c r="D904" s="6" t="str">
        <f>_xlfn.LET(
     _xlpm.a, TRIM(Employee_dataset[[#This Row],[Age]]),
     IF(
        _xlpm.a="","",
        IF(
           AND(ISNUMBER(--_xlpm.a),LEN(_xlpm.a)=2),_xlpm.a,""
          )
       )
    )</f>
        <v>25</v>
      </c>
      <c r="E904" t="str">
        <f>TRIM(_xlfn.TEXTBEFORE(Employee_dataset[[#This Row],[Department_Region]],"-"))</f>
        <v>Finance</v>
      </c>
      <c r="F904" t="str">
        <f>TRIM(_xlfn.TEXTAFTER(Employee_dataset[[#This Row],[Department_Region]],"-"))</f>
        <v>Nevada</v>
      </c>
      <c r="G904" t="str">
        <f>TRIM(Employee_dataset[[#This Row],[Status]])</f>
        <v>Inactive</v>
      </c>
      <c r="H904" s="1">
        <f>_xlfn.LET(
     _xlpm.d, Employee_dataset[[#This Row],[Join_Date]],
     IF(
        ISNUMBER(_xlpm.d),_xlpm.d,""
       )
    )</f>
        <v>44918</v>
      </c>
      <c r="I904" s="6">
        <f>_xlfn.LET(
     _xlpm.s, TRIM(Employee_dataset[[#This Row],[Salary]]),
     IF(
        UPPER(_xlpm.s)="N/A","",
        IF(
           ISNUMBER(--_xlpm.s),ROUND(_xlfn.NUMBERVALUE(_xlpm.s),2),""
          )
       )
    )</f>
        <v>52289.99</v>
      </c>
      <c r="J904" t="str">
        <f>TRIM(Employee_dataset[[#This Row],[Email]])</f>
        <v>alice.miller@example.com</v>
      </c>
      <c r="K904" t="str">
        <f>_xlfn.LET(
     _xlpm.p,TRIM(SUBSTITUTE(Employee_dataset[[#This Row],[Phone]],"-","")),
     IF(
        LEN(_xlpm.p)=10,_xlfn.CONCAT("("&amp;LEFT(_xlpm.p,3)&amp;") "&amp;MID(_xlpm.p,4,3)&amp;"-"&amp;RIGHT(_xlpm.p,4),"")
       )
     )</f>
        <v>(709) 317-0694</v>
      </c>
      <c r="L904" t="str">
        <f>TRIM(Employee_dataset[[#This Row],[Performance_Score]])</f>
        <v>Poor</v>
      </c>
      <c r="M904" t="str">
        <f>TRIM(Employee_dataset[[#This Row],[Remote_Work]])</f>
        <v>TRUE</v>
      </c>
    </row>
    <row r="905" spans="1:13" x14ac:dyDescent="0.3">
      <c r="A905" t="str">
        <f>TRIM(Employee_dataset[[#This Row],[Employee_ID]])</f>
        <v>EMP1903</v>
      </c>
      <c r="B905" t="str">
        <f>PROPER(TRIM(Employee_dataset[[#This Row],[First_Name]]))</f>
        <v>Eva</v>
      </c>
      <c r="C905" t="str">
        <f>PROPER(TRIM(Employee_dataset[[#This Row],[Last_Name]]))</f>
        <v>Davis</v>
      </c>
      <c r="D905" s="6" t="str">
        <f>_xlfn.LET(
     _xlpm.a, TRIM(Employee_dataset[[#This Row],[Age]]),
     IF(
        _xlpm.a="","",
        IF(
           AND(ISNUMBER(--_xlpm.a),LEN(_xlpm.a)=2),_xlpm.a,""
          )
       )
    )</f>
        <v/>
      </c>
      <c r="E905" t="str">
        <f>TRIM(_xlfn.TEXTBEFORE(Employee_dataset[[#This Row],[Department_Region]],"-"))</f>
        <v>Sales</v>
      </c>
      <c r="F905" t="str">
        <f>TRIM(_xlfn.TEXTAFTER(Employee_dataset[[#This Row],[Department_Region]],"-"))</f>
        <v>Illinois</v>
      </c>
      <c r="G905" t="str">
        <f>TRIM(Employee_dataset[[#This Row],[Status]])</f>
        <v>Active</v>
      </c>
      <c r="H905" s="1">
        <f>_xlfn.LET(
     _xlpm.d, Employee_dataset[[#This Row],[Join_Date]],
     IF(
        ISNUMBER(_xlpm.d),_xlpm.d,""
       )
    )</f>
        <v>45444</v>
      </c>
      <c r="I905" s="6">
        <f>_xlfn.LET(
     _xlpm.s, TRIM(Employee_dataset[[#This Row],[Salary]]),
     IF(
        UPPER(_xlpm.s)="N/A","",
        IF(
           ISNUMBER(--_xlpm.s),ROUND(_xlfn.NUMBERVALUE(_xlpm.s),2),""
          )
       )
    )</f>
        <v>97926.56</v>
      </c>
      <c r="J905" t="str">
        <f>TRIM(Employee_dataset[[#This Row],[Email]])</f>
        <v>eva.davis@example.com</v>
      </c>
      <c r="K905" t="str">
        <f>_xlfn.LET(
     _xlpm.p,TRIM(SUBSTITUTE(Employee_dataset[[#This Row],[Phone]],"-","")),
     IF(
        LEN(_xlpm.p)=10,_xlfn.CONCAT("("&amp;LEFT(_xlpm.p,3)&amp;") "&amp;MID(_xlpm.p,4,3)&amp;"-"&amp;RIGHT(_xlpm.p,4),"")
       )
     )</f>
        <v>(560) 767-6163</v>
      </c>
      <c r="L905" t="str">
        <f>TRIM(Employee_dataset[[#This Row],[Performance_Score]])</f>
        <v>Average</v>
      </c>
      <c r="M905" t="str">
        <f>TRIM(Employee_dataset[[#This Row],[Remote_Work]])</f>
        <v>TRUE</v>
      </c>
    </row>
    <row r="906" spans="1:13" x14ac:dyDescent="0.3">
      <c r="A906" t="str">
        <f>TRIM(Employee_dataset[[#This Row],[Employee_ID]])</f>
        <v>EMP1904</v>
      </c>
      <c r="B906" t="str">
        <f>PROPER(TRIM(Employee_dataset[[#This Row],[First_Name]]))</f>
        <v>Frank</v>
      </c>
      <c r="C906" t="str">
        <f>PROPER(TRIM(Employee_dataset[[#This Row],[Last_Name]]))</f>
        <v>Williams</v>
      </c>
      <c r="D906" s="6" t="str">
        <f>_xlfn.LET(
     _xlpm.a, TRIM(Employee_dataset[[#This Row],[Age]]),
     IF(
        _xlpm.a="","",
        IF(
           AND(ISNUMBER(--_xlpm.a),LEN(_xlpm.a)=2),_xlpm.a,""
          )
       )
    )</f>
        <v>25</v>
      </c>
      <c r="E906" t="str">
        <f>TRIM(_xlfn.TEXTBEFORE(Employee_dataset[[#This Row],[Department_Region]],"-"))</f>
        <v>Sales</v>
      </c>
      <c r="F906" t="str">
        <f>TRIM(_xlfn.TEXTAFTER(Employee_dataset[[#This Row],[Department_Region]],"-"))</f>
        <v>Nevada</v>
      </c>
      <c r="G906" t="str">
        <f>TRIM(Employee_dataset[[#This Row],[Status]])</f>
        <v>Inactive</v>
      </c>
      <c r="H906" s="1">
        <f>_xlfn.LET(
     _xlpm.d, Employee_dataset[[#This Row],[Join_Date]],
     IF(
        ISNUMBER(_xlpm.d),_xlpm.d,""
       )
    )</f>
        <v>45649</v>
      </c>
      <c r="I906" s="6">
        <f>_xlfn.LET(
     _xlpm.s, TRIM(Employee_dataset[[#This Row],[Salary]]),
     IF(
        UPPER(_xlpm.s)="N/A","",
        IF(
           ISNUMBER(--_xlpm.s),ROUND(_xlfn.NUMBERVALUE(_xlpm.s),2),""
          )
       )
    )</f>
        <v>53609.38</v>
      </c>
      <c r="J906" t="str">
        <f>TRIM(Employee_dataset[[#This Row],[Email]])</f>
        <v>frank.williams@example.com</v>
      </c>
      <c r="K906" t="str">
        <f>_xlfn.LET(
     _xlpm.p,TRIM(SUBSTITUTE(Employee_dataset[[#This Row],[Phone]],"-","")),
     IF(
        LEN(_xlpm.p)=10,_xlfn.CONCAT("("&amp;LEFT(_xlpm.p,3)&amp;") "&amp;MID(_xlpm.p,4,3)&amp;"-"&amp;RIGHT(_xlpm.p,4),"")
       )
     )</f>
        <v>(534) 547-2238</v>
      </c>
      <c r="L906" t="str">
        <f>TRIM(Employee_dataset[[#This Row],[Performance_Score]])</f>
        <v>Good</v>
      </c>
      <c r="M906" t="str">
        <f>TRIM(Employee_dataset[[#This Row],[Remote_Work]])</f>
        <v>FALSE</v>
      </c>
    </row>
    <row r="907" spans="1:13" x14ac:dyDescent="0.3">
      <c r="A907" t="str">
        <f>TRIM(Employee_dataset[[#This Row],[Employee_ID]])</f>
        <v>EMP1905</v>
      </c>
      <c r="B907" t="str">
        <f>PROPER(TRIM(Employee_dataset[[#This Row],[First_Name]]))</f>
        <v>Heidi</v>
      </c>
      <c r="C907" t="str">
        <f>PROPER(TRIM(Employee_dataset[[#This Row],[Last_Name]]))</f>
        <v>Johnson</v>
      </c>
      <c r="D907" s="6" t="str">
        <f>_xlfn.LET(
     _xlpm.a, TRIM(Employee_dataset[[#This Row],[Age]]),
     IF(
        _xlpm.a="","",
        IF(
           AND(ISNUMBER(--_xlpm.a),LEN(_xlpm.a)=2),_xlpm.a,""
          )
       )
    )</f>
        <v/>
      </c>
      <c r="E907" t="str">
        <f>TRIM(_xlfn.TEXTBEFORE(Employee_dataset[[#This Row],[Department_Region]],"-"))</f>
        <v>Cloud Tech</v>
      </c>
      <c r="F907" t="str">
        <f>TRIM(_xlfn.TEXTAFTER(Employee_dataset[[#This Row],[Department_Region]],"-"))</f>
        <v>California</v>
      </c>
      <c r="G907" t="str">
        <f>TRIM(Employee_dataset[[#This Row],[Status]])</f>
        <v>Inactive</v>
      </c>
      <c r="H907" s="1">
        <f>_xlfn.LET(
     _xlpm.d, Employee_dataset[[#This Row],[Join_Date]],
     IF(
        ISNUMBER(_xlpm.d),_xlpm.d,""
       )
    )</f>
        <v>44189</v>
      </c>
      <c r="I907" s="6">
        <f>_xlfn.LET(
     _xlpm.s, TRIM(Employee_dataset[[#This Row],[Salary]]),
     IF(
        UPPER(_xlpm.s)="N/A","",
        IF(
           ISNUMBER(--_xlpm.s),ROUND(_xlfn.NUMBERVALUE(_xlpm.s),2),""
          )
       )
    )</f>
        <v>95372.09</v>
      </c>
      <c r="J907" t="str">
        <f>TRIM(Employee_dataset[[#This Row],[Email]])</f>
        <v>heidi.johnson@example.com</v>
      </c>
      <c r="K907" t="str">
        <f>_xlfn.LET(
     _xlpm.p,TRIM(SUBSTITUTE(Employee_dataset[[#This Row],[Phone]],"-","")),
     IF(
        LEN(_xlpm.p)=10,_xlfn.CONCAT("("&amp;LEFT(_xlpm.p,3)&amp;") "&amp;MID(_xlpm.p,4,3)&amp;"-"&amp;RIGHT(_xlpm.p,4),"")
       )
     )</f>
        <v>(898) 306-5030</v>
      </c>
      <c r="L907" t="str">
        <f>TRIM(Employee_dataset[[#This Row],[Performance_Score]])</f>
        <v>Excellent</v>
      </c>
      <c r="M907" t="str">
        <f>TRIM(Employee_dataset[[#This Row],[Remote_Work]])</f>
        <v>FALSE</v>
      </c>
    </row>
    <row r="908" spans="1:13" x14ac:dyDescent="0.3">
      <c r="A908" t="str">
        <f>TRIM(Employee_dataset[[#This Row],[Employee_ID]])</f>
        <v>EMP1906</v>
      </c>
      <c r="B908" t="str">
        <f>PROPER(TRIM(Employee_dataset[[#This Row],[First_Name]]))</f>
        <v>David</v>
      </c>
      <c r="C908" t="str">
        <f>PROPER(TRIM(Employee_dataset[[#This Row],[Last_Name]]))</f>
        <v>Johnson</v>
      </c>
      <c r="D908" s="6" t="str">
        <f>_xlfn.LET(
     _xlpm.a, TRIM(Employee_dataset[[#This Row],[Age]]),
     IF(
        _xlpm.a="","",
        IF(
           AND(ISNUMBER(--_xlpm.a),LEN(_xlpm.a)=2),_xlpm.a,""
          )
       )
    )</f>
        <v>30</v>
      </c>
      <c r="E908" t="str">
        <f>TRIM(_xlfn.TEXTBEFORE(Employee_dataset[[#This Row],[Department_Region]],"-"))</f>
        <v>HR</v>
      </c>
      <c r="F908" t="str">
        <f>TRIM(_xlfn.TEXTAFTER(Employee_dataset[[#This Row],[Department_Region]],"-"))</f>
        <v>New York</v>
      </c>
      <c r="G908" t="str">
        <f>TRIM(Employee_dataset[[#This Row],[Status]])</f>
        <v>Pending</v>
      </c>
      <c r="H908" s="1">
        <f>_xlfn.LET(
     _xlpm.d, Employee_dataset[[#This Row],[Join_Date]],
     IF(
        ISNUMBER(_xlpm.d),_xlpm.d,""
       )
    )</f>
        <v>44063</v>
      </c>
      <c r="I908" s="6">
        <f>_xlfn.LET(
     _xlpm.s, TRIM(Employee_dataset[[#This Row],[Salary]]),
     IF(
        UPPER(_xlpm.s)="N/A","",
        IF(
           ISNUMBER(--_xlpm.s),ROUND(_xlfn.NUMBERVALUE(_xlpm.s),2),""
          )
       )
    )</f>
        <v>95432.69</v>
      </c>
      <c r="J908" t="str">
        <f>TRIM(Employee_dataset[[#This Row],[Email]])</f>
        <v>david.johnson@example.com</v>
      </c>
      <c r="K908" t="str">
        <f>_xlfn.LET(
     _xlpm.p,TRIM(SUBSTITUTE(Employee_dataset[[#This Row],[Phone]],"-","")),
     IF(
        LEN(_xlpm.p)=10,_xlfn.CONCAT("("&amp;LEFT(_xlpm.p,3)&amp;") "&amp;MID(_xlpm.p,4,3)&amp;"-"&amp;RIGHT(_xlpm.p,4),"")
       )
     )</f>
        <v>(219) 804-1846</v>
      </c>
      <c r="L908" t="str">
        <f>TRIM(Employee_dataset[[#This Row],[Performance_Score]])</f>
        <v>Excellent</v>
      </c>
      <c r="M908" t="str">
        <f>TRIM(Employee_dataset[[#This Row],[Remote_Work]])</f>
        <v>TRUE</v>
      </c>
    </row>
    <row r="909" spans="1:13" x14ac:dyDescent="0.3">
      <c r="A909" t="str">
        <f>TRIM(Employee_dataset[[#This Row],[Employee_ID]])</f>
        <v>EMP1907</v>
      </c>
      <c r="B909" t="str">
        <f>PROPER(TRIM(Employee_dataset[[#This Row],[First_Name]]))</f>
        <v>David</v>
      </c>
      <c r="C909" t="str">
        <f>PROPER(TRIM(Employee_dataset[[#This Row],[Last_Name]]))</f>
        <v>Williams</v>
      </c>
      <c r="D909" s="6" t="str">
        <f>_xlfn.LET(
     _xlpm.a, TRIM(Employee_dataset[[#This Row],[Age]]),
     IF(
        _xlpm.a="","",
        IF(
           AND(ISNUMBER(--_xlpm.a),LEN(_xlpm.a)=2),_xlpm.a,""
          )
       )
    )</f>
        <v>30</v>
      </c>
      <c r="E909" t="str">
        <f>TRIM(_xlfn.TEXTBEFORE(Employee_dataset[[#This Row],[Department_Region]],"-"))</f>
        <v>HR</v>
      </c>
      <c r="F909" t="str">
        <f>TRIM(_xlfn.TEXTAFTER(Employee_dataset[[#This Row],[Department_Region]],"-"))</f>
        <v>California</v>
      </c>
      <c r="G909" t="str">
        <f>TRIM(Employee_dataset[[#This Row],[Status]])</f>
        <v>Inactive</v>
      </c>
      <c r="H909" s="1">
        <f>_xlfn.LET(
     _xlpm.d, Employee_dataset[[#This Row],[Join_Date]],
     IF(
        ISNUMBER(_xlpm.d),_xlpm.d,""
       )
    )</f>
        <v>44862</v>
      </c>
      <c r="I909" s="6">
        <f>_xlfn.LET(
     _xlpm.s, TRIM(Employee_dataset[[#This Row],[Salary]]),
     IF(
        UPPER(_xlpm.s)="N/A","",
        IF(
           ISNUMBER(--_xlpm.s),ROUND(_xlfn.NUMBERVALUE(_xlpm.s),2),""
          )
       )
    )</f>
        <v>97615.87</v>
      </c>
      <c r="J909" t="str">
        <f>TRIM(Employee_dataset[[#This Row],[Email]])</f>
        <v>david.williams@example.com</v>
      </c>
      <c r="K909" t="str">
        <f>_xlfn.LET(
     _xlpm.p,TRIM(SUBSTITUTE(Employee_dataset[[#This Row],[Phone]],"-","")),
     IF(
        LEN(_xlpm.p)=10,_xlfn.CONCAT("("&amp;LEFT(_xlpm.p,3)&amp;") "&amp;MID(_xlpm.p,4,3)&amp;"-"&amp;RIGHT(_xlpm.p,4),"")
       )
     )</f>
        <v>(242) 642-3641</v>
      </c>
      <c r="L909" t="str">
        <f>TRIM(Employee_dataset[[#This Row],[Performance_Score]])</f>
        <v>Average</v>
      </c>
      <c r="M909" t="str">
        <f>TRIM(Employee_dataset[[#This Row],[Remote_Work]])</f>
        <v>FALSE</v>
      </c>
    </row>
    <row r="910" spans="1:13" x14ac:dyDescent="0.3">
      <c r="A910" t="str">
        <f>TRIM(Employee_dataset[[#This Row],[Employee_ID]])</f>
        <v>EMP1908</v>
      </c>
      <c r="B910" t="str">
        <f>PROPER(TRIM(Employee_dataset[[#This Row],[First_Name]]))</f>
        <v>Bob</v>
      </c>
      <c r="C910" t="str">
        <f>PROPER(TRIM(Employee_dataset[[#This Row],[Last_Name]]))</f>
        <v>Davis</v>
      </c>
      <c r="D910" s="6" t="str">
        <f>_xlfn.LET(
     _xlpm.a, TRIM(Employee_dataset[[#This Row],[Age]]),
     IF(
        _xlpm.a="","",
        IF(
           AND(ISNUMBER(--_xlpm.a),LEN(_xlpm.a)=2),_xlpm.a,""
          )
       )
    )</f>
        <v>35</v>
      </c>
      <c r="E910" t="str">
        <f>TRIM(_xlfn.TEXTBEFORE(Employee_dataset[[#This Row],[Department_Region]],"-"))</f>
        <v>HR</v>
      </c>
      <c r="F910" t="str">
        <f>TRIM(_xlfn.TEXTAFTER(Employee_dataset[[#This Row],[Department_Region]],"-"))</f>
        <v>Florida</v>
      </c>
      <c r="G910" t="str">
        <f>TRIM(Employee_dataset[[#This Row],[Status]])</f>
        <v>Inactive</v>
      </c>
      <c r="H910" s="1">
        <f>_xlfn.LET(
     _xlpm.d, Employee_dataset[[#This Row],[Join_Date]],
     IF(
        ISNUMBER(_xlpm.d),_xlpm.d,""
       )
    )</f>
        <v>44857</v>
      </c>
      <c r="I910" s="6">
        <f>_xlfn.LET(
     _xlpm.s, TRIM(Employee_dataset[[#This Row],[Salary]]),
     IF(
        UPPER(_xlpm.s)="N/A","",
        IF(
           ISNUMBER(--_xlpm.s),ROUND(_xlfn.NUMBERVALUE(_xlpm.s),2),""
          )
       )
    )</f>
        <v>86867.78</v>
      </c>
      <c r="J910" t="str">
        <f>TRIM(Employee_dataset[[#This Row],[Email]])</f>
        <v>bob.davis@example.com</v>
      </c>
      <c r="K910" t="str">
        <f>_xlfn.LET(
     _xlpm.p,TRIM(SUBSTITUTE(Employee_dataset[[#This Row],[Phone]],"-","")),
     IF(
        LEN(_xlpm.p)=10,_xlfn.CONCAT("("&amp;LEFT(_xlpm.p,3)&amp;") "&amp;MID(_xlpm.p,4,3)&amp;"-"&amp;RIGHT(_xlpm.p,4),"")
       )
     )</f>
        <v>(813) 190-9247</v>
      </c>
      <c r="L910" t="str">
        <f>TRIM(Employee_dataset[[#This Row],[Performance_Score]])</f>
        <v>Poor</v>
      </c>
      <c r="M910" t="str">
        <f>TRIM(Employee_dataset[[#This Row],[Remote_Work]])</f>
        <v>FALSE</v>
      </c>
    </row>
    <row r="911" spans="1:13" x14ac:dyDescent="0.3">
      <c r="A911" t="str">
        <f>TRIM(Employee_dataset[[#This Row],[Employee_ID]])</f>
        <v>EMP1909</v>
      </c>
      <c r="B911" t="str">
        <f>PROPER(TRIM(Employee_dataset[[#This Row],[First_Name]]))</f>
        <v>Eva</v>
      </c>
      <c r="C911" t="str">
        <f>PROPER(TRIM(Employee_dataset[[#This Row],[Last_Name]]))</f>
        <v>Miller</v>
      </c>
      <c r="D911" s="6" t="str">
        <f>_xlfn.LET(
     _xlpm.a, TRIM(Employee_dataset[[#This Row],[Age]]),
     IF(
        _xlpm.a="","",
        IF(
           AND(ISNUMBER(--_xlpm.a),LEN(_xlpm.a)=2),_xlpm.a,""
          )
       )
    )</f>
        <v>40</v>
      </c>
      <c r="E911" t="str">
        <f>TRIM(_xlfn.TEXTBEFORE(Employee_dataset[[#This Row],[Department_Region]],"-"))</f>
        <v>Sales</v>
      </c>
      <c r="F911" t="str">
        <f>TRIM(_xlfn.TEXTAFTER(Employee_dataset[[#This Row],[Department_Region]],"-"))</f>
        <v>California</v>
      </c>
      <c r="G911" t="str">
        <f>TRIM(Employee_dataset[[#This Row],[Status]])</f>
        <v>Pending</v>
      </c>
      <c r="H911" s="1">
        <f>_xlfn.LET(
     _xlpm.d, Employee_dataset[[#This Row],[Join_Date]],
     IF(
        ISNUMBER(_xlpm.d),_xlpm.d,""
       )
    )</f>
        <v>45250</v>
      </c>
      <c r="I911" s="6">
        <f>_xlfn.LET(
     _xlpm.s, TRIM(Employee_dataset[[#This Row],[Salary]]),
     IF(
        UPPER(_xlpm.s)="N/A","",
        IF(
           ISNUMBER(--_xlpm.s),ROUND(_xlfn.NUMBERVALUE(_xlpm.s),2),""
          )
       )
    )</f>
        <v>106615.71</v>
      </c>
      <c r="J911" t="str">
        <f>TRIM(Employee_dataset[[#This Row],[Email]])</f>
        <v>eva.miller@example.com</v>
      </c>
      <c r="K911" t="str">
        <f>_xlfn.LET(
     _xlpm.p,TRIM(SUBSTITUTE(Employee_dataset[[#This Row],[Phone]],"-","")),
     IF(
        LEN(_xlpm.p)=10,_xlfn.CONCAT("("&amp;LEFT(_xlpm.p,3)&amp;") "&amp;MID(_xlpm.p,4,3)&amp;"-"&amp;RIGHT(_xlpm.p,4),"")
       )
     )</f>
        <v>(762) 303-9110</v>
      </c>
      <c r="L911" t="str">
        <f>TRIM(Employee_dataset[[#This Row],[Performance_Score]])</f>
        <v>Average</v>
      </c>
      <c r="M911" t="str">
        <f>TRIM(Employee_dataset[[#This Row],[Remote_Work]])</f>
        <v>FALSE</v>
      </c>
    </row>
    <row r="912" spans="1:13" x14ac:dyDescent="0.3">
      <c r="A912" t="str">
        <f>TRIM(Employee_dataset[[#This Row],[Employee_ID]])</f>
        <v>EMP1910</v>
      </c>
      <c r="B912" t="str">
        <f>PROPER(TRIM(Employee_dataset[[#This Row],[First_Name]]))</f>
        <v>Bob</v>
      </c>
      <c r="C912" t="str">
        <f>PROPER(TRIM(Employee_dataset[[#This Row],[Last_Name]]))</f>
        <v>Williams</v>
      </c>
      <c r="D912" s="6" t="str">
        <f>_xlfn.LET(
     _xlpm.a, TRIM(Employee_dataset[[#This Row],[Age]]),
     IF(
        _xlpm.a="","",
        IF(
           AND(ISNUMBER(--_xlpm.a),LEN(_xlpm.a)=2),_xlpm.a,""
          )
       )
    )</f>
        <v>30</v>
      </c>
      <c r="E912" t="str">
        <f>TRIM(_xlfn.TEXTBEFORE(Employee_dataset[[#This Row],[Department_Region]],"-"))</f>
        <v>Finance</v>
      </c>
      <c r="F912" t="str">
        <f>TRIM(_xlfn.TEXTAFTER(Employee_dataset[[#This Row],[Department_Region]],"-"))</f>
        <v>Texas</v>
      </c>
      <c r="G912" t="str">
        <f>TRIM(Employee_dataset[[#This Row],[Status]])</f>
        <v>Active</v>
      </c>
      <c r="H912" s="1">
        <f>_xlfn.LET(
     _xlpm.d, Employee_dataset[[#This Row],[Join_Date]],
     IF(
        ISNUMBER(_xlpm.d),_xlpm.d,""
       )
    )</f>
        <v>44631</v>
      </c>
      <c r="I912" s="6">
        <f>_xlfn.LET(
     _xlpm.s, TRIM(Employee_dataset[[#This Row],[Salary]]),
     IF(
        UPPER(_xlpm.s)="N/A","",
        IF(
           ISNUMBER(--_xlpm.s),ROUND(_xlfn.NUMBERVALUE(_xlpm.s),2),""
          )
       )
    )</f>
        <v>112856.21</v>
      </c>
      <c r="J912" t="str">
        <f>TRIM(Employee_dataset[[#This Row],[Email]])</f>
        <v>bob.williams@example.com</v>
      </c>
      <c r="K912" t="str">
        <f>_xlfn.LET(
     _xlpm.p,TRIM(SUBSTITUTE(Employee_dataset[[#This Row],[Phone]],"-","")),
     IF(
        LEN(_xlpm.p)=10,_xlfn.CONCAT("("&amp;LEFT(_xlpm.p,3)&amp;") "&amp;MID(_xlpm.p,4,3)&amp;"-"&amp;RIGHT(_xlpm.p,4),"")
       )
     )</f>
        <v>(428) 178-5227</v>
      </c>
      <c r="L912" t="str">
        <f>TRIM(Employee_dataset[[#This Row],[Performance_Score]])</f>
        <v>Poor</v>
      </c>
      <c r="M912" t="str">
        <f>TRIM(Employee_dataset[[#This Row],[Remote_Work]])</f>
        <v>FALSE</v>
      </c>
    </row>
    <row r="913" spans="1:13" x14ac:dyDescent="0.3">
      <c r="A913" t="str">
        <f>TRIM(Employee_dataset[[#This Row],[Employee_ID]])</f>
        <v>EMP1911</v>
      </c>
      <c r="B913" t="str">
        <f>PROPER(TRIM(Employee_dataset[[#This Row],[First_Name]]))</f>
        <v>Bob</v>
      </c>
      <c r="C913" t="str">
        <f>PROPER(TRIM(Employee_dataset[[#This Row],[Last_Name]]))</f>
        <v>Jones</v>
      </c>
      <c r="D913" s="6" t="str">
        <f>_xlfn.LET(
     _xlpm.a, TRIM(Employee_dataset[[#This Row],[Age]]),
     IF(
        _xlpm.a="","",
        IF(
           AND(ISNUMBER(--_xlpm.a),LEN(_xlpm.a)=2),_xlpm.a,""
          )
       )
    )</f>
        <v>25</v>
      </c>
      <c r="E913" t="str">
        <f>TRIM(_xlfn.TEXTBEFORE(Employee_dataset[[#This Row],[Department_Region]],"-"))</f>
        <v>Admin</v>
      </c>
      <c r="F913" t="str">
        <f>TRIM(_xlfn.TEXTAFTER(Employee_dataset[[#This Row],[Department_Region]],"-"))</f>
        <v>California</v>
      </c>
      <c r="G913" t="str">
        <f>TRIM(Employee_dataset[[#This Row],[Status]])</f>
        <v>Active</v>
      </c>
      <c r="H913" s="1">
        <f>_xlfn.LET(
     _xlpm.d, Employee_dataset[[#This Row],[Join_Date]],
     IF(
        ISNUMBER(_xlpm.d),_xlpm.d,""
       )
    )</f>
        <v>45258</v>
      </c>
      <c r="I913" s="6">
        <f>_xlfn.LET(
     _xlpm.s, TRIM(Employee_dataset[[#This Row],[Salary]]),
     IF(
        UPPER(_xlpm.s)="N/A","",
        IF(
           ISNUMBER(--_xlpm.s),ROUND(_xlfn.NUMBERVALUE(_xlpm.s),2),""
          )
       )
    )</f>
        <v>60356.78</v>
      </c>
      <c r="J913" t="str">
        <f>TRIM(Employee_dataset[[#This Row],[Email]])</f>
        <v>bob.jones@example.com</v>
      </c>
      <c r="K913" t="str">
        <f>_xlfn.LET(
     _xlpm.p,TRIM(SUBSTITUTE(Employee_dataset[[#This Row],[Phone]],"-","")),
     IF(
        LEN(_xlpm.p)=10,_xlfn.CONCAT("("&amp;LEFT(_xlpm.p,3)&amp;") "&amp;MID(_xlpm.p,4,3)&amp;"-"&amp;RIGHT(_xlpm.p,4),"")
       )
     )</f>
        <v>(230) 524-8087</v>
      </c>
      <c r="L913" t="str">
        <f>TRIM(Employee_dataset[[#This Row],[Performance_Score]])</f>
        <v>Poor</v>
      </c>
      <c r="M913" t="str">
        <f>TRIM(Employee_dataset[[#This Row],[Remote_Work]])</f>
        <v>TRUE</v>
      </c>
    </row>
    <row r="914" spans="1:13" x14ac:dyDescent="0.3">
      <c r="A914" t="str">
        <f>TRIM(Employee_dataset[[#This Row],[Employee_ID]])</f>
        <v>EMP1912</v>
      </c>
      <c r="B914" t="str">
        <f>PROPER(TRIM(Employee_dataset[[#This Row],[First_Name]]))</f>
        <v>David</v>
      </c>
      <c r="C914" t="str">
        <f>PROPER(TRIM(Employee_dataset[[#This Row],[Last_Name]]))</f>
        <v>Jones</v>
      </c>
      <c r="D914" s="6" t="str">
        <f>_xlfn.LET(
     _xlpm.a, TRIM(Employee_dataset[[#This Row],[Age]]),
     IF(
        _xlpm.a="","",
        IF(
           AND(ISNUMBER(--_xlpm.a),LEN(_xlpm.a)=2),_xlpm.a,""
          )
       )
    )</f>
        <v/>
      </c>
      <c r="E914" t="str">
        <f>TRIM(_xlfn.TEXTBEFORE(Employee_dataset[[#This Row],[Department_Region]],"-"))</f>
        <v>DevOps</v>
      </c>
      <c r="F914" t="str">
        <f>TRIM(_xlfn.TEXTAFTER(Employee_dataset[[#This Row],[Department_Region]],"-"))</f>
        <v>Texas</v>
      </c>
      <c r="G914" t="str">
        <f>TRIM(Employee_dataset[[#This Row],[Status]])</f>
        <v>Inactive</v>
      </c>
      <c r="H914" s="1">
        <f>_xlfn.LET(
     _xlpm.d, Employee_dataset[[#This Row],[Join_Date]],
     IF(
        ISNUMBER(_xlpm.d),_xlpm.d,""
       )
    )</f>
        <v>44684</v>
      </c>
      <c r="I914" s="6">
        <f>_xlfn.LET(
     _xlpm.s, TRIM(Employee_dataset[[#This Row],[Salary]]),
     IF(
        UPPER(_xlpm.s)="N/A","",
        IF(
           ISNUMBER(--_xlpm.s),ROUND(_xlfn.NUMBERVALUE(_xlpm.s),2),""
          )
       )
    )</f>
        <v>117870.22</v>
      </c>
      <c r="J914" t="str">
        <f>TRIM(Employee_dataset[[#This Row],[Email]])</f>
        <v>david.jones@example.com</v>
      </c>
      <c r="K914" t="b">
        <f>_xlfn.LET(
     _xlpm.p,TRIM(SUBSTITUTE(Employee_dataset[[#This Row],[Phone]],"-","")),
     IF(
        LEN(_xlpm.p)=10,_xlfn.CONCAT("("&amp;LEFT(_xlpm.p,3)&amp;") "&amp;MID(_xlpm.p,4,3)&amp;"-"&amp;RIGHT(_xlpm.p,4),"")
       )
     )</f>
        <v>0</v>
      </c>
      <c r="L914" t="str">
        <f>TRIM(Employee_dataset[[#This Row],[Performance_Score]])</f>
        <v>Excellent</v>
      </c>
      <c r="M914" t="str">
        <f>TRIM(Employee_dataset[[#This Row],[Remote_Work]])</f>
        <v>FALSE</v>
      </c>
    </row>
    <row r="915" spans="1:13" x14ac:dyDescent="0.3">
      <c r="A915" t="str">
        <f>TRIM(Employee_dataset[[#This Row],[Employee_ID]])</f>
        <v>EMP1913</v>
      </c>
      <c r="B915" t="str">
        <f>PROPER(TRIM(Employee_dataset[[#This Row],[First_Name]]))</f>
        <v>Charlie</v>
      </c>
      <c r="C915" t="str">
        <f>PROPER(TRIM(Employee_dataset[[#This Row],[Last_Name]]))</f>
        <v>Johnson</v>
      </c>
      <c r="D915" s="6" t="str">
        <f>_xlfn.LET(
     _xlpm.a, TRIM(Employee_dataset[[#This Row],[Age]]),
     IF(
        _xlpm.a="","",
        IF(
           AND(ISNUMBER(--_xlpm.a),LEN(_xlpm.a)=2),_xlpm.a,""
          )
       )
    )</f>
        <v>40</v>
      </c>
      <c r="E915" t="str">
        <f>TRIM(_xlfn.TEXTBEFORE(Employee_dataset[[#This Row],[Department_Region]],"-"))</f>
        <v>HR</v>
      </c>
      <c r="F915" t="str">
        <f>TRIM(_xlfn.TEXTAFTER(Employee_dataset[[#This Row],[Department_Region]],"-"))</f>
        <v>Florida</v>
      </c>
      <c r="G915" t="str">
        <f>TRIM(Employee_dataset[[#This Row],[Status]])</f>
        <v>Inactive</v>
      </c>
      <c r="H915" s="1">
        <f>_xlfn.LET(
     _xlpm.d, Employee_dataset[[#This Row],[Join_Date]],
     IF(
        ISNUMBER(_xlpm.d),_xlpm.d,""
       )
    )</f>
        <v>45341</v>
      </c>
      <c r="I915" s="6">
        <f>_xlfn.LET(
     _xlpm.s, TRIM(Employee_dataset[[#This Row],[Salary]]),
     IF(
        UPPER(_xlpm.s)="N/A","",
        IF(
           ISNUMBER(--_xlpm.s),ROUND(_xlfn.NUMBERVALUE(_xlpm.s),2),""
          )
       )
    )</f>
        <v>95127.91</v>
      </c>
      <c r="J915" t="str">
        <f>TRIM(Employee_dataset[[#This Row],[Email]])</f>
        <v>charlie.johnson@example.com</v>
      </c>
      <c r="K915" t="str">
        <f>_xlfn.LET(
     _xlpm.p,TRIM(SUBSTITUTE(Employee_dataset[[#This Row],[Phone]],"-","")),
     IF(
        LEN(_xlpm.p)=10,_xlfn.CONCAT("("&amp;LEFT(_xlpm.p,3)&amp;") "&amp;MID(_xlpm.p,4,3)&amp;"-"&amp;RIGHT(_xlpm.p,4),"")
       )
     )</f>
        <v>(594) 737-2131</v>
      </c>
      <c r="L915" t="str">
        <f>TRIM(Employee_dataset[[#This Row],[Performance_Score]])</f>
        <v>Average</v>
      </c>
      <c r="M915" t="str">
        <f>TRIM(Employee_dataset[[#This Row],[Remote_Work]])</f>
        <v>FALSE</v>
      </c>
    </row>
    <row r="916" spans="1:13" x14ac:dyDescent="0.3">
      <c r="A916" t="str">
        <f>TRIM(Employee_dataset[[#This Row],[Employee_ID]])</f>
        <v>EMP1914</v>
      </c>
      <c r="B916" t="str">
        <f>PROPER(TRIM(Employee_dataset[[#This Row],[First_Name]]))</f>
        <v>Bob</v>
      </c>
      <c r="C916" t="str">
        <f>PROPER(TRIM(Employee_dataset[[#This Row],[Last_Name]]))</f>
        <v>Brown</v>
      </c>
      <c r="D916" s="6" t="str">
        <f>_xlfn.LET(
     _xlpm.a, TRIM(Employee_dataset[[#This Row],[Age]]),
     IF(
        _xlpm.a="","",
        IF(
           AND(ISNUMBER(--_xlpm.a),LEN(_xlpm.a)=2),_xlpm.a,""
          )
       )
    )</f>
        <v>25</v>
      </c>
      <c r="E916" t="str">
        <f>TRIM(_xlfn.TEXTBEFORE(Employee_dataset[[#This Row],[Department_Region]],"-"))</f>
        <v>Admin</v>
      </c>
      <c r="F916" t="str">
        <f>TRIM(_xlfn.TEXTAFTER(Employee_dataset[[#This Row],[Department_Region]],"-"))</f>
        <v>Illinois</v>
      </c>
      <c r="G916" t="str">
        <f>TRIM(Employee_dataset[[#This Row],[Status]])</f>
        <v>Pending</v>
      </c>
      <c r="H916" s="1">
        <f>_xlfn.LET(
     _xlpm.d, Employee_dataset[[#This Row],[Join_Date]],
     IF(
        ISNUMBER(_xlpm.d),_xlpm.d,""
       )
    )</f>
        <v>44518</v>
      </c>
      <c r="I916" s="6">
        <f>_xlfn.LET(
     _xlpm.s, TRIM(Employee_dataset[[#This Row],[Salary]]),
     IF(
        UPPER(_xlpm.s)="N/A","",
        IF(
           ISNUMBER(--_xlpm.s),ROUND(_xlfn.NUMBERVALUE(_xlpm.s),2),""
          )
       )
    )</f>
        <v>78818.42</v>
      </c>
      <c r="J916" t="str">
        <f>TRIM(Employee_dataset[[#This Row],[Email]])</f>
        <v>bob.brown@example.com</v>
      </c>
      <c r="K916" t="str">
        <f>_xlfn.LET(
     _xlpm.p,TRIM(SUBSTITUTE(Employee_dataset[[#This Row],[Phone]],"-","")),
     IF(
        LEN(_xlpm.p)=10,_xlfn.CONCAT("("&amp;LEFT(_xlpm.p,3)&amp;") "&amp;MID(_xlpm.p,4,3)&amp;"-"&amp;RIGHT(_xlpm.p,4),"")
       )
     )</f>
        <v>(901) 620-4786</v>
      </c>
      <c r="L916" t="str">
        <f>TRIM(Employee_dataset[[#This Row],[Performance_Score]])</f>
        <v>Average</v>
      </c>
      <c r="M916" t="str">
        <f>TRIM(Employee_dataset[[#This Row],[Remote_Work]])</f>
        <v>FALSE</v>
      </c>
    </row>
    <row r="917" spans="1:13" x14ac:dyDescent="0.3">
      <c r="A917" t="str">
        <f>TRIM(Employee_dataset[[#This Row],[Employee_ID]])</f>
        <v>EMP1915</v>
      </c>
      <c r="B917" t="str">
        <f>PROPER(TRIM(Employee_dataset[[#This Row],[First_Name]]))</f>
        <v>Frank</v>
      </c>
      <c r="C917" t="str">
        <f>PROPER(TRIM(Employee_dataset[[#This Row],[Last_Name]]))</f>
        <v>Miller</v>
      </c>
      <c r="D917" s="6" t="str">
        <f>_xlfn.LET(
     _xlpm.a, TRIM(Employee_dataset[[#This Row],[Age]]),
     IF(
        _xlpm.a="","",
        IF(
           AND(ISNUMBER(--_xlpm.a),LEN(_xlpm.a)=2),_xlpm.a,""
          )
       )
    )</f>
        <v>40</v>
      </c>
      <c r="E917" t="str">
        <f>TRIM(_xlfn.TEXTBEFORE(Employee_dataset[[#This Row],[Department_Region]],"-"))</f>
        <v>Sales</v>
      </c>
      <c r="F917" t="str">
        <f>TRIM(_xlfn.TEXTAFTER(Employee_dataset[[#This Row],[Department_Region]],"-"))</f>
        <v>Nevada</v>
      </c>
      <c r="G917" t="str">
        <f>TRIM(Employee_dataset[[#This Row],[Status]])</f>
        <v>Pending</v>
      </c>
      <c r="H917" s="1">
        <f>_xlfn.LET(
     _xlpm.d, Employee_dataset[[#This Row],[Join_Date]],
     IF(
        ISNUMBER(_xlpm.d),_xlpm.d,""
       )
    )</f>
        <v>44916</v>
      </c>
      <c r="I917" s="6">
        <f>_xlfn.LET(
     _xlpm.s, TRIM(Employee_dataset[[#This Row],[Salary]]),
     IF(
        UPPER(_xlpm.s)="N/A","",
        IF(
           ISNUMBER(--_xlpm.s),ROUND(_xlfn.NUMBERVALUE(_xlpm.s),2),""
          )
       )
    )</f>
        <v>108933.55</v>
      </c>
      <c r="J917" t="str">
        <f>TRIM(Employee_dataset[[#This Row],[Email]])</f>
        <v>frank.miller@example.com</v>
      </c>
      <c r="K917" t="str">
        <f>_xlfn.LET(
     _xlpm.p,TRIM(SUBSTITUTE(Employee_dataset[[#This Row],[Phone]],"-","")),
     IF(
        LEN(_xlpm.p)=10,_xlfn.CONCAT("("&amp;LEFT(_xlpm.p,3)&amp;") "&amp;MID(_xlpm.p,4,3)&amp;"-"&amp;RIGHT(_xlpm.p,4),"")
       )
     )</f>
        <v>(688) 687-8598</v>
      </c>
      <c r="L917" t="str">
        <f>TRIM(Employee_dataset[[#This Row],[Performance_Score]])</f>
        <v>Poor</v>
      </c>
      <c r="M917" t="str">
        <f>TRIM(Employee_dataset[[#This Row],[Remote_Work]])</f>
        <v>TRUE</v>
      </c>
    </row>
    <row r="918" spans="1:13" x14ac:dyDescent="0.3">
      <c r="A918" t="str">
        <f>TRIM(Employee_dataset[[#This Row],[Employee_ID]])</f>
        <v>EMP1916</v>
      </c>
      <c r="B918" t="str">
        <f>PROPER(TRIM(Employee_dataset[[#This Row],[First_Name]]))</f>
        <v>Eva</v>
      </c>
      <c r="C918" t="str">
        <f>PROPER(TRIM(Employee_dataset[[#This Row],[Last_Name]]))</f>
        <v>Johnson</v>
      </c>
      <c r="D918" s="6" t="str">
        <f>_xlfn.LET(
     _xlpm.a, TRIM(Employee_dataset[[#This Row],[Age]]),
     IF(
        _xlpm.a="","",
        IF(
           AND(ISNUMBER(--_xlpm.a),LEN(_xlpm.a)=2),_xlpm.a,""
          )
       )
    )</f>
        <v/>
      </c>
      <c r="E918" t="str">
        <f>TRIM(_xlfn.TEXTBEFORE(Employee_dataset[[#This Row],[Department_Region]],"-"))</f>
        <v>Admin</v>
      </c>
      <c r="F918" t="str">
        <f>TRIM(_xlfn.TEXTAFTER(Employee_dataset[[#This Row],[Department_Region]],"-"))</f>
        <v>California</v>
      </c>
      <c r="G918" t="str">
        <f>TRIM(Employee_dataset[[#This Row],[Status]])</f>
        <v>Active</v>
      </c>
      <c r="H918" s="1">
        <f>_xlfn.LET(
     _xlpm.d, Employee_dataset[[#This Row],[Join_Date]],
     IF(
        ISNUMBER(_xlpm.d),_xlpm.d,""
       )
    )</f>
        <v>45447</v>
      </c>
      <c r="I918" s="6">
        <f>_xlfn.LET(
     _xlpm.s, TRIM(Employee_dataset[[#This Row],[Salary]]),
     IF(
        UPPER(_xlpm.s)="N/A","",
        IF(
           ISNUMBER(--_xlpm.s),ROUND(_xlfn.NUMBERVALUE(_xlpm.s),2),""
          )
       )
    )</f>
        <v>68200.52</v>
      </c>
      <c r="J918" t="str">
        <f>TRIM(Employee_dataset[[#This Row],[Email]])</f>
        <v>eva.johnson@example.com</v>
      </c>
      <c r="K918" t="str">
        <f>_xlfn.LET(
     _xlpm.p,TRIM(SUBSTITUTE(Employee_dataset[[#This Row],[Phone]],"-","")),
     IF(
        LEN(_xlpm.p)=10,_xlfn.CONCAT("("&amp;LEFT(_xlpm.p,3)&amp;") "&amp;MID(_xlpm.p,4,3)&amp;"-"&amp;RIGHT(_xlpm.p,4),"")
       )
     )</f>
        <v>(648) 628-7202</v>
      </c>
      <c r="L918" t="str">
        <f>TRIM(Employee_dataset[[#This Row],[Performance_Score]])</f>
        <v>Average</v>
      </c>
      <c r="M918" t="str">
        <f>TRIM(Employee_dataset[[#This Row],[Remote_Work]])</f>
        <v>TRUE</v>
      </c>
    </row>
    <row r="919" spans="1:13" x14ac:dyDescent="0.3">
      <c r="A919" t="str">
        <f>TRIM(Employee_dataset[[#This Row],[Employee_ID]])</f>
        <v>EMP1917</v>
      </c>
      <c r="B919" t="str">
        <f>PROPER(TRIM(Employee_dataset[[#This Row],[First_Name]]))</f>
        <v>Eva</v>
      </c>
      <c r="C919" t="str">
        <f>PROPER(TRIM(Employee_dataset[[#This Row],[Last_Name]]))</f>
        <v>Brown</v>
      </c>
      <c r="D919" s="6" t="str">
        <f>_xlfn.LET(
     _xlpm.a, TRIM(Employee_dataset[[#This Row],[Age]]),
     IF(
        _xlpm.a="","",
        IF(
           AND(ISNUMBER(--_xlpm.a),LEN(_xlpm.a)=2),_xlpm.a,""
          )
       )
    )</f>
        <v>25</v>
      </c>
      <c r="E919" t="str">
        <f>TRIM(_xlfn.TEXTBEFORE(Employee_dataset[[#This Row],[Department_Region]],"-"))</f>
        <v>Admin</v>
      </c>
      <c r="F919" t="str">
        <f>TRIM(_xlfn.TEXTAFTER(Employee_dataset[[#This Row],[Department_Region]],"-"))</f>
        <v>California</v>
      </c>
      <c r="G919" t="str">
        <f>TRIM(Employee_dataset[[#This Row],[Status]])</f>
        <v>Inactive</v>
      </c>
      <c r="H919" s="1">
        <f>_xlfn.LET(
     _xlpm.d, Employee_dataset[[#This Row],[Join_Date]],
     IF(
        ISNUMBER(_xlpm.d),_xlpm.d,""
       )
    )</f>
        <v>44764</v>
      </c>
      <c r="I919" s="6">
        <f>_xlfn.LET(
     _xlpm.s, TRIM(Employee_dataset[[#This Row],[Salary]]),
     IF(
        UPPER(_xlpm.s)="N/A","",
        IF(
           ISNUMBER(--_xlpm.s),ROUND(_xlfn.NUMBERVALUE(_xlpm.s),2),""
          )
       )
    )</f>
        <v>116934.97</v>
      </c>
      <c r="J919" t="str">
        <f>TRIM(Employee_dataset[[#This Row],[Email]])</f>
        <v>eva.brown@example.com</v>
      </c>
      <c r="K919" t="str">
        <f>_xlfn.LET(
     _xlpm.p,TRIM(SUBSTITUTE(Employee_dataset[[#This Row],[Phone]],"-","")),
     IF(
        LEN(_xlpm.p)=10,_xlfn.CONCAT("("&amp;LEFT(_xlpm.p,3)&amp;") "&amp;MID(_xlpm.p,4,3)&amp;"-"&amp;RIGHT(_xlpm.p,4),"")
       )
     )</f>
        <v>(195) 419-6663</v>
      </c>
      <c r="L919" t="str">
        <f>TRIM(Employee_dataset[[#This Row],[Performance_Score]])</f>
        <v>Good</v>
      </c>
      <c r="M919" t="str">
        <f>TRIM(Employee_dataset[[#This Row],[Remote_Work]])</f>
        <v>TRUE</v>
      </c>
    </row>
    <row r="920" spans="1:13" x14ac:dyDescent="0.3">
      <c r="A920" t="str">
        <f>TRIM(Employee_dataset[[#This Row],[Employee_ID]])</f>
        <v>EMP1918</v>
      </c>
      <c r="B920" t="str">
        <f>PROPER(TRIM(Employee_dataset[[#This Row],[First_Name]]))</f>
        <v>Charlie</v>
      </c>
      <c r="C920" t="str">
        <f>PROPER(TRIM(Employee_dataset[[#This Row],[Last_Name]]))</f>
        <v>Brown</v>
      </c>
      <c r="D920" s="6" t="str">
        <f>_xlfn.LET(
     _xlpm.a, TRIM(Employee_dataset[[#This Row],[Age]]),
     IF(
        _xlpm.a="","",
        IF(
           AND(ISNUMBER(--_xlpm.a),LEN(_xlpm.a)=2),_xlpm.a,""
          )
       )
    )</f>
        <v/>
      </c>
      <c r="E920" t="str">
        <f>TRIM(_xlfn.TEXTBEFORE(Employee_dataset[[#This Row],[Department_Region]],"-"))</f>
        <v>HR</v>
      </c>
      <c r="F920" t="str">
        <f>TRIM(_xlfn.TEXTAFTER(Employee_dataset[[#This Row],[Department_Region]],"-"))</f>
        <v>New York</v>
      </c>
      <c r="G920" t="str">
        <f>TRIM(Employee_dataset[[#This Row],[Status]])</f>
        <v>Active</v>
      </c>
      <c r="H920" s="1">
        <f>_xlfn.LET(
     _xlpm.d, Employee_dataset[[#This Row],[Join_Date]],
     IF(
        ISNUMBER(_xlpm.d),_xlpm.d,""
       )
    )</f>
        <v>45549</v>
      </c>
      <c r="I920" s="6">
        <f>_xlfn.LET(
     _xlpm.s, TRIM(Employee_dataset[[#This Row],[Salary]]),
     IF(
        UPPER(_xlpm.s)="N/A","",
        IF(
           ISNUMBER(--_xlpm.s),ROUND(_xlfn.NUMBERVALUE(_xlpm.s),2),""
          )
       )
    )</f>
        <v>99567.78</v>
      </c>
      <c r="J920" t="str">
        <f>TRIM(Employee_dataset[[#This Row],[Email]])</f>
        <v>charlie.brown@example.com</v>
      </c>
      <c r="K920" t="str">
        <f>_xlfn.LET(
     _xlpm.p,TRIM(SUBSTITUTE(Employee_dataset[[#This Row],[Phone]],"-","")),
     IF(
        LEN(_xlpm.p)=10,_xlfn.CONCAT("("&amp;LEFT(_xlpm.p,3)&amp;") "&amp;MID(_xlpm.p,4,3)&amp;"-"&amp;RIGHT(_xlpm.p,4),"")
       )
     )</f>
        <v>(505) 730-3626</v>
      </c>
      <c r="L920" t="str">
        <f>TRIM(Employee_dataset[[#This Row],[Performance_Score]])</f>
        <v>Good</v>
      </c>
      <c r="M920" t="str">
        <f>TRIM(Employee_dataset[[#This Row],[Remote_Work]])</f>
        <v>TRUE</v>
      </c>
    </row>
    <row r="921" spans="1:13" x14ac:dyDescent="0.3">
      <c r="A921" t="str">
        <f>TRIM(Employee_dataset[[#This Row],[Employee_ID]])</f>
        <v>EMP1919</v>
      </c>
      <c r="B921" t="str">
        <f>PROPER(TRIM(Employee_dataset[[#This Row],[First_Name]]))</f>
        <v>Charlie</v>
      </c>
      <c r="C921" t="str">
        <f>PROPER(TRIM(Employee_dataset[[#This Row],[Last_Name]]))</f>
        <v>Garcia</v>
      </c>
      <c r="D921" s="6" t="str">
        <f>_xlfn.LET(
     _xlpm.a, TRIM(Employee_dataset[[#This Row],[Age]]),
     IF(
        _xlpm.a="","",
        IF(
           AND(ISNUMBER(--_xlpm.a),LEN(_xlpm.a)=2),_xlpm.a,""
          )
       )
    )</f>
        <v>30</v>
      </c>
      <c r="E921" t="str">
        <f>TRIM(_xlfn.TEXTBEFORE(Employee_dataset[[#This Row],[Department_Region]],"-"))</f>
        <v>Admin</v>
      </c>
      <c r="F921" t="str">
        <f>TRIM(_xlfn.TEXTAFTER(Employee_dataset[[#This Row],[Department_Region]],"-"))</f>
        <v>Texas</v>
      </c>
      <c r="G921" t="str">
        <f>TRIM(Employee_dataset[[#This Row],[Status]])</f>
        <v>Active</v>
      </c>
      <c r="H921" s="1">
        <f>_xlfn.LET(
     _xlpm.d, Employee_dataset[[#This Row],[Join_Date]],
     IF(
        ISNUMBER(_xlpm.d),_xlpm.d,""
       )
    )</f>
        <v>44479</v>
      </c>
      <c r="I921" s="6">
        <f>_xlfn.LET(
     _xlpm.s, TRIM(Employee_dataset[[#This Row],[Salary]]),
     IF(
        UPPER(_xlpm.s)="N/A","",
        IF(
           ISNUMBER(--_xlpm.s),ROUND(_xlfn.NUMBERVALUE(_xlpm.s),2),""
          )
       )
    )</f>
        <v>90216.76</v>
      </c>
      <c r="J921" t="str">
        <f>TRIM(Employee_dataset[[#This Row],[Email]])</f>
        <v>charlie.garcia@example.com</v>
      </c>
      <c r="K921" t="str">
        <f>_xlfn.LET(
     _xlpm.p,TRIM(SUBSTITUTE(Employee_dataset[[#This Row],[Phone]],"-","")),
     IF(
        LEN(_xlpm.p)=10,_xlfn.CONCAT("("&amp;LEFT(_xlpm.p,3)&amp;") "&amp;MID(_xlpm.p,4,3)&amp;"-"&amp;RIGHT(_xlpm.p,4),"")
       )
     )</f>
        <v>(924) 632-0373</v>
      </c>
      <c r="L921" t="str">
        <f>TRIM(Employee_dataset[[#This Row],[Performance_Score]])</f>
        <v>Average</v>
      </c>
      <c r="M921" t="str">
        <f>TRIM(Employee_dataset[[#This Row],[Remote_Work]])</f>
        <v>TRUE</v>
      </c>
    </row>
    <row r="922" spans="1:13" x14ac:dyDescent="0.3">
      <c r="A922" t="str">
        <f>TRIM(Employee_dataset[[#This Row],[Employee_ID]])</f>
        <v>EMP1920</v>
      </c>
      <c r="B922" t="str">
        <f>PROPER(TRIM(Employee_dataset[[#This Row],[First_Name]]))</f>
        <v>Frank</v>
      </c>
      <c r="C922" t="str">
        <f>PROPER(TRIM(Employee_dataset[[#This Row],[Last_Name]]))</f>
        <v>Jones</v>
      </c>
      <c r="D922" s="6" t="str">
        <f>_xlfn.LET(
     _xlpm.a, TRIM(Employee_dataset[[#This Row],[Age]]),
     IF(
        _xlpm.a="","",
        IF(
           AND(ISNUMBER(--_xlpm.a),LEN(_xlpm.a)=2),_xlpm.a,""
          )
       )
    )</f>
        <v>30</v>
      </c>
      <c r="E922" t="str">
        <f>TRIM(_xlfn.TEXTBEFORE(Employee_dataset[[#This Row],[Department_Region]],"-"))</f>
        <v>Admin</v>
      </c>
      <c r="F922" t="str">
        <f>TRIM(_xlfn.TEXTAFTER(Employee_dataset[[#This Row],[Department_Region]],"-"))</f>
        <v>Illinois</v>
      </c>
      <c r="G922" t="str">
        <f>TRIM(Employee_dataset[[#This Row],[Status]])</f>
        <v>Pending</v>
      </c>
      <c r="H922" s="1">
        <f>_xlfn.LET(
     _xlpm.d, Employee_dataset[[#This Row],[Join_Date]],
     IF(
        ISNUMBER(_xlpm.d),_xlpm.d,""
       )
    )</f>
        <v>43902</v>
      </c>
      <c r="I922" s="6">
        <f>_xlfn.LET(
     _xlpm.s, TRIM(Employee_dataset[[#This Row],[Salary]]),
     IF(
        UPPER(_xlpm.s)="N/A","",
        IF(
           ISNUMBER(--_xlpm.s),ROUND(_xlfn.NUMBERVALUE(_xlpm.s),2),""
          )
       )
    )</f>
        <v>96588.73</v>
      </c>
      <c r="J922" t="str">
        <f>TRIM(Employee_dataset[[#This Row],[Email]])</f>
        <v>frank.jones@example.com</v>
      </c>
      <c r="K922" t="str">
        <f>_xlfn.LET(
     _xlpm.p,TRIM(SUBSTITUTE(Employee_dataset[[#This Row],[Phone]],"-","")),
     IF(
        LEN(_xlpm.p)=10,_xlfn.CONCAT("("&amp;LEFT(_xlpm.p,3)&amp;") "&amp;MID(_xlpm.p,4,3)&amp;"-"&amp;RIGHT(_xlpm.p,4),"")
       )
     )</f>
        <v>(767) 753-7259</v>
      </c>
      <c r="L922" t="str">
        <f>TRIM(Employee_dataset[[#This Row],[Performance_Score]])</f>
        <v>Average</v>
      </c>
      <c r="M922" t="str">
        <f>TRIM(Employee_dataset[[#This Row],[Remote_Work]])</f>
        <v>TRUE</v>
      </c>
    </row>
    <row r="923" spans="1:13" x14ac:dyDescent="0.3">
      <c r="A923" t="str">
        <f>TRIM(Employee_dataset[[#This Row],[Employee_ID]])</f>
        <v>EMP1921</v>
      </c>
      <c r="B923" t="str">
        <f>PROPER(TRIM(Employee_dataset[[#This Row],[First_Name]]))</f>
        <v>Charlie</v>
      </c>
      <c r="C923" t="str">
        <f>PROPER(TRIM(Employee_dataset[[#This Row],[Last_Name]]))</f>
        <v>Davis</v>
      </c>
      <c r="D923" s="6" t="str">
        <f>_xlfn.LET(
     _xlpm.a, TRIM(Employee_dataset[[#This Row],[Age]]),
     IF(
        _xlpm.a="","",
        IF(
           AND(ISNUMBER(--_xlpm.a),LEN(_xlpm.a)=2),_xlpm.a,""
          )
       )
    )</f>
        <v>35</v>
      </c>
      <c r="E923" t="str">
        <f>TRIM(_xlfn.TEXTBEFORE(Employee_dataset[[#This Row],[Department_Region]],"-"))</f>
        <v>Finance</v>
      </c>
      <c r="F923" t="str">
        <f>TRIM(_xlfn.TEXTAFTER(Employee_dataset[[#This Row],[Department_Region]],"-"))</f>
        <v>Illinois</v>
      </c>
      <c r="G923" t="str">
        <f>TRIM(Employee_dataset[[#This Row],[Status]])</f>
        <v>Active</v>
      </c>
      <c r="H923" s="1">
        <f>_xlfn.LET(
     _xlpm.d, Employee_dataset[[#This Row],[Join_Date]],
     IF(
        ISNUMBER(_xlpm.d),_xlpm.d,""
       )
    )</f>
        <v>44923</v>
      </c>
      <c r="I923" s="6">
        <f>_xlfn.LET(
     _xlpm.s, TRIM(Employee_dataset[[#This Row],[Salary]]),
     IF(
        UPPER(_xlpm.s)="N/A","",
        IF(
           ISNUMBER(--_xlpm.s),ROUND(_xlfn.NUMBERVALUE(_xlpm.s),2),""
          )
       )
    )</f>
        <v>71109.179999999993</v>
      </c>
      <c r="J923" t="str">
        <f>TRIM(Employee_dataset[[#This Row],[Email]])</f>
        <v>charlie.davis@example.com</v>
      </c>
      <c r="K923" t="str">
        <f>_xlfn.LET(
     _xlpm.p,TRIM(SUBSTITUTE(Employee_dataset[[#This Row],[Phone]],"-","")),
     IF(
        LEN(_xlpm.p)=10,_xlfn.CONCAT("("&amp;LEFT(_xlpm.p,3)&amp;") "&amp;MID(_xlpm.p,4,3)&amp;"-"&amp;RIGHT(_xlpm.p,4),"")
       )
     )</f>
        <v>(321) 450-5765</v>
      </c>
      <c r="L923" t="str">
        <f>TRIM(Employee_dataset[[#This Row],[Performance_Score]])</f>
        <v>Poor</v>
      </c>
      <c r="M923" t="str">
        <f>TRIM(Employee_dataset[[#This Row],[Remote_Work]])</f>
        <v>TRUE</v>
      </c>
    </row>
    <row r="924" spans="1:13" x14ac:dyDescent="0.3">
      <c r="A924" t="str">
        <f>TRIM(Employee_dataset[[#This Row],[Employee_ID]])</f>
        <v>EMP1922</v>
      </c>
      <c r="B924" t="str">
        <f>PROPER(TRIM(Employee_dataset[[#This Row],[First_Name]]))</f>
        <v>Grace</v>
      </c>
      <c r="C924" t="str">
        <f>PROPER(TRIM(Employee_dataset[[#This Row],[Last_Name]]))</f>
        <v>Smith</v>
      </c>
      <c r="D924" s="6" t="str">
        <f>_xlfn.LET(
     _xlpm.a, TRIM(Employee_dataset[[#This Row],[Age]]),
     IF(
        _xlpm.a="","",
        IF(
           AND(ISNUMBER(--_xlpm.a),LEN(_xlpm.a)=2),_xlpm.a,""
          )
       )
    )</f>
        <v>40</v>
      </c>
      <c r="E924" t="str">
        <f>TRIM(_xlfn.TEXTBEFORE(Employee_dataset[[#This Row],[Department_Region]],"-"))</f>
        <v>Admin</v>
      </c>
      <c r="F924" t="str">
        <f>TRIM(_xlfn.TEXTAFTER(Employee_dataset[[#This Row],[Department_Region]],"-"))</f>
        <v>Florida</v>
      </c>
      <c r="G924" t="str">
        <f>TRIM(Employee_dataset[[#This Row],[Status]])</f>
        <v>Inactive</v>
      </c>
      <c r="H924" s="1">
        <f>_xlfn.LET(
     _xlpm.d, Employee_dataset[[#This Row],[Join_Date]],
     IF(
        ISNUMBER(_xlpm.d),_xlpm.d,""
       )
    )</f>
        <v>44150</v>
      </c>
      <c r="I924" s="6">
        <f>_xlfn.LET(
     _xlpm.s, TRIM(Employee_dataset[[#This Row],[Salary]]),
     IF(
        UPPER(_xlpm.s)="N/A","",
        IF(
           ISNUMBER(--_xlpm.s),ROUND(_xlfn.NUMBERVALUE(_xlpm.s),2),""
          )
       )
    )</f>
        <v>50300.6</v>
      </c>
      <c r="J924" t="str">
        <f>TRIM(Employee_dataset[[#This Row],[Email]])</f>
        <v>grace.smith@example.com</v>
      </c>
      <c r="K924" t="str">
        <f>_xlfn.LET(
     _xlpm.p,TRIM(SUBSTITUTE(Employee_dataset[[#This Row],[Phone]],"-","")),
     IF(
        LEN(_xlpm.p)=10,_xlfn.CONCAT("("&amp;LEFT(_xlpm.p,3)&amp;") "&amp;MID(_xlpm.p,4,3)&amp;"-"&amp;RIGHT(_xlpm.p,4),"")
       )
     )</f>
        <v>(194) 588-7070</v>
      </c>
      <c r="L924" t="str">
        <f>TRIM(Employee_dataset[[#This Row],[Performance_Score]])</f>
        <v>Good</v>
      </c>
      <c r="M924" t="str">
        <f>TRIM(Employee_dataset[[#This Row],[Remote_Work]])</f>
        <v>FALSE</v>
      </c>
    </row>
    <row r="925" spans="1:13" x14ac:dyDescent="0.3">
      <c r="A925" t="str">
        <f>TRIM(Employee_dataset[[#This Row],[Employee_ID]])</f>
        <v>EMP1923</v>
      </c>
      <c r="B925" t="str">
        <f>PROPER(TRIM(Employee_dataset[[#This Row],[First_Name]]))</f>
        <v>Frank</v>
      </c>
      <c r="C925" t="str">
        <f>PROPER(TRIM(Employee_dataset[[#This Row],[Last_Name]]))</f>
        <v>Davis</v>
      </c>
      <c r="D925" s="6" t="str">
        <f>_xlfn.LET(
     _xlpm.a, TRIM(Employee_dataset[[#This Row],[Age]]),
     IF(
        _xlpm.a="","",
        IF(
           AND(ISNUMBER(--_xlpm.a),LEN(_xlpm.a)=2),_xlpm.a,""
          )
       )
    )</f>
        <v>35</v>
      </c>
      <c r="E925" t="str">
        <f>TRIM(_xlfn.TEXTBEFORE(Employee_dataset[[#This Row],[Department_Region]],"-"))</f>
        <v>Finance</v>
      </c>
      <c r="F925" t="str">
        <f>TRIM(_xlfn.TEXTAFTER(Employee_dataset[[#This Row],[Department_Region]],"-"))</f>
        <v>California</v>
      </c>
      <c r="G925" t="str">
        <f>TRIM(Employee_dataset[[#This Row],[Status]])</f>
        <v>Pending</v>
      </c>
      <c r="H925" s="1">
        <f>_xlfn.LET(
     _xlpm.d, Employee_dataset[[#This Row],[Join_Date]],
     IF(
        ISNUMBER(_xlpm.d),_xlpm.d,""
       )
    )</f>
        <v>45196</v>
      </c>
      <c r="I925" s="6">
        <f>_xlfn.LET(
     _xlpm.s, TRIM(Employee_dataset[[#This Row],[Salary]]),
     IF(
        UPPER(_xlpm.s)="N/A","",
        IF(
           ISNUMBER(--_xlpm.s),ROUND(_xlfn.NUMBERVALUE(_xlpm.s),2),""
          )
       )
    )</f>
        <v>60295.839999999997</v>
      </c>
      <c r="J925" t="str">
        <f>TRIM(Employee_dataset[[#This Row],[Email]])</f>
        <v>frank.davis@example.com</v>
      </c>
      <c r="K925" t="str">
        <f>_xlfn.LET(
     _xlpm.p,TRIM(SUBSTITUTE(Employee_dataset[[#This Row],[Phone]],"-","")),
     IF(
        LEN(_xlpm.p)=10,_xlfn.CONCAT("("&amp;LEFT(_xlpm.p,3)&amp;") "&amp;MID(_xlpm.p,4,3)&amp;"-"&amp;RIGHT(_xlpm.p,4),"")
       )
     )</f>
        <v>(553) 482-0127</v>
      </c>
      <c r="L925" t="str">
        <f>TRIM(Employee_dataset[[#This Row],[Performance_Score]])</f>
        <v>Good</v>
      </c>
      <c r="M925" t="str">
        <f>TRIM(Employee_dataset[[#This Row],[Remote_Work]])</f>
        <v>FALSE</v>
      </c>
    </row>
    <row r="926" spans="1:13" x14ac:dyDescent="0.3">
      <c r="A926" t="str">
        <f>TRIM(Employee_dataset[[#This Row],[Employee_ID]])</f>
        <v>EMP1924</v>
      </c>
      <c r="B926" t="str">
        <f>PROPER(TRIM(Employee_dataset[[#This Row],[First_Name]]))</f>
        <v>Heidi</v>
      </c>
      <c r="C926" t="str">
        <f>PROPER(TRIM(Employee_dataset[[#This Row],[Last_Name]]))</f>
        <v>Smith</v>
      </c>
      <c r="D926" s="6" t="str">
        <f>_xlfn.LET(
     _xlpm.a, TRIM(Employee_dataset[[#This Row],[Age]]),
     IF(
        _xlpm.a="","",
        IF(
           AND(ISNUMBER(--_xlpm.a),LEN(_xlpm.a)=2),_xlpm.a,""
          )
       )
    )</f>
        <v>35</v>
      </c>
      <c r="E926" t="str">
        <f>TRIM(_xlfn.TEXTBEFORE(Employee_dataset[[#This Row],[Department_Region]],"-"))</f>
        <v>DevOps</v>
      </c>
      <c r="F926" t="str">
        <f>TRIM(_xlfn.TEXTAFTER(Employee_dataset[[#This Row],[Department_Region]],"-"))</f>
        <v>Texas</v>
      </c>
      <c r="G926" t="str">
        <f>TRIM(Employee_dataset[[#This Row],[Status]])</f>
        <v>Pending</v>
      </c>
      <c r="H926" s="1">
        <f>_xlfn.LET(
     _xlpm.d, Employee_dataset[[#This Row],[Join_Date]],
     IF(
        ISNUMBER(_xlpm.d),_xlpm.d,""
       )
    )</f>
        <v>44811</v>
      </c>
      <c r="I926" s="6">
        <f>_xlfn.LET(
     _xlpm.s, TRIM(Employee_dataset[[#This Row],[Salary]]),
     IF(
        UPPER(_xlpm.s)="N/A","",
        IF(
           ISNUMBER(--_xlpm.s),ROUND(_xlfn.NUMBERVALUE(_xlpm.s),2),""
          )
       )
    )</f>
        <v>113012.21</v>
      </c>
      <c r="J926" t="str">
        <f>TRIM(Employee_dataset[[#This Row],[Email]])</f>
        <v>heidi.smith@example.com</v>
      </c>
      <c r="K926" t="str">
        <f>_xlfn.LET(
     _xlpm.p,TRIM(SUBSTITUTE(Employee_dataset[[#This Row],[Phone]],"-","")),
     IF(
        LEN(_xlpm.p)=10,_xlfn.CONCAT("("&amp;LEFT(_xlpm.p,3)&amp;") "&amp;MID(_xlpm.p,4,3)&amp;"-"&amp;RIGHT(_xlpm.p,4),"")
       )
     )</f>
        <v>(400) 838-5075</v>
      </c>
      <c r="L926" t="str">
        <f>TRIM(Employee_dataset[[#This Row],[Performance_Score]])</f>
        <v>Excellent</v>
      </c>
      <c r="M926" t="str">
        <f>TRIM(Employee_dataset[[#This Row],[Remote_Work]])</f>
        <v>FALSE</v>
      </c>
    </row>
    <row r="927" spans="1:13" x14ac:dyDescent="0.3">
      <c r="A927" t="str">
        <f>TRIM(Employee_dataset[[#This Row],[Employee_ID]])</f>
        <v>EMP1925</v>
      </c>
      <c r="B927" t="str">
        <f>PROPER(TRIM(Employee_dataset[[#This Row],[First_Name]]))</f>
        <v>Bob</v>
      </c>
      <c r="C927" t="str">
        <f>PROPER(TRIM(Employee_dataset[[#This Row],[Last_Name]]))</f>
        <v>Williams</v>
      </c>
      <c r="D927" s="6" t="str">
        <f>_xlfn.LET(
     _xlpm.a, TRIM(Employee_dataset[[#This Row],[Age]]),
     IF(
        _xlpm.a="","",
        IF(
           AND(ISNUMBER(--_xlpm.a),LEN(_xlpm.a)=2),_xlpm.a,""
          )
       )
    )</f>
        <v>35</v>
      </c>
      <c r="E927" t="str">
        <f>TRIM(_xlfn.TEXTBEFORE(Employee_dataset[[#This Row],[Department_Region]],"-"))</f>
        <v>Cloud Tech</v>
      </c>
      <c r="F927" t="str">
        <f>TRIM(_xlfn.TEXTAFTER(Employee_dataset[[#This Row],[Department_Region]],"-"))</f>
        <v>Florida</v>
      </c>
      <c r="G927" t="str">
        <f>TRIM(Employee_dataset[[#This Row],[Status]])</f>
        <v>Pending</v>
      </c>
      <c r="H927" s="1">
        <f>_xlfn.LET(
     _xlpm.d, Employee_dataset[[#This Row],[Join_Date]],
     IF(
        ISNUMBER(_xlpm.d),_xlpm.d,""
       )
    )</f>
        <v>45553</v>
      </c>
      <c r="I927" s="6">
        <f>_xlfn.LET(
     _xlpm.s, TRIM(Employee_dataset[[#This Row],[Salary]]),
     IF(
        UPPER(_xlpm.s)="N/A","",
        IF(
           ISNUMBER(--_xlpm.s),ROUND(_xlfn.NUMBERVALUE(_xlpm.s),2),""
          )
       )
    )</f>
        <v>65425.54</v>
      </c>
      <c r="J927" t="str">
        <f>TRIM(Employee_dataset[[#This Row],[Email]])</f>
        <v>bob.williams@example.com</v>
      </c>
      <c r="K927" t="str">
        <f>_xlfn.LET(
     _xlpm.p,TRIM(SUBSTITUTE(Employee_dataset[[#This Row],[Phone]],"-","")),
     IF(
        LEN(_xlpm.p)=10,_xlfn.CONCAT("("&amp;LEFT(_xlpm.p,3)&amp;") "&amp;MID(_xlpm.p,4,3)&amp;"-"&amp;RIGHT(_xlpm.p,4),"")
       )
     )</f>
        <v>(597) 595-4507</v>
      </c>
      <c r="L927" t="str">
        <f>TRIM(Employee_dataset[[#This Row],[Performance_Score]])</f>
        <v>Poor</v>
      </c>
      <c r="M927" t="str">
        <f>TRIM(Employee_dataset[[#This Row],[Remote_Work]])</f>
        <v>TRUE</v>
      </c>
    </row>
    <row r="928" spans="1:13" x14ac:dyDescent="0.3">
      <c r="A928" t="str">
        <f>TRIM(Employee_dataset[[#This Row],[Employee_ID]])</f>
        <v>EMP1926</v>
      </c>
      <c r="B928" t="str">
        <f>PROPER(TRIM(Employee_dataset[[#This Row],[First_Name]]))</f>
        <v>Frank</v>
      </c>
      <c r="C928" t="str">
        <f>PROPER(TRIM(Employee_dataset[[#This Row],[Last_Name]]))</f>
        <v>Jones</v>
      </c>
      <c r="D928" s="6" t="str">
        <f>_xlfn.LET(
     _xlpm.a, TRIM(Employee_dataset[[#This Row],[Age]]),
     IF(
        _xlpm.a="","",
        IF(
           AND(ISNUMBER(--_xlpm.a),LEN(_xlpm.a)=2),_xlpm.a,""
          )
       )
    )</f>
        <v>25</v>
      </c>
      <c r="E928" t="str">
        <f>TRIM(_xlfn.TEXTBEFORE(Employee_dataset[[#This Row],[Department_Region]],"-"))</f>
        <v>Sales</v>
      </c>
      <c r="F928" t="str">
        <f>TRIM(_xlfn.TEXTAFTER(Employee_dataset[[#This Row],[Department_Region]],"-"))</f>
        <v>Nevada</v>
      </c>
      <c r="G928" t="str">
        <f>TRIM(Employee_dataset[[#This Row],[Status]])</f>
        <v>Active</v>
      </c>
      <c r="H928" s="1">
        <f>_xlfn.LET(
     _xlpm.d, Employee_dataset[[#This Row],[Join_Date]],
     IF(
        ISNUMBER(_xlpm.d),_xlpm.d,""
       )
    )</f>
        <v>45025</v>
      </c>
      <c r="I928" s="6">
        <f>_xlfn.LET(
     _xlpm.s, TRIM(Employee_dataset[[#This Row],[Salary]]),
     IF(
        UPPER(_xlpm.s)="N/A","",
        IF(
           ISNUMBER(--_xlpm.s),ROUND(_xlfn.NUMBERVALUE(_xlpm.s),2),""
          )
       )
    )</f>
        <v>86850.37</v>
      </c>
      <c r="J928" t="str">
        <f>TRIM(Employee_dataset[[#This Row],[Email]])</f>
        <v>frank.jones@example.com</v>
      </c>
      <c r="K928" t="str">
        <f>_xlfn.LET(
     _xlpm.p,TRIM(SUBSTITUTE(Employee_dataset[[#This Row],[Phone]],"-","")),
     IF(
        LEN(_xlpm.p)=10,_xlfn.CONCAT("("&amp;LEFT(_xlpm.p,3)&amp;") "&amp;MID(_xlpm.p,4,3)&amp;"-"&amp;RIGHT(_xlpm.p,4),"")
       )
     )</f>
        <v>(917) 768-0897</v>
      </c>
      <c r="L928" t="str">
        <f>TRIM(Employee_dataset[[#This Row],[Performance_Score]])</f>
        <v>Excellent</v>
      </c>
      <c r="M928" t="str">
        <f>TRIM(Employee_dataset[[#This Row],[Remote_Work]])</f>
        <v>TRUE</v>
      </c>
    </row>
    <row r="929" spans="1:13" x14ac:dyDescent="0.3">
      <c r="A929" t="str">
        <f>TRIM(Employee_dataset[[#This Row],[Employee_ID]])</f>
        <v>EMP1927</v>
      </c>
      <c r="B929" t="str">
        <f>PROPER(TRIM(Employee_dataset[[#This Row],[First_Name]]))</f>
        <v>Eva</v>
      </c>
      <c r="C929" t="str">
        <f>PROPER(TRIM(Employee_dataset[[#This Row],[Last_Name]]))</f>
        <v>Brown</v>
      </c>
      <c r="D929" s="6" t="str">
        <f>_xlfn.LET(
     _xlpm.a, TRIM(Employee_dataset[[#This Row],[Age]]),
     IF(
        _xlpm.a="","",
        IF(
           AND(ISNUMBER(--_xlpm.a),LEN(_xlpm.a)=2),_xlpm.a,""
          )
       )
    )</f>
        <v>30</v>
      </c>
      <c r="E929" t="str">
        <f>TRIM(_xlfn.TEXTBEFORE(Employee_dataset[[#This Row],[Department_Region]],"-"))</f>
        <v>Cloud Tech</v>
      </c>
      <c r="F929" t="str">
        <f>TRIM(_xlfn.TEXTAFTER(Employee_dataset[[#This Row],[Department_Region]],"-"))</f>
        <v>Texas</v>
      </c>
      <c r="G929" t="str">
        <f>TRIM(Employee_dataset[[#This Row],[Status]])</f>
        <v>Pending</v>
      </c>
      <c r="H929" s="1">
        <f>_xlfn.LET(
     _xlpm.d, Employee_dataset[[#This Row],[Join_Date]],
     IF(
        ISNUMBER(_xlpm.d),_xlpm.d,""
       )
    )</f>
        <v>45570</v>
      </c>
      <c r="I929" s="6">
        <f>_xlfn.LET(
     _xlpm.s, TRIM(Employee_dataset[[#This Row],[Salary]]),
     IF(
        UPPER(_xlpm.s)="N/A","",
        IF(
           ISNUMBER(--_xlpm.s),ROUND(_xlfn.NUMBERVALUE(_xlpm.s),2),""
          )
       )
    )</f>
        <v>81182.070000000007</v>
      </c>
      <c r="J929" t="str">
        <f>TRIM(Employee_dataset[[#This Row],[Email]])</f>
        <v>eva.brown@example.com</v>
      </c>
      <c r="K929" t="str">
        <f>_xlfn.LET(
     _xlpm.p,TRIM(SUBSTITUTE(Employee_dataset[[#This Row],[Phone]],"-","")),
     IF(
        LEN(_xlpm.p)=10,_xlfn.CONCAT("("&amp;LEFT(_xlpm.p,3)&amp;") "&amp;MID(_xlpm.p,4,3)&amp;"-"&amp;RIGHT(_xlpm.p,4),"")
       )
     )</f>
        <v>(126) 574-2230</v>
      </c>
      <c r="L929" t="str">
        <f>TRIM(Employee_dataset[[#This Row],[Performance_Score]])</f>
        <v>Good</v>
      </c>
      <c r="M929" t="str">
        <f>TRIM(Employee_dataset[[#This Row],[Remote_Work]])</f>
        <v>TRUE</v>
      </c>
    </row>
    <row r="930" spans="1:13" x14ac:dyDescent="0.3">
      <c r="A930" t="str">
        <f>TRIM(Employee_dataset[[#This Row],[Employee_ID]])</f>
        <v>EMP1928</v>
      </c>
      <c r="B930" t="str">
        <f>PROPER(TRIM(Employee_dataset[[#This Row],[First_Name]]))</f>
        <v>Bob</v>
      </c>
      <c r="C930" t="str">
        <f>PROPER(TRIM(Employee_dataset[[#This Row],[Last_Name]]))</f>
        <v>Miller</v>
      </c>
      <c r="D930" s="6" t="str">
        <f>_xlfn.LET(
     _xlpm.a, TRIM(Employee_dataset[[#This Row],[Age]]),
     IF(
        _xlpm.a="","",
        IF(
           AND(ISNUMBER(--_xlpm.a),LEN(_xlpm.a)=2),_xlpm.a,""
          )
       )
    )</f>
        <v/>
      </c>
      <c r="E930" t="str">
        <f>TRIM(_xlfn.TEXTBEFORE(Employee_dataset[[#This Row],[Department_Region]],"-"))</f>
        <v>Finance</v>
      </c>
      <c r="F930" t="str">
        <f>TRIM(_xlfn.TEXTAFTER(Employee_dataset[[#This Row],[Department_Region]],"-"))</f>
        <v>New York</v>
      </c>
      <c r="G930" t="str">
        <f>TRIM(Employee_dataset[[#This Row],[Status]])</f>
        <v>Inactive</v>
      </c>
      <c r="H930" s="1">
        <f>_xlfn.LET(
     _xlpm.d, Employee_dataset[[#This Row],[Join_Date]],
     IF(
        ISNUMBER(_xlpm.d),_xlpm.d,""
       )
    )</f>
        <v>44481</v>
      </c>
      <c r="I930" s="6">
        <f>_xlfn.LET(
     _xlpm.s, TRIM(Employee_dataset[[#This Row],[Salary]]),
     IF(
        UPPER(_xlpm.s)="N/A","",
        IF(
           ISNUMBER(--_xlpm.s),ROUND(_xlfn.NUMBERVALUE(_xlpm.s),2),""
          )
       )
    )</f>
        <v>92222.03</v>
      </c>
      <c r="J930" t="str">
        <f>TRIM(Employee_dataset[[#This Row],[Email]])</f>
        <v>bob.miller@example.com</v>
      </c>
      <c r="K930" t="str">
        <f>_xlfn.LET(
     _xlpm.p,TRIM(SUBSTITUTE(Employee_dataset[[#This Row],[Phone]],"-","")),
     IF(
        LEN(_xlpm.p)=10,_xlfn.CONCAT("("&amp;LEFT(_xlpm.p,3)&amp;") "&amp;MID(_xlpm.p,4,3)&amp;"-"&amp;RIGHT(_xlpm.p,4),"")
       )
     )</f>
        <v>(964) 630-0401</v>
      </c>
      <c r="L930" t="str">
        <f>TRIM(Employee_dataset[[#This Row],[Performance_Score]])</f>
        <v>Poor</v>
      </c>
      <c r="M930" t="str">
        <f>TRIM(Employee_dataset[[#This Row],[Remote_Work]])</f>
        <v>TRUE</v>
      </c>
    </row>
    <row r="931" spans="1:13" x14ac:dyDescent="0.3">
      <c r="A931" t="str">
        <f>TRIM(Employee_dataset[[#This Row],[Employee_ID]])</f>
        <v>EMP1929</v>
      </c>
      <c r="B931" t="str">
        <f>PROPER(TRIM(Employee_dataset[[#This Row],[First_Name]]))</f>
        <v>Alice</v>
      </c>
      <c r="C931" t="str">
        <f>PROPER(TRIM(Employee_dataset[[#This Row],[Last_Name]]))</f>
        <v>Smith</v>
      </c>
      <c r="D931" s="6" t="str">
        <f>_xlfn.LET(
     _xlpm.a, TRIM(Employee_dataset[[#This Row],[Age]]),
     IF(
        _xlpm.a="","",
        IF(
           AND(ISNUMBER(--_xlpm.a),LEN(_xlpm.a)=2),_xlpm.a,""
          )
       )
    )</f>
        <v>35</v>
      </c>
      <c r="E931" t="str">
        <f>TRIM(_xlfn.TEXTBEFORE(Employee_dataset[[#This Row],[Department_Region]],"-"))</f>
        <v>Finance</v>
      </c>
      <c r="F931" t="str">
        <f>TRIM(_xlfn.TEXTAFTER(Employee_dataset[[#This Row],[Department_Region]],"-"))</f>
        <v>New York</v>
      </c>
      <c r="G931" t="str">
        <f>TRIM(Employee_dataset[[#This Row],[Status]])</f>
        <v>Pending</v>
      </c>
      <c r="H931" s="1">
        <f>_xlfn.LET(
     _xlpm.d, Employee_dataset[[#This Row],[Join_Date]],
     IF(
        ISNUMBER(_xlpm.d),_xlpm.d,""
       )
    )</f>
        <v>45579</v>
      </c>
      <c r="I931" s="6">
        <f>_xlfn.LET(
     _xlpm.s, TRIM(Employee_dataset[[#This Row],[Salary]]),
     IF(
        UPPER(_xlpm.s)="N/A","",
        IF(
           ISNUMBER(--_xlpm.s),ROUND(_xlfn.NUMBERVALUE(_xlpm.s),2),""
          )
       )
    )</f>
        <v>79934.83</v>
      </c>
      <c r="J931" t="str">
        <f>TRIM(Employee_dataset[[#This Row],[Email]])</f>
        <v>alice.smith@example.com</v>
      </c>
      <c r="K931" t="str">
        <f>_xlfn.LET(
     _xlpm.p,TRIM(SUBSTITUTE(Employee_dataset[[#This Row],[Phone]],"-","")),
     IF(
        LEN(_xlpm.p)=10,_xlfn.CONCAT("("&amp;LEFT(_xlpm.p,3)&amp;") "&amp;MID(_xlpm.p,4,3)&amp;"-"&amp;RIGHT(_xlpm.p,4),"")
       )
     )</f>
        <v>(369) 362-6893</v>
      </c>
      <c r="L931" t="str">
        <f>TRIM(Employee_dataset[[#This Row],[Performance_Score]])</f>
        <v>Average</v>
      </c>
      <c r="M931" t="str">
        <f>TRIM(Employee_dataset[[#This Row],[Remote_Work]])</f>
        <v>TRUE</v>
      </c>
    </row>
    <row r="932" spans="1:13" x14ac:dyDescent="0.3">
      <c r="A932" t="str">
        <f>TRIM(Employee_dataset[[#This Row],[Employee_ID]])</f>
        <v>EMP1930</v>
      </c>
      <c r="B932" t="str">
        <f>PROPER(TRIM(Employee_dataset[[#This Row],[First_Name]]))</f>
        <v>Alice</v>
      </c>
      <c r="C932" t="str">
        <f>PROPER(TRIM(Employee_dataset[[#This Row],[Last_Name]]))</f>
        <v>Davis</v>
      </c>
      <c r="D932" s="6" t="str">
        <f>_xlfn.LET(
     _xlpm.a, TRIM(Employee_dataset[[#This Row],[Age]]),
     IF(
        _xlpm.a="","",
        IF(
           AND(ISNUMBER(--_xlpm.a),LEN(_xlpm.a)=2),_xlpm.a,""
          )
       )
    )</f>
        <v>35</v>
      </c>
      <c r="E932" t="str">
        <f>TRIM(_xlfn.TEXTBEFORE(Employee_dataset[[#This Row],[Department_Region]],"-"))</f>
        <v>HR</v>
      </c>
      <c r="F932" t="str">
        <f>TRIM(_xlfn.TEXTAFTER(Employee_dataset[[#This Row],[Department_Region]],"-"))</f>
        <v>California</v>
      </c>
      <c r="G932" t="str">
        <f>TRIM(Employee_dataset[[#This Row],[Status]])</f>
        <v>Inactive</v>
      </c>
      <c r="H932" s="1">
        <f>_xlfn.LET(
     _xlpm.d, Employee_dataset[[#This Row],[Join_Date]],
     IF(
        ISNUMBER(_xlpm.d),_xlpm.d,""
       )
    )</f>
        <v>44743</v>
      </c>
      <c r="I932" s="6">
        <f>_xlfn.LET(
     _xlpm.s, TRIM(Employee_dataset[[#This Row],[Salary]]),
     IF(
        UPPER(_xlpm.s)="N/A","",
        IF(
           ISNUMBER(--_xlpm.s),ROUND(_xlfn.NUMBERVALUE(_xlpm.s),2),""
          )
       )
    )</f>
        <v>111201.12</v>
      </c>
      <c r="J932" t="str">
        <f>TRIM(Employee_dataset[[#This Row],[Email]])</f>
        <v>alice.davis@example.com</v>
      </c>
      <c r="K932" t="str">
        <f>_xlfn.LET(
     _xlpm.p,TRIM(SUBSTITUTE(Employee_dataset[[#This Row],[Phone]],"-","")),
     IF(
        LEN(_xlpm.p)=10,_xlfn.CONCAT("("&amp;LEFT(_xlpm.p,3)&amp;") "&amp;MID(_xlpm.p,4,3)&amp;"-"&amp;RIGHT(_xlpm.p,4),"")
       )
     )</f>
        <v>(301) 204-7136</v>
      </c>
      <c r="L932" t="str">
        <f>TRIM(Employee_dataset[[#This Row],[Performance_Score]])</f>
        <v>Poor</v>
      </c>
      <c r="M932" t="str">
        <f>TRIM(Employee_dataset[[#This Row],[Remote_Work]])</f>
        <v>FALSE</v>
      </c>
    </row>
    <row r="933" spans="1:13" x14ac:dyDescent="0.3">
      <c r="A933" t="str">
        <f>TRIM(Employee_dataset[[#This Row],[Employee_ID]])</f>
        <v>EMP1931</v>
      </c>
      <c r="B933" t="str">
        <f>PROPER(TRIM(Employee_dataset[[#This Row],[First_Name]]))</f>
        <v>Heidi</v>
      </c>
      <c r="C933" t="str">
        <f>PROPER(TRIM(Employee_dataset[[#This Row],[Last_Name]]))</f>
        <v>Brown</v>
      </c>
      <c r="D933" s="6" t="str">
        <f>_xlfn.LET(
     _xlpm.a, TRIM(Employee_dataset[[#This Row],[Age]]),
     IF(
        _xlpm.a="","",
        IF(
           AND(ISNUMBER(--_xlpm.a),LEN(_xlpm.a)=2),_xlpm.a,""
          )
       )
    )</f>
        <v>40</v>
      </c>
      <c r="E933" t="str">
        <f>TRIM(_xlfn.TEXTBEFORE(Employee_dataset[[#This Row],[Department_Region]],"-"))</f>
        <v>Finance</v>
      </c>
      <c r="F933" t="str">
        <f>TRIM(_xlfn.TEXTAFTER(Employee_dataset[[#This Row],[Department_Region]],"-"))</f>
        <v>California</v>
      </c>
      <c r="G933" t="str">
        <f>TRIM(Employee_dataset[[#This Row],[Status]])</f>
        <v>Active</v>
      </c>
      <c r="H933" s="1">
        <f>_xlfn.LET(
     _xlpm.d, Employee_dataset[[#This Row],[Join_Date]],
     IF(
        ISNUMBER(_xlpm.d),_xlpm.d,""
       )
    )</f>
        <v>45481</v>
      </c>
      <c r="I933" s="6">
        <f>_xlfn.LET(
     _xlpm.s, TRIM(Employee_dataset[[#This Row],[Salary]]),
     IF(
        UPPER(_xlpm.s)="N/A","",
        IF(
           ISNUMBER(--_xlpm.s),ROUND(_xlfn.NUMBERVALUE(_xlpm.s),2),""
          )
       )
    )</f>
        <v>100960.05</v>
      </c>
      <c r="J933" t="str">
        <f>TRIM(Employee_dataset[[#This Row],[Email]])</f>
        <v>heidi.brown@example.com</v>
      </c>
      <c r="K933" t="str">
        <f>_xlfn.LET(
     _xlpm.p,TRIM(SUBSTITUTE(Employee_dataset[[#This Row],[Phone]],"-","")),
     IF(
        LEN(_xlpm.p)=10,_xlfn.CONCAT("("&amp;LEFT(_xlpm.p,3)&amp;") "&amp;MID(_xlpm.p,4,3)&amp;"-"&amp;RIGHT(_xlpm.p,4),"")
       )
     )</f>
        <v>(271) 175-9573</v>
      </c>
      <c r="L933" t="str">
        <f>TRIM(Employee_dataset[[#This Row],[Performance_Score]])</f>
        <v>Average</v>
      </c>
      <c r="M933" t="str">
        <f>TRIM(Employee_dataset[[#This Row],[Remote_Work]])</f>
        <v>FALSE</v>
      </c>
    </row>
    <row r="934" spans="1:13" x14ac:dyDescent="0.3">
      <c r="A934" t="str">
        <f>TRIM(Employee_dataset[[#This Row],[Employee_ID]])</f>
        <v>EMP1932</v>
      </c>
      <c r="B934" t="str">
        <f>PROPER(TRIM(Employee_dataset[[#This Row],[First_Name]]))</f>
        <v>Grace</v>
      </c>
      <c r="C934" t="str">
        <f>PROPER(TRIM(Employee_dataset[[#This Row],[Last_Name]]))</f>
        <v>Smith</v>
      </c>
      <c r="D934" s="6" t="str">
        <f>_xlfn.LET(
     _xlpm.a, TRIM(Employee_dataset[[#This Row],[Age]]),
     IF(
        _xlpm.a="","",
        IF(
           AND(ISNUMBER(--_xlpm.a),LEN(_xlpm.a)=2),_xlpm.a,""
          )
       )
    )</f>
        <v>30</v>
      </c>
      <c r="E934" t="str">
        <f>TRIM(_xlfn.TEXTBEFORE(Employee_dataset[[#This Row],[Department_Region]],"-"))</f>
        <v>Sales</v>
      </c>
      <c r="F934" t="str">
        <f>TRIM(_xlfn.TEXTAFTER(Employee_dataset[[#This Row],[Department_Region]],"-"))</f>
        <v>Illinois</v>
      </c>
      <c r="G934" t="str">
        <f>TRIM(Employee_dataset[[#This Row],[Status]])</f>
        <v>Active</v>
      </c>
      <c r="H934" s="1">
        <f>_xlfn.LET(
     _xlpm.d, Employee_dataset[[#This Row],[Join_Date]],
     IF(
        ISNUMBER(_xlpm.d),_xlpm.d,""
       )
    )</f>
        <v>44125</v>
      </c>
      <c r="I934" s="6">
        <f>_xlfn.LET(
     _xlpm.s, TRIM(Employee_dataset[[#This Row],[Salary]]),
     IF(
        UPPER(_xlpm.s)="N/A","",
        IF(
           ISNUMBER(--_xlpm.s),ROUND(_xlfn.NUMBERVALUE(_xlpm.s),2),""
          )
       )
    )</f>
        <v>64544.87</v>
      </c>
      <c r="J934" t="str">
        <f>TRIM(Employee_dataset[[#This Row],[Email]])</f>
        <v>grace.smith@example.com</v>
      </c>
      <c r="K934" t="str">
        <f>_xlfn.LET(
     _xlpm.p,TRIM(SUBSTITUTE(Employee_dataset[[#This Row],[Phone]],"-","")),
     IF(
        LEN(_xlpm.p)=10,_xlfn.CONCAT("("&amp;LEFT(_xlpm.p,3)&amp;") "&amp;MID(_xlpm.p,4,3)&amp;"-"&amp;RIGHT(_xlpm.p,4),"")
       )
     )</f>
        <v>(988) 558-2983</v>
      </c>
      <c r="L934" t="str">
        <f>TRIM(Employee_dataset[[#This Row],[Performance_Score]])</f>
        <v>Average</v>
      </c>
      <c r="M934" t="str">
        <f>TRIM(Employee_dataset[[#This Row],[Remote_Work]])</f>
        <v>TRUE</v>
      </c>
    </row>
    <row r="935" spans="1:13" x14ac:dyDescent="0.3">
      <c r="A935" t="str">
        <f>TRIM(Employee_dataset[[#This Row],[Employee_ID]])</f>
        <v>EMP1933</v>
      </c>
      <c r="B935" t="str">
        <f>PROPER(TRIM(Employee_dataset[[#This Row],[First_Name]]))</f>
        <v>Frank</v>
      </c>
      <c r="C935" t="str">
        <f>PROPER(TRIM(Employee_dataset[[#This Row],[Last_Name]]))</f>
        <v>Smith</v>
      </c>
      <c r="D935" s="6" t="str">
        <f>_xlfn.LET(
     _xlpm.a, TRIM(Employee_dataset[[#This Row],[Age]]),
     IF(
        _xlpm.a="","",
        IF(
           AND(ISNUMBER(--_xlpm.a),LEN(_xlpm.a)=2),_xlpm.a,""
          )
       )
    )</f>
        <v>25</v>
      </c>
      <c r="E935" t="str">
        <f>TRIM(_xlfn.TEXTBEFORE(Employee_dataset[[#This Row],[Department_Region]],"-"))</f>
        <v>Sales</v>
      </c>
      <c r="F935" t="str">
        <f>TRIM(_xlfn.TEXTAFTER(Employee_dataset[[#This Row],[Department_Region]],"-"))</f>
        <v>Florida</v>
      </c>
      <c r="G935" t="str">
        <f>TRIM(Employee_dataset[[#This Row],[Status]])</f>
        <v>Active</v>
      </c>
      <c r="H935" s="1">
        <f>_xlfn.LET(
     _xlpm.d, Employee_dataset[[#This Row],[Join_Date]],
     IF(
        ISNUMBER(_xlpm.d),_xlpm.d,""
       )
    )</f>
        <v>43844</v>
      </c>
      <c r="I935" s="6">
        <f>_xlfn.LET(
     _xlpm.s, TRIM(Employee_dataset[[#This Row],[Salary]]),
     IF(
        UPPER(_xlpm.s)="N/A","",
        IF(
           ISNUMBER(--_xlpm.s),ROUND(_xlfn.NUMBERVALUE(_xlpm.s),2),""
          )
       )
    )</f>
        <v>78662.240000000005</v>
      </c>
      <c r="J935" t="str">
        <f>TRIM(Employee_dataset[[#This Row],[Email]])</f>
        <v>frank.smith@example.com</v>
      </c>
      <c r="K935" t="str">
        <f>_xlfn.LET(
     _xlpm.p,TRIM(SUBSTITUTE(Employee_dataset[[#This Row],[Phone]],"-","")),
     IF(
        LEN(_xlpm.p)=10,_xlfn.CONCAT("("&amp;LEFT(_xlpm.p,3)&amp;") "&amp;MID(_xlpm.p,4,3)&amp;"-"&amp;RIGHT(_xlpm.p,4),"")
       )
     )</f>
        <v>(933) 067-4583</v>
      </c>
      <c r="L935" t="str">
        <f>TRIM(Employee_dataset[[#This Row],[Performance_Score]])</f>
        <v>Poor</v>
      </c>
      <c r="M935" t="str">
        <f>TRIM(Employee_dataset[[#This Row],[Remote_Work]])</f>
        <v>TRUE</v>
      </c>
    </row>
    <row r="936" spans="1:13" x14ac:dyDescent="0.3">
      <c r="A936" t="str">
        <f>TRIM(Employee_dataset[[#This Row],[Employee_ID]])</f>
        <v>EMP1934</v>
      </c>
      <c r="B936" t="str">
        <f>PROPER(TRIM(Employee_dataset[[#This Row],[First_Name]]))</f>
        <v>Grace</v>
      </c>
      <c r="C936" t="str">
        <f>PROPER(TRIM(Employee_dataset[[#This Row],[Last_Name]]))</f>
        <v>Garcia</v>
      </c>
      <c r="D936" s="6" t="str">
        <f>_xlfn.LET(
     _xlpm.a, TRIM(Employee_dataset[[#This Row],[Age]]),
     IF(
        _xlpm.a="","",
        IF(
           AND(ISNUMBER(--_xlpm.a),LEN(_xlpm.a)=2),_xlpm.a,""
          )
       )
    )</f>
        <v>30</v>
      </c>
      <c r="E936" t="str">
        <f>TRIM(_xlfn.TEXTBEFORE(Employee_dataset[[#This Row],[Department_Region]],"-"))</f>
        <v>Sales</v>
      </c>
      <c r="F936" t="str">
        <f>TRIM(_xlfn.TEXTAFTER(Employee_dataset[[#This Row],[Department_Region]],"-"))</f>
        <v>Florida</v>
      </c>
      <c r="G936" t="str">
        <f>TRIM(Employee_dataset[[#This Row],[Status]])</f>
        <v>Pending</v>
      </c>
      <c r="H936" s="1">
        <f>_xlfn.LET(
     _xlpm.d, Employee_dataset[[#This Row],[Join_Date]],
     IF(
        ISNUMBER(_xlpm.d),_xlpm.d,""
       )
    )</f>
        <v>44994</v>
      </c>
      <c r="I936" s="6">
        <f>_xlfn.LET(
     _xlpm.s, TRIM(Employee_dataset[[#This Row],[Salary]]),
     IF(
        UPPER(_xlpm.s)="N/A","",
        IF(
           ISNUMBER(--_xlpm.s),ROUND(_xlfn.NUMBERVALUE(_xlpm.s),2),""
          )
       )
    )</f>
        <v>102867.06</v>
      </c>
      <c r="J936" t="str">
        <f>TRIM(Employee_dataset[[#This Row],[Email]])</f>
        <v>grace.garcia@example.com</v>
      </c>
      <c r="K936" t="str">
        <f>_xlfn.LET(
     _xlpm.p,TRIM(SUBSTITUTE(Employee_dataset[[#This Row],[Phone]],"-","")),
     IF(
        LEN(_xlpm.p)=10,_xlfn.CONCAT("("&amp;LEFT(_xlpm.p,3)&amp;") "&amp;MID(_xlpm.p,4,3)&amp;"-"&amp;RIGHT(_xlpm.p,4),"")
       )
     )</f>
        <v>(760) 944-1282</v>
      </c>
      <c r="L936" t="str">
        <f>TRIM(Employee_dataset[[#This Row],[Performance_Score]])</f>
        <v>Average</v>
      </c>
      <c r="M936" t="str">
        <f>TRIM(Employee_dataset[[#This Row],[Remote_Work]])</f>
        <v>TRUE</v>
      </c>
    </row>
    <row r="937" spans="1:13" x14ac:dyDescent="0.3">
      <c r="A937" t="str">
        <f>TRIM(Employee_dataset[[#This Row],[Employee_ID]])</f>
        <v>EMP1935</v>
      </c>
      <c r="B937" t="str">
        <f>PROPER(TRIM(Employee_dataset[[#This Row],[First_Name]]))</f>
        <v>Charlie</v>
      </c>
      <c r="C937" t="str">
        <f>PROPER(TRIM(Employee_dataset[[#This Row],[Last_Name]]))</f>
        <v>Smith</v>
      </c>
      <c r="D937" s="6" t="str">
        <f>_xlfn.LET(
     _xlpm.a, TRIM(Employee_dataset[[#This Row],[Age]]),
     IF(
        _xlpm.a="","",
        IF(
           AND(ISNUMBER(--_xlpm.a),LEN(_xlpm.a)=2),_xlpm.a,""
          )
       )
    )</f>
        <v>40</v>
      </c>
      <c r="E937" t="str">
        <f>TRIM(_xlfn.TEXTBEFORE(Employee_dataset[[#This Row],[Department_Region]],"-"))</f>
        <v>HR</v>
      </c>
      <c r="F937" t="str">
        <f>TRIM(_xlfn.TEXTAFTER(Employee_dataset[[#This Row],[Department_Region]],"-"))</f>
        <v>Illinois</v>
      </c>
      <c r="G937" t="str">
        <f>TRIM(Employee_dataset[[#This Row],[Status]])</f>
        <v>Inactive</v>
      </c>
      <c r="H937" s="1">
        <f>_xlfn.LET(
     _xlpm.d, Employee_dataset[[#This Row],[Join_Date]],
     IF(
        ISNUMBER(_xlpm.d),_xlpm.d,""
       )
    )</f>
        <v>43917</v>
      </c>
      <c r="I937" s="6">
        <f>_xlfn.LET(
     _xlpm.s, TRIM(Employee_dataset[[#This Row],[Salary]]),
     IF(
        UPPER(_xlpm.s)="N/A","",
        IF(
           ISNUMBER(--_xlpm.s),ROUND(_xlfn.NUMBERVALUE(_xlpm.s),2),""
          )
       )
    )</f>
        <v>107595.95</v>
      </c>
      <c r="J937" t="str">
        <f>TRIM(Employee_dataset[[#This Row],[Email]])</f>
        <v>charlie.smith@example.com</v>
      </c>
      <c r="K937" t="str">
        <f>_xlfn.LET(
     _xlpm.p,TRIM(SUBSTITUTE(Employee_dataset[[#This Row],[Phone]],"-","")),
     IF(
        LEN(_xlpm.p)=10,_xlfn.CONCAT("("&amp;LEFT(_xlpm.p,3)&amp;") "&amp;MID(_xlpm.p,4,3)&amp;"-"&amp;RIGHT(_xlpm.p,4),"")
       )
     )</f>
        <v>(337) 218-8565</v>
      </c>
      <c r="L937" t="str">
        <f>TRIM(Employee_dataset[[#This Row],[Performance_Score]])</f>
        <v>Excellent</v>
      </c>
      <c r="M937" t="str">
        <f>TRIM(Employee_dataset[[#This Row],[Remote_Work]])</f>
        <v>TRUE</v>
      </c>
    </row>
    <row r="938" spans="1:13" x14ac:dyDescent="0.3">
      <c r="A938" t="str">
        <f>TRIM(Employee_dataset[[#This Row],[Employee_ID]])</f>
        <v>EMP1936</v>
      </c>
      <c r="B938" t="str">
        <f>PROPER(TRIM(Employee_dataset[[#This Row],[First_Name]]))</f>
        <v>Eva</v>
      </c>
      <c r="C938" t="str">
        <f>PROPER(TRIM(Employee_dataset[[#This Row],[Last_Name]]))</f>
        <v>Miller</v>
      </c>
      <c r="D938" s="6" t="str">
        <f>_xlfn.LET(
     _xlpm.a, TRIM(Employee_dataset[[#This Row],[Age]]),
     IF(
        _xlpm.a="","",
        IF(
           AND(ISNUMBER(--_xlpm.a),LEN(_xlpm.a)=2),_xlpm.a,""
          )
       )
    )</f>
        <v>40</v>
      </c>
      <c r="E938" t="str">
        <f>TRIM(_xlfn.TEXTBEFORE(Employee_dataset[[#This Row],[Department_Region]],"-"))</f>
        <v>Sales</v>
      </c>
      <c r="F938" t="str">
        <f>TRIM(_xlfn.TEXTAFTER(Employee_dataset[[#This Row],[Department_Region]],"-"))</f>
        <v>Nevada</v>
      </c>
      <c r="G938" t="str">
        <f>TRIM(Employee_dataset[[#This Row],[Status]])</f>
        <v>Inactive</v>
      </c>
      <c r="H938" s="1">
        <f>_xlfn.LET(
     _xlpm.d, Employee_dataset[[#This Row],[Join_Date]],
     IF(
        ISNUMBER(_xlpm.d),_xlpm.d,""
       )
    )</f>
        <v>44290</v>
      </c>
      <c r="I938" s="6" t="str">
        <f>_xlfn.LET(
     _xlpm.s, TRIM(Employee_dataset[[#This Row],[Salary]]),
     IF(
        UPPER(_xlpm.s)="N/A","",
        IF(
           ISNUMBER(--_xlpm.s),ROUND(_xlfn.NUMBERVALUE(_xlpm.s),2),""
          )
       )
    )</f>
        <v/>
      </c>
      <c r="J938" t="str">
        <f>TRIM(Employee_dataset[[#This Row],[Email]])</f>
        <v>eva.miller@example.com</v>
      </c>
      <c r="K938" t="str">
        <f>_xlfn.LET(
     _xlpm.p,TRIM(SUBSTITUTE(Employee_dataset[[#This Row],[Phone]],"-","")),
     IF(
        LEN(_xlpm.p)=10,_xlfn.CONCAT("("&amp;LEFT(_xlpm.p,3)&amp;") "&amp;MID(_xlpm.p,4,3)&amp;"-"&amp;RIGHT(_xlpm.p,4),"")
       )
     )</f>
        <v>(695) 413-2970</v>
      </c>
      <c r="L938" t="str">
        <f>TRIM(Employee_dataset[[#This Row],[Performance_Score]])</f>
        <v>Good</v>
      </c>
      <c r="M938" t="str">
        <f>TRIM(Employee_dataset[[#This Row],[Remote_Work]])</f>
        <v>FALSE</v>
      </c>
    </row>
    <row r="939" spans="1:13" x14ac:dyDescent="0.3">
      <c r="A939" t="str">
        <f>TRIM(Employee_dataset[[#This Row],[Employee_ID]])</f>
        <v>EMP1937</v>
      </c>
      <c r="B939" t="str">
        <f>PROPER(TRIM(Employee_dataset[[#This Row],[First_Name]]))</f>
        <v>Eva</v>
      </c>
      <c r="C939" t="str">
        <f>PROPER(TRIM(Employee_dataset[[#This Row],[Last_Name]]))</f>
        <v>Jones</v>
      </c>
      <c r="D939" s="6" t="str">
        <f>_xlfn.LET(
     _xlpm.a, TRIM(Employee_dataset[[#This Row],[Age]]),
     IF(
        _xlpm.a="","",
        IF(
           AND(ISNUMBER(--_xlpm.a),LEN(_xlpm.a)=2),_xlpm.a,""
          )
       )
    )</f>
        <v>35</v>
      </c>
      <c r="E939" t="str">
        <f>TRIM(_xlfn.TEXTBEFORE(Employee_dataset[[#This Row],[Department_Region]],"-"))</f>
        <v>DevOps</v>
      </c>
      <c r="F939" t="str">
        <f>TRIM(_xlfn.TEXTAFTER(Employee_dataset[[#This Row],[Department_Region]],"-"))</f>
        <v>Nevada</v>
      </c>
      <c r="G939" t="str">
        <f>TRIM(Employee_dataset[[#This Row],[Status]])</f>
        <v>Inactive</v>
      </c>
      <c r="H939" s="1">
        <f>_xlfn.LET(
     _xlpm.d, Employee_dataset[[#This Row],[Join_Date]],
     IF(
        ISNUMBER(_xlpm.d),_xlpm.d,""
       )
    )</f>
        <v>44085</v>
      </c>
      <c r="I939" s="6">
        <f>_xlfn.LET(
     _xlpm.s, TRIM(Employee_dataset[[#This Row],[Salary]]),
     IF(
        UPPER(_xlpm.s)="N/A","",
        IF(
           ISNUMBER(--_xlpm.s),ROUND(_xlfn.NUMBERVALUE(_xlpm.s),2),""
          )
       )
    )</f>
        <v>95766.91</v>
      </c>
      <c r="J939" t="str">
        <f>TRIM(Employee_dataset[[#This Row],[Email]])</f>
        <v>eva.jones@example.com</v>
      </c>
      <c r="K939" t="str">
        <f>_xlfn.LET(
     _xlpm.p,TRIM(SUBSTITUTE(Employee_dataset[[#This Row],[Phone]],"-","")),
     IF(
        LEN(_xlpm.p)=10,_xlfn.CONCAT("("&amp;LEFT(_xlpm.p,3)&amp;") "&amp;MID(_xlpm.p,4,3)&amp;"-"&amp;RIGHT(_xlpm.p,4),"")
       )
     )</f>
        <v>(506) 662-6704</v>
      </c>
      <c r="L939" t="str">
        <f>TRIM(Employee_dataset[[#This Row],[Performance_Score]])</f>
        <v>Average</v>
      </c>
      <c r="M939" t="str">
        <f>TRIM(Employee_dataset[[#This Row],[Remote_Work]])</f>
        <v>TRUE</v>
      </c>
    </row>
    <row r="940" spans="1:13" x14ac:dyDescent="0.3">
      <c r="A940" t="str">
        <f>TRIM(Employee_dataset[[#This Row],[Employee_ID]])</f>
        <v>EMP1938</v>
      </c>
      <c r="B940" t="str">
        <f>PROPER(TRIM(Employee_dataset[[#This Row],[First_Name]]))</f>
        <v>Grace</v>
      </c>
      <c r="C940" t="str">
        <f>PROPER(TRIM(Employee_dataset[[#This Row],[Last_Name]]))</f>
        <v>Miller</v>
      </c>
      <c r="D940" s="6" t="str">
        <f>_xlfn.LET(
     _xlpm.a, TRIM(Employee_dataset[[#This Row],[Age]]),
     IF(
        _xlpm.a="","",
        IF(
           AND(ISNUMBER(--_xlpm.a),LEN(_xlpm.a)=2),_xlpm.a,""
          )
       )
    )</f>
        <v>30</v>
      </c>
      <c r="E940" t="str">
        <f>TRIM(_xlfn.TEXTBEFORE(Employee_dataset[[#This Row],[Department_Region]],"-"))</f>
        <v>Finance</v>
      </c>
      <c r="F940" t="str">
        <f>TRIM(_xlfn.TEXTAFTER(Employee_dataset[[#This Row],[Department_Region]],"-"))</f>
        <v>Nevada</v>
      </c>
      <c r="G940" t="str">
        <f>TRIM(Employee_dataset[[#This Row],[Status]])</f>
        <v>Pending</v>
      </c>
      <c r="H940" s="1">
        <f>_xlfn.LET(
     _xlpm.d, Employee_dataset[[#This Row],[Join_Date]],
     IF(
        ISNUMBER(_xlpm.d),_xlpm.d,""
       )
    )</f>
        <v>44332</v>
      </c>
      <c r="I940" s="6">
        <f>_xlfn.LET(
     _xlpm.s, TRIM(Employee_dataset[[#This Row],[Salary]]),
     IF(
        UPPER(_xlpm.s)="N/A","",
        IF(
           ISNUMBER(--_xlpm.s),ROUND(_xlfn.NUMBERVALUE(_xlpm.s),2),""
          )
       )
    )</f>
        <v>51990.98</v>
      </c>
      <c r="J940" t="str">
        <f>TRIM(Employee_dataset[[#This Row],[Email]])</f>
        <v>grace.miller@example.com</v>
      </c>
      <c r="K940" t="str">
        <f>_xlfn.LET(
     _xlpm.p,TRIM(SUBSTITUTE(Employee_dataset[[#This Row],[Phone]],"-","")),
     IF(
        LEN(_xlpm.p)=10,_xlfn.CONCAT("("&amp;LEFT(_xlpm.p,3)&amp;") "&amp;MID(_xlpm.p,4,3)&amp;"-"&amp;RIGHT(_xlpm.p,4),"")
       )
     )</f>
        <v>(514) 377-6935</v>
      </c>
      <c r="L940" t="str">
        <f>TRIM(Employee_dataset[[#This Row],[Performance_Score]])</f>
        <v>Excellent</v>
      </c>
      <c r="M940" t="str">
        <f>TRIM(Employee_dataset[[#This Row],[Remote_Work]])</f>
        <v>TRUE</v>
      </c>
    </row>
    <row r="941" spans="1:13" x14ac:dyDescent="0.3">
      <c r="A941" t="str">
        <f>TRIM(Employee_dataset[[#This Row],[Employee_ID]])</f>
        <v>EMP1939</v>
      </c>
      <c r="B941" t="str">
        <f>PROPER(TRIM(Employee_dataset[[#This Row],[First_Name]]))</f>
        <v>Heidi</v>
      </c>
      <c r="C941" t="str">
        <f>PROPER(TRIM(Employee_dataset[[#This Row],[Last_Name]]))</f>
        <v>Johnson</v>
      </c>
      <c r="D941" s="6" t="str">
        <f>_xlfn.LET(
     _xlpm.a, TRIM(Employee_dataset[[#This Row],[Age]]),
     IF(
        _xlpm.a="","",
        IF(
           AND(ISNUMBER(--_xlpm.a),LEN(_xlpm.a)=2),_xlpm.a,""
          )
       )
    )</f>
        <v>25</v>
      </c>
      <c r="E941" t="str">
        <f>TRIM(_xlfn.TEXTBEFORE(Employee_dataset[[#This Row],[Department_Region]],"-"))</f>
        <v>Sales</v>
      </c>
      <c r="F941" t="str">
        <f>TRIM(_xlfn.TEXTAFTER(Employee_dataset[[#This Row],[Department_Region]],"-"))</f>
        <v>Nevada</v>
      </c>
      <c r="G941" t="str">
        <f>TRIM(Employee_dataset[[#This Row],[Status]])</f>
        <v>Inactive</v>
      </c>
      <c r="H941" s="1">
        <f>_xlfn.LET(
     _xlpm.d, Employee_dataset[[#This Row],[Join_Date]],
     IF(
        ISNUMBER(_xlpm.d),_xlpm.d,""
       )
    )</f>
        <v>45021</v>
      </c>
      <c r="I941" s="6">
        <f>_xlfn.LET(
     _xlpm.s, TRIM(Employee_dataset[[#This Row],[Salary]]),
     IF(
        UPPER(_xlpm.s)="N/A","",
        IF(
           ISNUMBER(--_xlpm.s),ROUND(_xlfn.NUMBERVALUE(_xlpm.s),2),""
          )
       )
    )</f>
        <v>83634.009999999995</v>
      </c>
      <c r="J941" t="str">
        <f>TRIM(Employee_dataset[[#This Row],[Email]])</f>
        <v>heidi.johnson@example.com</v>
      </c>
      <c r="K941" t="str">
        <f>_xlfn.LET(
     _xlpm.p,TRIM(SUBSTITUTE(Employee_dataset[[#This Row],[Phone]],"-","")),
     IF(
        LEN(_xlpm.p)=10,_xlfn.CONCAT("("&amp;LEFT(_xlpm.p,3)&amp;") "&amp;MID(_xlpm.p,4,3)&amp;"-"&amp;RIGHT(_xlpm.p,4),"")
       )
     )</f>
        <v>(634) 392-5294</v>
      </c>
      <c r="L941" t="str">
        <f>TRIM(Employee_dataset[[#This Row],[Performance_Score]])</f>
        <v>Average</v>
      </c>
      <c r="M941" t="str">
        <f>TRIM(Employee_dataset[[#This Row],[Remote_Work]])</f>
        <v>TRUE</v>
      </c>
    </row>
    <row r="942" spans="1:13" x14ac:dyDescent="0.3">
      <c r="A942" t="str">
        <f>TRIM(Employee_dataset[[#This Row],[Employee_ID]])</f>
        <v>EMP1940</v>
      </c>
      <c r="B942" t="str">
        <f>PROPER(TRIM(Employee_dataset[[#This Row],[First_Name]]))</f>
        <v>Eva</v>
      </c>
      <c r="C942" t="str">
        <f>PROPER(TRIM(Employee_dataset[[#This Row],[Last_Name]]))</f>
        <v>Brown</v>
      </c>
      <c r="D942" s="6" t="str">
        <f>_xlfn.LET(
     _xlpm.a, TRIM(Employee_dataset[[#This Row],[Age]]),
     IF(
        _xlpm.a="","",
        IF(
           AND(ISNUMBER(--_xlpm.a),LEN(_xlpm.a)=2),_xlpm.a,""
          )
       )
    )</f>
        <v>40</v>
      </c>
      <c r="E942" t="str">
        <f>TRIM(_xlfn.TEXTBEFORE(Employee_dataset[[#This Row],[Department_Region]],"-"))</f>
        <v>DevOps</v>
      </c>
      <c r="F942" t="str">
        <f>TRIM(_xlfn.TEXTAFTER(Employee_dataset[[#This Row],[Department_Region]],"-"))</f>
        <v>Texas</v>
      </c>
      <c r="G942" t="str">
        <f>TRIM(Employee_dataset[[#This Row],[Status]])</f>
        <v>Inactive</v>
      </c>
      <c r="H942" s="1">
        <f>_xlfn.LET(
     _xlpm.d, Employee_dataset[[#This Row],[Join_Date]],
     IF(
        ISNUMBER(_xlpm.d),_xlpm.d,""
       )
    )</f>
        <v>44880</v>
      </c>
      <c r="I942" s="6" t="str">
        <f>_xlfn.LET(
     _xlpm.s, TRIM(Employee_dataset[[#This Row],[Salary]]),
     IF(
        UPPER(_xlpm.s)="N/A","",
        IF(
           ISNUMBER(--_xlpm.s),ROUND(_xlfn.NUMBERVALUE(_xlpm.s),2),""
          )
       )
    )</f>
        <v/>
      </c>
      <c r="J942" t="str">
        <f>TRIM(Employee_dataset[[#This Row],[Email]])</f>
        <v>eva.brown@example.com</v>
      </c>
      <c r="K942" t="str">
        <f>_xlfn.LET(
     _xlpm.p,TRIM(SUBSTITUTE(Employee_dataset[[#This Row],[Phone]],"-","")),
     IF(
        LEN(_xlpm.p)=10,_xlfn.CONCAT("("&amp;LEFT(_xlpm.p,3)&amp;") "&amp;MID(_xlpm.p,4,3)&amp;"-"&amp;RIGHT(_xlpm.p,4),"")
       )
     )</f>
        <v>(961) 111-0285</v>
      </c>
      <c r="L942" t="str">
        <f>TRIM(Employee_dataset[[#This Row],[Performance_Score]])</f>
        <v>Good</v>
      </c>
      <c r="M942" t="str">
        <f>TRIM(Employee_dataset[[#This Row],[Remote_Work]])</f>
        <v>TRUE</v>
      </c>
    </row>
    <row r="943" spans="1:13" x14ac:dyDescent="0.3">
      <c r="A943" t="str">
        <f>TRIM(Employee_dataset[[#This Row],[Employee_ID]])</f>
        <v>EMP1941</v>
      </c>
      <c r="B943" t="str">
        <f>PROPER(TRIM(Employee_dataset[[#This Row],[First_Name]]))</f>
        <v>Eva</v>
      </c>
      <c r="C943" t="str">
        <f>PROPER(TRIM(Employee_dataset[[#This Row],[Last_Name]]))</f>
        <v>Jones</v>
      </c>
      <c r="D943" s="6" t="str">
        <f>_xlfn.LET(
     _xlpm.a, TRIM(Employee_dataset[[#This Row],[Age]]),
     IF(
        _xlpm.a="","",
        IF(
           AND(ISNUMBER(--_xlpm.a),LEN(_xlpm.a)=2),_xlpm.a,""
          )
       )
    )</f>
        <v>30</v>
      </c>
      <c r="E943" t="str">
        <f>TRIM(_xlfn.TEXTBEFORE(Employee_dataset[[#This Row],[Department_Region]],"-"))</f>
        <v>Sales</v>
      </c>
      <c r="F943" t="str">
        <f>TRIM(_xlfn.TEXTAFTER(Employee_dataset[[#This Row],[Department_Region]],"-"))</f>
        <v>Texas</v>
      </c>
      <c r="G943" t="str">
        <f>TRIM(Employee_dataset[[#This Row],[Status]])</f>
        <v>Active</v>
      </c>
      <c r="H943" s="1">
        <f>_xlfn.LET(
     _xlpm.d, Employee_dataset[[#This Row],[Join_Date]],
     IF(
        ISNUMBER(_xlpm.d),_xlpm.d,""
       )
    )</f>
        <v>44485</v>
      </c>
      <c r="I943" s="6">
        <f>_xlfn.LET(
     _xlpm.s, TRIM(Employee_dataset[[#This Row],[Salary]]),
     IF(
        UPPER(_xlpm.s)="N/A","",
        IF(
           ISNUMBER(--_xlpm.s),ROUND(_xlfn.NUMBERVALUE(_xlpm.s),2),""
          )
       )
    )</f>
        <v>82273.08</v>
      </c>
      <c r="J943" t="str">
        <f>TRIM(Employee_dataset[[#This Row],[Email]])</f>
        <v>eva.jones@example.com</v>
      </c>
      <c r="K943" t="str">
        <f>_xlfn.LET(
     _xlpm.p,TRIM(SUBSTITUTE(Employee_dataset[[#This Row],[Phone]],"-","")),
     IF(
        LEN(_xlpm.p)=10,_xlfn.CONCAT("("&amp;LEFT(_xlpm.p,3)&amp;") "&amp;MID(_xlpm.p,4,3)&amp;"-"&amp;RIGHT(_xlpm.p,4),"")
       )
     )</f>
        <v>(712) 007-2023</v>
      </c>
      <c r="L943" t="str">
        <f>TRIM(Employee_dataset[[#This Row],[Performance_Score]])</f>
        <v>Excellent</v>
      </c>
      <c r="M943" t="str">
        <f>TRIM(Employee_dataset[[#This Row],[Remote_Work]])</f>
        <v>FALSE</v>
      </c>
    </row>
    <row r="944" spans="1:13" x14ac:dyDescent="0.3">
      <c r="A944" t="str">
        <f>TRIM(Employee_dataset[[#This Row],[Employee_ID]])</f>
        <v>EMP1942</v>
      </c>
      <c r="B944" t="str">
        <f>PROPER(TRIM(Employee_dataset[[#This Row],[First_Name]]))</f>
        <v>Frank</v>
      </c>
      <c r="C944" t="str">
        <f>PROPER(TRIM(Employee_dataset[[#This Row],[Last_Name]]))</f>
        <v>Garcia</v>
      </c>
      <c r="D944" s="6" t="str">
        <f>_xlfn.LET(
     _xlpm.a, TRIM(Employee_dataset[[#This Row],[Age]]),
     IF(
        _xlpm.a="","",
        IF(
           AND(ISNUMBER(--_xlpm.a),LEN(_xlpm.a)=2),_xlpm.a,""
          )
       )
    )</f>
        <v>30</v>
      </c>
      <c r="E944" t="str">
        <f>TRIM(_xlfn.TEXTBEFORE(Employee_dataset[[#This Row],[Department_Region]],"-"))</f>
        <v>Cloud Tech</v>
      </c>
      <c r="F944" t="str">
        <f>TRIM(_xlfn.TEXTAFTER(Employee_dataset[[#This Row],[Department_Region]],"-"))</f>
        <v>California</v>
      </c>
      <c r="G944" t="str">
        <f>TRIM(Employee_dataset[[#This Row],[Status]])</f>
        <v>Inactive</v>
      </c>
      <c r="H944" s="1">
        <f>_xlfn.LET(
     _xlpm.d, Employee_dataset[[#This Row],[Join_Date]],
     IF(
        ISNUMBER(_xlpm.d),_xlpm.d,""
       )
    )</f>
        <v>44690</v>
      </c>
      <c r="I944" s="6">
        <f>_xlfn.LET(
     _xlpm.s, TRIM(Employee_dataset[[#This Row],[Salary]]),
     IF(
        UPPER(_xlpm.s)="N/A","",
        IF(
           ISNUMBER(--_xlpm.s),ROUND(_xlfn.NUMBERVALUE(_xlpm.s),2),""
          )
       )
    )</f>
        <v>94537.3</v>
      </c>
      <c r="J944" t="str">
        <f>TRIM(Employee_dataset[[#This Row],[Email]])</f>
        <v>frank.garcia@example.com</v>
      </c>
      <c r="K944" t="str">
        <f>_xlfn.LET(
     _xlpm.p,TRIM(SUBSTITUTE(Employee_dataset[[#This Row],[Phone]],"-","")),
     IF(
        LEN(_xlpm.p)=10,_xlfn.CONCAT("("&amp;LEFT(_xlpm.p,3)&amp;") "&amp;MID(_xlpm.p,4,3)&amp;"-"&amp;RIGHT(_xlpm.p,4),"")
       )
     )</f>
        <v>(559) 102-4509</v>
      </c>
      <c r="L944" t="str">
        <f>TRIM(Employee_dataset[[#This Row],[Performance_Score]])</f>
        <v>Good</v>
      </c>
      <c r="M944" t="str">
        <f>TRIM(Employee_dataset[[#This Row],[Remote_Work]])</f>
        <v>TRUE</v>
      </c>
    </row>
    <row r="945" spans="1:13" x14ac:dyDescent="0.3">
      <c r="A945" t="str">
        <f>TRIM(Employee_dataset[[#This Row],[Employee_ID]])</f>
        <v>EMP1943</v>
      </c>
      <c r="B945" t="str">
        <f>PROPER(TRIM(Employee_dataset[[#This Row],[First_Name]]))</f>
        <v>Alice</v>
      </c>
      <c r="C945" t="str">
        <f>PROPER(TRIM(Employee_dataset[[#This Row],[Last_Name]]))</f>
        <v>Jones</v>
      </c>
      <c r="D945" s="6" t="str">
        <f>_xlfn.LET(
     _xlpm.a, TRIM(Employee_dataset[[#This Row],[Age]]),
     IF(
        _xlpm.a="","",
        IF(
           AND(ISNUMBER(--_xlpm.a),LEN(_xlpm.a)=2),_xlpm.a,""
          )
       )
    )</f>
        <v>35</v>
      </c>
      <c r="E945" t="str">
        <f>TRIM(_xlfn.TEXTBEFORE(Employee_dataset[[#This Row],[Department_Region]],"-"))</f>
        <v>HR</v>
      </c>
      <c r="F945" t="str">
        <f>TRIM(_xlfn.TEXTAFTER(Employee_dataset[[#This Row],[Department_Region]],"-"))</f>
        <v>Illinois</v>
      </c>
      <c r="G945" t="str">
        <f>TRIM(Employee_dataset[[#This Row],[Status]])</f>
        <v>Pending</v>
      </c>
      <c r="H945" s="1">
        <f>_xlfn.LET(
     _xlpm.d, Employee_dataset[[#This Row],[Join_Date]],
     IF(
        ISNUMBER(_xlpm.d),_xlpm.d,""
       )
    )</f>
        <v>43988</v>
      </c>
      <c r="I945" s="6">
        <f>_xlfn.LET(
     _xlpm.s, TRIM(Employee_dataset[[#This Row],[Salary]]),
     IF(
        UPPER(_xlpm.s)="N/A","",
        IF(
           ISNUMBER(--_xlpm.s),ROUND(_xlfn.NUMBERVALUE(_xlpm.s),2),""
          )
       )
    )</f>
        <v>85970.65</v>
      </c>
      <c r="J945" t="str">
        <f>TRIM(Employee_dataset[[#This Row],[Email]])</f>
        <v>alice.jones@example.com</v>
      </c>
      <c r="K945" t="str">
        <f>_xlfn.LET(
     _xlpm.p,TRIM(SUBSTITUTE(Employee_dataset[[#This Row],[Phone]],"-","")),
     IF(
        LEN(_xlpm.p)=10,_xlfn.CONCAT("("&amp;LEFT(_xlpm.p,3)&amp;") "&amp;MID(_xlpm.p,4,3)&amp;"-"&amp;RIGHT(_xlpm.p,4),"")
       )
     )</f>
        <v>(910) 903-2670</v>
      </c>
      <c r="L945" t="str">
        <f>TRIM(Employee_dataset[[#This Row],[Performance_Score]])</f>
        <v>Good</v>
      </c>
      <c r="M945" t="str">
        <f>TRIM(Employee_dataset[[#This Row],[Remote_Work]])</f>
        <v>TRUE</v>
      </c>
    </row>
    <row r="946" spans="1:13" x14ac:dyDescent="0.3">
      <c r="A946" t="str">
        <f>TRIM(Employee_dataset[[#This Row],[Employee_ID]])</f>
        <v>EMP1944</v>
      </c>
      <c r="B946" t="str">
        <f>PROPER(TRIM(Employee_dataset[[#This Row],[First_Name]]))</f>
        <v>Charlie</v>
      </c>
      <c r="C946" t="str">
        <f>PROPER(TRIM(Employee_dataset[[#This Row],[Last_Name]]))</f>
        <v>Jones</v>
      </c>
      <c r="D946" s="6" t="str">
        <f>_xlfn.LET(
     _xlpm.a, TRIM(Employee_dataset[[#This Row],[Age]]),
     IF(
        _xlpm.a="","",
        IF(
           AND(ISNUMBER(--_xlpm.a),LEN(_xlpm.a)=2),_xlpm.a,""
          )
       )
    )</f>
        <v>25</v>
      </c>
      <c r="E946" t="str">
        <f>TRIM(_xlfn.TEXTBEFORE(Employee_dataset[[#This Row],[Department_Region]],"-"))</f>
        <v>Sales</v>
      </c>
      <c r="F946" t="str">
        <f>TRIM(_xlfn.TEXTAFTER(Employee_dataset[[#This Row],[Department_Region]],"-"))</f>
        <v>New York</v>
      </c>
      <c r="G946" t="str">
        <f>TRIM(Employee_dataset[[#This Row],[Status]])</f>
        <v>Pending</v>
      </c>
      <c r="H946" s="1">
        <f>_xlfn.LET(
     _xlpm.d, Employee_dataset[[#This Row],[Join_Date]],
     IF(
        ISNUMBER(_xlpm.d),_xlpm.d,""
       )
    )</f>
        <v>44491</v>
      </c>
      <c r="I946" s="6">
        <f>_xlfn.LET(
     _xlpm.s, TRIM(Employee_dataset[[#This Row],[Salary]]),
     IF(
        UPPER(_xlpm.s)="N/A","",
        IF(
           ISNUMBER(--_xlpm.s),ROUND(_xlfn.NUMBERVALUE(_xlpm.s),2),""
          )
       )
    )</f>
        <v>111071.02</v>
      </c>
      <c r="J946" t="str">
        <f>TRIM(Employee_dataset[[#This Row],[Email]])</f>
        <v>charlie.jones@example.com</v>
      </c>
      <c r="K946" t="str">
        <f>_xlfn.LET(
     _xlpm.p,TRIM(SUBSTITUTE(Employee_dataset[[#This Row],[Phone]],"-","")),
     IF(
        LEN(_xlpm.p)=10,_xlfn.CONCAT("("&amp;LEFT(_xlpm.p,3)&amp;") "&amp;MID(_xlpm.p,4,3)&amp;"-"&amp;RIGHT(_xlpm.p,4),"")
       )
     )</f>
        <v>(494) 981-9420</v>
      </c>
      <c r="L946" t="str">
        <f>TRIM(Employee_dataset[[#This Row],[Performance_Score]])</f>
        <v>Excellent</v>
      </c>
      <c r="M946" t="str">
        <f>TRIM(Employee_dataset[[#This Row],[Remote_Work]])</f>
        <v>FALSE</v>
      </c>
    </row>
    <row r="947" spans="1:13" x14ac:dyDescent="0.3">
      <c r="A947" t="str">
        <f>TRIM(Employee_dataset[[#This Row],[Employee_ID]])</f>
        <v>EMP1945</v>
      </c>
      <c r="B947" t="str">
        <f>PROPER(TRIM(Employee_dataset[[#This Row],[First_Name]]))</f>
        <v>Eva</v>
      </c>
      <c r="C947" t="str">
        <f>PROPER(TRIM(Employee_dataset[[#This Row],[Last_Name]]))</f>
        <v>Davis</v>
      </c>
      <c r="D947" s="6" t="str">
        <f>_xlfn.LET(
     _xlpm.a, TRIM(Employee_dataset[[#This Row],[Age]]),
     IF(
        _xlpm.a="","",
        IF(
           AND(ISNUMBER(--_xlpm.a),LEN(_xlpm.a)=2),_xlpm.a,""
          )
       )
    )</f>
        <v>35</v>
      </c>
      <c r="E947" t="str">
        <f>TRIM(_xlfn.TEXTBEFORE(Employee_dataset[[#This Row],[Department_Region]],"-"))</f>
        <v>DevOps</v>
      </c>
      <c r="F947" t="str">
        <f>TRIM(_xlfn.TEXTAFTER(Employee_dataset[[#This Row],[Department_Region]],"-"))</f>
        <v>Nevada</v>
      </c>
      <c r="G947" t="str">
        <f>TRIM(Employee_dataset[[#This Row],[Status]])</f>
        <v>Pending</v>
      </c>
      <c r="H947" s="1">
        <f>_xlfn.LET(
     _xlpm.d, Employee_dataset[[#This Row],[Join_Date]],
     IF(
        ISNUMBER(_xlpm.d),_xlpm.d,""
       )
    )</f>
        <v>44573</v>
      </c>
      <c r="I947" s="6">
        <f>_xlfn.LET(
     _xlpm.s, TRIM(Employee_dataset[[#This Row],[Salary]]),
     IF(
        UPPER(_xlpm.s)="N/A","",
        IF(
           ISNUMBER(--_xlpm.s),ROUND(_xlfn.NUMBERVALUE(_xlpm.s),2),""
          )
       )
    )</f>
        <v>56708.34</v>
      </c>
      <c r="J947" t="str">
        <f>TRIM(Employee_dataset[[#This Row],[Email]])</f>
        <v>eva.davis@example.com</v>
      </c>
      <c r="K947" t="str">
        <f>_xlfn.LET(
     _xlpm.p,TRIM(SUBSTITUTE(Employee_dataset[[#This Row],[Phone]],"-","")),
     IF(
        LEN(_xlpm.p)=10,_xlfn.CONCAT("("&amp;LEFT(_xlpm.p,3)&amp;") "&amp;MID(_xlpm.p,4,3)&amp;"-"&amp;RIGHT(_xlpm.p,4),"")
       )
     )</f>
        <v>(794) 281-7933</v>
      </c>
      <c r="L947" t="str">
        <f>TRIM(Employee_dataset[[#This Row],[Performance_Score]])</f>
        <v>Excellent</v>
      </c>
      <c r="M947" t="str">
        <f>TRIM(Employee_dataset[[#This Row],[Remote_Work]])</f>
        <v>FALSE</v>
      </c>
    </row>
    <row r="948" spans="1:13" x14ac:dyDescent="0.3">
      <c r="A948" t="str">
        <f>TRIM(Employee_dataset[[#This Row],[Employee_ID]])</f>
        <v>EMP1946</v>
      </c>
      <c r="B948" t="str">
        <f>PROPER(TRIM(Employee_dataset[[#This Row],[First_Name]]))</f>
        <v>Charlie</v>
      </c>
      <c r="C948" t="str">
        <f>PROPER(TRIM(Employee_dataset[[#This Row],[Last_Name]]))</f>
        <v>Jones</v>
      </c>
      <c r="D948" s="6" t="str">
        <f>_xlfn.LET(
     _xlpm.a, TRIM(Employee_dataset[[#This Row],[Age]]),
     IF(
        _xlpm.a="","",
        IF(
           AND(ISNUMBER(--_xlpm.a),LEN(_xlpm.a)=2),_xlpm.a,""
          )
       )
    )</f>
        <v>25</v>
      </c>
      <c r="E948" t="str">
        <f>TRIM(_xlfn.TEXTBEFORE(Employee_dataset[[#This Row],[Department_Region]],"-"))</f>
        <v>Admin</v>
      </c>
      <c r="F948" t="str">
        <f>TRIM(_xlfn.TEXTAFTER(Employee_dataset[[#This Row],[Department_Region]],"-"))</f>
        <v>Illinois</v>
      </c>
      <c r="G948" t="str">
        <f>TRIM(Employee_dataset[[#This Row],[Status]])</f>
        <v>Inactive</v>
      </c>
      <c r="H948" s="1">
        <f>_xlfn.LET(
     _xlpm.d, Employee_dataset[[#This Row],[Join_Date]],
     IF(
        ISNUMBER(_xlpm.d),_xlpm.d,""
       )
    )</f>
        <v>44594</v>
      </c>
      <c r="I948" s="6">
        <f>_xlfn.LET(
     _xlpm.s, TRIM(Employee_dataset[[#This Row],[Salary]]),
     IF(
        UPPER(_xlpm.s)="N/A","",
        IF(
           ISNUMBER(--_xlpm.s),ROUND(_xlfn.NUMBERVALUE(_xlpm.s),2),""
          )
       )
    )</f>
        <v>104516.55</v>
      </c>
      <c r="J948" t="str">
        <f>TRIM(Employee_dataset[[#This Row],[Email]])</f>
        <v>charlie.jones@example.com</v>
      </c>
      <c r="K948" t="b">
        <f>_xlfn.LET(
     _xlpm.p,TRIM(SUBSTITUTE(Employee_dataset[[#This Row],[Phone]],"-","")),
     IF(
        LEN(_xlpm.p)=10,_xlfn.CONCAT("("&amp;LEFT(_xlpm.p,3)&amp;") "&amp;MID(_xlpm.p,4,3)&amp;"-"&amp;RIGHT(_xlpm.p,4),"")
       )
     )</f>
        <v>0</v>
      </c>
      <c r="L948" t="str">
        <f>TRIM(Employee_dataset[[#This Row],[Performance_Score]])</f>
        <v>Excellent</v>
      </c>
      <c r="M948" t="str">
        <f>TRIM(Employee_dataset[[#This Row],[Remote_Work]])</f>
        <v>FALSE</v>
      </c>
    </row>
    <row r="949" spans="1:13" x14ac:dyDescent="0.3">
      <c r="A949" t="str">
        <f>TRIM(Employee_dataset[[#This Row],[Employee_ID]])</f>
        <v>EMP1947</v>
      </c>
      <c r="B949" t="str">
        <f>PROPER(TRIM(Employee_dataset[[#This Row],[First_Name]]))</f>
        <v>Charlie</v>
      </c>
      <c r="C949" t="str">
        <f>PROPER(TRIM(Employee_dataset[[#This Row],[Last_Name]]))</f>
        <v>Garcia</v>
      </c>
      <c r="D949" s="6" t="str">
        <f>_xlfn.LET(
     _xlpm.a, TRIM(Employee_dataset[[#This Row],[Age]]),
     IF(
        _xlpm.a="","",
        IF(
           AND(ISNUMBER(--_xlpm.a),LEN(_xlpm.a)=2),_xlpm.a,""
          )
       )
    )</f>
        <v>25</v>
      </c>
      <c r="E949" t="str">
        <f>TRIM(_xlfn.TEXTBEFORE(Employee_dataset[[#This Row],[Department_Region]],"-"))</f>
        <v>Admin</v>
      </c>
      <c r="F949" t="str">
        <f>TRIM(_xlfn.TEXTAFTER(Employee_dataset[[#This Row],[Department_Region]],"-"))</f>
        <v>New York</v>
      </c>
      <c r="G949" t="str">
        <f>TRIM(Employee_dataset[[#This Row],[Status]])</f>
        <v>Pending</v>
      </c>
      <c r="H949" s="1">
        <f>_xlfn.LET(
     _xlpm.d, Employee_dataset[[#This Row],[Join_Date]],
     IF(
        ISNUMBER(_xlpm.d),_xlpm.d,""
       )
    )</f>
        <v>44283</v>
      </c>
      <c r="I949" s="6">
        <f>_xlfn.LET(
     _xlpm.s, TRIM(Employee_dataset[[#This Row],[Salary]]),
     IF(
        UPPER(_xlpm.s)="N/A","",
        IF(
           ISNUMBER(--_xlpm.s),ROUND(_xlfn.NUMBERVALUE(_xlpm.s),2),""
          )
       )
    )</f>
        <v>108210.15</v>
      </c>
      <c r="J949" t="str">
        <f>TRIM(Employee_dataset[[#This Row],[Email]])</f>
        <v>charlie.garcia@example.com</v>
      </c>
      <c r="K949" t="str">
        <f>_xlfn.LET(
     _xlpm.p,TRIM(SUBSTITUTE(Employee_dataset[[#This Row],[Phone]],"-","")),
     IF(
        LEN(_xlpm.p)=10,_xlfn.CONCAT("("&amp;LEFT(_xlpm.p,3)&amp;") "&amp;MID(_xlpm.p,4,3)&amp;"-"&amp;RIGHT(_xlpm.p,4),"")
       )
     )</f>
        <v>(663) 453-3721</v>
      </c>
      <c r="L949" t="str">
        <f>TRIM(Employee_dataset[[#This Row],[Performance_Score]])</f>
        <v>Poor</v>
      </c>
      <c r="M949" t="str">
        <f>TRIM(Employee_dataset[[#This Row],[Remote_Work]])</f>
        <v>TRUE</v>
      </c>
    </row>
    <row r="950" spans="1:13" x14ac:dyDescent="0.3">
      <c r="A950" t="str">
        <f>TRIM(Employee_dataset[[#This Row],[Employee_ID]])</f>
        <v>EMP1948</v>
      </c>
      <c r="B950" t="str">
        <f>PROPER(TRIM(Employee_dataset[[#This Row],[First_Name]]))</f>
        <v>Bob</v>
      </c>
      <c r="C950" t="str">
        <f>PROPER(TRIM(Employee_dataset[[#This Row],[Last_Name]]))</f>
        <v>Miller</v>
      </c>
      <c r="D950" s="6" t="str">
        <f>_xlfn.LET(
     _xlpm.a, TRIM(Employee_dataset[[#This Row],[Age]]),
     IF(
        _xlpm.a="","",
        IF(
           AND(ISNUMBER(--_xlpm.a),LEN(_xlpm.a)=2),_xlpm.a,""
          )
       )
    )</f>
        <v>40</v>
      </c>
      <c r="E950" t="str">
        <f>TRIM(_xlfn.TEXTBEFORE(Employee_dataset[[#This Row],[Department_Region]],"-"))</f>
        <v>Finance</v>
      </c>
      <c r="F950" t="str">
        <f>TRIM(_xlfn.TEXTAFTER(Employee_dataset[[#This Row],[Department_Region]],"-"))</f>
        <v>Texas</v>
      </c>
      <c r="G950" t="str">
        <f>TRIM(Employee_dataset[[#This Row],[Status]])</f>
        <v>Active</v>
      </c>
      <c r="H950" s="1">
        <f>_xlfn.LET(
     _xlpm.d, Employee_dataset[[#This Row],[Join_Date]],
     IF(
        ISNUMBER(_xlpm.d),_xlpm.d,""
       )
    )</f>
        <v>45507</v>
      </c>
      <c r="I950" s="6" t="str">
        <f>_xlfn.LET(
     _xlpm.s, TRIM(Employee_dataset[[#This Row],[Salary]]),
     IF(
        UPPER(_xlpm.s)="N/A","",
        IF(
           ISNUMBER(--_xlpm.s),ROUND(_xlfn.NUMBERVALUE(_xlpm.s),2),""
          )
       )
    )</f>
        <v/>
      </c>
      <c r="J950" t="str">
        <f>TRIM(Employee_dataset[[#This Row],[Email]])</f>
        <v>bob.miller@example.com</v>
      </c>
      <c r="K950" t="b">
        <f>_xlfn.LET(
     _xlpm.p,TRIM(SUBSTITUTE(Employee_dataset[[#This Row],[Phone]],"-","")),
     IF(
        LEN(_xlpm.p)=10,_xlfn.CONCAT("("&amp;LEFT(_xlpm.p,3)&amp;") "&amp;MID(_xlpm.p,4,3)&amp;"-"&amp;RIGHT(_xlpm.p,4),"")
       )
     )</f>
        <v>0</v>
      </c>
      <c r="L950" t="str">
        <f>TRIM(Employee_dataset[[#This Row],[Performance_Score]])</f>
        <v>Excellent</v>
      </c>
      <c r="M950" t="str">
        <f>TRIM(Employee_dataset[[#This Row],[Remote_Work]])</f>
        <v>TRUE</v>
      </c>
    </row>
    <row r="951" spans="1:13" x14ac:dyDescent="0.3">
      <c r="A951" t="str">
        <f>TRIM(Employee_dataset[[#This Row],[Employee_ID]])</f>
        <v>EMP1949</v>
      </c>
      <c r="B951" t="str">
        <f>PROPER(TRIM(Employee_dataset[[#This Row],[First_Name]]))</f>
        <v>Frank</v>
      </c>
      <c r="C951" t="str">
        <f>PROPER(TRIM(Employee_dataset[[#This Row],[Last_Name]]))</f>
        <v>Jones</v>
      </c>
      <c r="D951" s="6" t="str">
        <f>_xlfn.LET(
     _xlpm.a, TRIM(Employee_dataset[[#This Row],[Age]]),
     IF(
        _xlpm.a="","",
        IF(
           AND(ISNUMBER(--_xlpm.a),LEN(_xlpm.a)=2),_xlpm.a,""
          )
       )
    )</f>
        <v>35</v>
      </c>
      <c r="E951" t="str">
        <f>TRIM(_xlfn.TEXTBEFORE(Employee_dataset[[#This Row],[Department_Region]],"-"))</f>
        <v>DevOps</v>
      </c>
      <c r="F951" t="str">
        <f>TRIM(_xlfn.TEXTAFTER(Employee_dataset[[#This Row],[Department_Region]],"-"))</f>
        <v>California</v>
      </c>
      <c r="G951" t="str">
        <f>TRIM(Employee_dataset[[#This Row],[Status]])</f>
        <v>Active</v>
      </c>
      <c r="H951" s="1">
        <f>_xlfn.LET(
     _xlpm.d, Employee_dataset[[#This Row],[Join_Date]],
     IF(
        ISNUMBER(_xlpm.d),_xlpm.d,""
       )
    )</f>
        <v>45504</v>
      </c>
      <c r="I951" s="6">
        <f>_xlfn.LET(
     _xlpm.s, TRIM(Employee_dataset[[#This Row],[Salary]]),
     IF(
        UPPER(_xlpm.s)="N/A","",
        IF(
           ISNUMBER(--_xlpm.s),ROUND(_xlfn.NUMBERVALUE(_xlpm.s),2),""
          )
       )
    )</f>
        <v>80935.649999999994</v>
      </c>
      <c r="J951" t="str">
        <f>TRIM(Employee_dataset[[#This Row],[Email]])</f>
        <v>frank.jones@example.com</v>
      </c>
      <c r="K951" t="str">
        <f>_xlfn.LET(
     _xlpm.p,TRIM(SUBSTITUTE(Employee_dataset[[#This Row],[Phone]],"-","")),
     IF(
        LEN(_xlpm.p)=10,_xlfn.CONCAT("("&amp;LEFT(_xlpm.p,3)&amp;") "&amp;MID(_xlpm.p,4,3)&amp;"-"&amp;RIGHT(_xlpm.p,4),"")
       )
     )</f>
        <v>(145) 593-7660</v>
      </c>
      <c r="L951" t="str">
        <f>TRIM(Employee_dataset[[#This Row],[Performance_Score]])</f>
        <v>Excellent</v>
      </c>
      <c r="M951" t="str">
        <f>TRIM(Employee_dataset[[#This Row],[Remote_Work]])</f>
        <v>FALSE</v>
      </c>
    </row>
    <row r="952" spans="1:13" x14ac:dyDescent="0.3">
      <c r="A952" t="str">
        <f>TRIM(Employee_dataset[[#This Row],[Employee_ID]])</f>
        <v>EMP1950</v>
      </c>
      <c r="B952" t="str">
        <f>PROPER(TRIM(Employee_dataset[[#This Row],[First_Name]]))</f>
        <v>Frank</v>
      </c>
      <c r="C952" t="str">
        <f>PROPER(TRIM(Employee_dataset[[#This Row],[Last_Name]]))</f>
        <v>Williams</v>
      </c>
      <c r="D952" s="6" t="str">
        <f>_xlfn.LET(
     _xlpm.a, TRIM(Employee_dataset[[#This Row],[Age]]),
     IF(
        _xlpm.a="","",
        IF(
           AND(ISNUMBER(--_xlpm.a),LEN(_xlpm.a)=2),_xlpm.a,""
          )
       )
    )</f>
        <v>30</v>
      </c>
      <c r="E952" t="str">
        <f>TRIM(_xlfn.TEXTBEFORE(Employee_dataset[[#This Row],[Department_Region]],"-"))</f>
        <v>DevOps</v>
      </c>
      <c r="F952" t="str">
        <f>TRIM(_xlfn.TEXTAFTER(Employee_dataset[[#This Row],[Department_Region]],"-"))</f>
        <v>California</v>
      </c>
      <c r="G952" t="str">
        <f>TRIM(Employee_dataset[[#This Row],[Status]])</f>
        <v>Active</v>
      </c>
      <c r="H952" s="1">
        <f>_xlfn.LET(
     _xlpm.d, Employee_dataset[[#This Row],[Join_Date]],
     IF(
        ISNUMBER(_xlpm.d),_xlpm.d,""
       )
    )</f>
        <v>45355</v>
      </c>
      <c r="I952" s="6">
        <f>_xlfn.LET(
     _xlpm.s, TRIM(Employee_dataset[[#This Row],[Salary]]),
     IF(
        UPPER(_xlpm.s)="N/A","",
        IF(
           ISNUMBER(--_xlpm.s),ROUND(_xlfn.NUMBERVALUE(_xlpm.s),2),""
          )
       )
    )</f>
        <v>107020.19</v>
      </c>
      <c r="J952" t="str">
        <f>TRIM(Employee_dataset[[#This Row],[Email]])</f>
        <v>frank.williams@example.com</v>
      </c>
      <c r="K952" t="str">
        <f>_xlfn.LET(
     _xlpm.p,TRIM(SUBSTITUTE(Employee_dataset[[#This Row],[Phone]],"-","")),
     IF(
        LEN(_xlpm.p)=10,_xlfn.CONCAT("("&amp;LEFT(_xlpm.p,3)&amp;") "&amp;MID(_xlpm.p,4,3)&amp;"-"&amp;RIGHT(_xlpm.p,4),"")
       )
     )</f>
        <v>(894) 370-5262</v>
      </c>
      <c r="L952" t="str">
        <f>TRIM(Employee_dataset[[#This Row],[Performance_Score]])</f>
        <v>Excellent</v>
      </c>
      <c r="M952" t="str">
        <f>TRIM(Employee_dataset[[#This Row],[Remote_Work]])</f>
        <v>FALSE</v>
      </c>
    </row>
    <row r="953" spans="1:13" x14ac:dyDescent="0.3">
      <c r="A953" t="str">
        <f>TRIM(Employee_dataset[[#This Row],[Employee_ID]])</f>
        <v>EMP1951</v>
      </c>
      <c r="B953" t="str">
        <f>PROPER(TRIM(Employee_dataset[[#This Row],[First_Name]]))</f>
        <v>Charlie</v>
      </c>
      <c r="C953" t="str">
        <f>PROPER(TRIM(Employee_dataset[[#This Row],[Last_Name]]))</f>
        <v>Brown</v>
      </c>
      <c r="D953" s="6" t="str">
        <f>_xlfn.LET(
     _xlpm.a, TRIM(Employee_dataset[[#This Row],[Age]]),
     IF(
        _xlpm.a="","",
        IF(
           AND(ISNUMBER(--_xlpm.a),LEN(_xlpm.a)=2),_xlpm.a,""
          )
       )
    )</f>
        <v>30</v>
      </c>
      <c r="E953" t="str">
        <f>TRIM(_xlfn.TEXTBEFORE(Employee_dataset[[#This Row],[Department_Region]],"-"))</f>
        <v>HR</v>
      </c>
      <c r="F953" t="str">
        <f>TRIM(_xlfn.TEXTAFTER(Employee_dataset[[#This Row],[Department_Region]],"-"))</f>
        <v>New York</v>
      </c>
      <c r="G953" t="str">
        <f>TRIM(Employee_dataset[[#This Row],[Status]])</f>
        <v>Active</v>
      </c>
      <c r="H953" s="1">
        <f>_xlfn.LET(
     _xlpm.d, Employee_dataset[[#This Row],[Join_Date]],
     IF(
        ISNUMBER(_xlpm.d),_xlpm.d,""
       )
    )</f>
        <v>44097</v>
      </c>
      <c r="I953" s="6">
        <f>_xlfn.LET(
     _xlpm.s, TRIM(Employee_dataset[[#This Row],[Salary]]),
     IF(
        UPPER(_xlpm.s)="N/A","",
        IF(
           ISNUMBER(--_xlpm.s),ROUND(_xlfn.NUMBERVALUE(_xlpm.s),2),""
          )
       )
    )</f>
        <v>118677.67</v>
      </c>
      <c r="J953" t="str">
        <f>TRIM(Employee_dataset[[#This Row],[Email]])</f>
        <v>charlie.brown@example.com</v>
      </c>
      <c r="K953" t="str">
        <f>_xlfn.LET(
     _xlpm.p,TRIM(SUBSTITUTE(Employee_dataset[[#This Row],[Phone]],"-","")),
     IF(
        LEN(_xlpm.p)=10,_xlfn.CONCAT("("&amp;LEFT(_xlpm.p,3)&amp;") "&amp;MID(_xlpm.p,4,3)&amp;"-"&amp;RIGHT(_xlpm.p,4),"")
       )
     )</f>
        <v>(510) 046-2775</v>
      </c>
      <c r="L953" t="str">
        <f>TRIM(Employee_dataset[[#This Row],[Performance_Score]])</f>
        <v>Excellent</v>
      </c>
      <c r="M953" t="str">
        <f>TRIM(Employee_dataset[[#This Row],[Remote_Work]])</f>
        <v>FALSE</v>
      </c>
    </row>
    <row r="954" spans="1:13" x14ac:dyDescent="0.3">
      <c r="A954" t="str">
        <f>TRIM(Employee_dataset[[#This Row],[Employee_ID]])</f>
        <v>EMP1952</v>
      </c>
      <c r="B954" t="str">
        <f>PROPER(TRIM(Employee_dataset[[#This Row],[First_Name]]))</f>
        <v>Bob</v>
      </c>
      <c r="C954" t="str">
        <f>PROPER(TRIM(Employee_dataset[[#This Row],[Last_Name]]))</f>
        <v>Jones</v>
      </c>
      <c r="D954" s="6" t="str">
        <f>_xlfn.LET(
     _xlpm.a, TRIM(Employee_dataset[[#This Row],[Age]]),
     IF(
        _xlpm.a="","",
        IF(
           AND(ISNUMBER(--_xlpm.a),LEN(_xlpm.a)=2),_xlpm.a,""
          )
       )
    )</f>
        <v>25</v>
      </c>
      <c r="E954" t="str">
        <f>TRIM(_xlfn.TEXTBEFORE(Employee_dataset[[#This Row],[Department_Region]],"-"))</f>
        <v>Cloud Tech</v>
      </c>
      <c r="F954" t="str">
        <f>TRIM(_xlfn.TEXTAFTER(Employee_dataset[[#This Row],[Department_Region]],"-"))</f>
        <v>Florida</v>
      </c>
      <c r="G954" t="str">
        <f>TRIM(Employee_dataset[[#This Row],[Status]])</f>
        <v>Inactive</v>
      </c>
      <c r="H954" s="1">
        <f>_xlfn.LET(
     _xlpm.d, Employee_dataset[[#This Row],[Join_Date]],
     IF(
        ISNUMBER(_xlpm.d),_xlpm.d,""
       )
    )</f>
        <v>43918</v>
      </c>
      <c r="I954" s="6">
        <f>_xlfn.LET(
     _xlpm.s, TRIM(Employee_dataset[[#This Row],[Salary]]),
     IF(
        UPPER(_xlpm.s)="N/A","",
        IF(
           ISNUMBER(--_xlpm.s),ROUND(_xlfn.NUMBERVALUE(_xlpm.s),2),""
          )
       )
    )</f>
        <v>63744.57</v>
      </c>
      <c r="J954" t="str">
        <f>TRIM(Employee_dataset[[#This Row],[Email]])</f>
        <v>bob.jones@example.com</v>
      </c>
      <c r="K954" t="str">
        <f>_xlfn.LET(
     _xlpm.p,TRIM(SUBSTITUTE(Employee_dataset[[#This Row],[Phone]],"-","")),
     IF(
        LEN(_xlpm.p)=10,_xlfn.CONCAT("("&amp;LEFT(_xlpm.p,3)&amp;") "&amp;MID(_xlpm.p,4,3)&amp;"-"&amp;RIGHT(_xlpm.p,4),"")
       )
     )</f>
        <v>(572) 565-9201</v>
      </c>
      <c r="L954" t="str">
        <f>TRIM(Employee_dataset[[#This Row],[Performance_Score]])</f>
        <v>Average</v>
      </c>
      <c r="M954" t="str">
        <f>TRIM(Employee_dataset[[#This Row],[Remote_Work]])</f>
        <v>FALSE</v>
      </c>
    </row>
    <row r="955" spans="1:13" x14ac:dyDescent="0.3">
      <c r="A955" t="str">
        <f>TRIM(Employee_dataset[[#This Row],[Employee_ID]])</f>
        <v>EMP1953</v>
      </c>
      <c r="B955" t="str">
        <f>PROPER(TRIM(Employee_dataset[[#This Row],[First_Name]]))</f>
        <v>Alice</v>
      </c>
      <c r="C955" t="str">
        <f>PROPER(TRIM(Employee_dataset[[#This Row],[Last_Name]]))</f>
        <v>Brown</v>
      </c>
      <c r="D955" s="6" t="str">
        <f>_xlfn.LET(
     _xlpm.a, TRIM(Employee_dataset[[#This Row],[Age]]),
     IF(
        _xlpm.a="","",
        IF(
           AND(ISNUMBER(--_xlpm.a),LEN(_xlpm.a)=2),_xlpm.a,""
          )
       )
    )</f>
        <v>40</v>
      </c>
      <c r="E955" t="str">
        <f>TRIM(_xlfn.TEXTBEFORE(Employee_dataset[[#This Row],[Department_Region]],"-"))</f>
        <v>Cloud Tech</v>
      </c>
      <c r="F955" t="str">
        <f>TRIM(_xlfn.TEXTAFTER(Employee_dataset[[#This Row],[Department_Region]],"-"))</f>
        <v>California</v>
      </c>
      <c r="G955" t="str">
        <f>TRIM(Employee_dataset[[#This Row],[Status]])</f>
        <v>Active</v>
      </c>
      <c r="H955" s="1">
        <f>_xlfn.LET(
     _xlpm.d, Employee_dataset[[#This Row],[Join_Date]],
     IF(
        ISNUMBER(_xlpm.d),_xlpm.d,""
       )
    )</f>
        <v>43966</v>
      </c>
      <c r="I955" s="6" t="str">
        <f>_xlfn.LET(
     _xlpm.s, TRIM(Employee_dataset[[#This Row],[Salary]]),
     IF(
        UPPER(_xlpm.s)="N/A","",
        IF(
           ISNUMBER(--_xlpm.s),ROUND(_xlfn.NUMBERVALUE(_xlpm.s),2),""
          )
       )
    )</f>
        <v/>
      </c>
      <c r="J955" t="str">
        <f>TRIM(Employee_dataset[[#This Row],[Email]])</f>
        <v>alice.brown@example.com</v>
      </c>
      <c r="K955" t="str">
        <f>_xlfn.LET(
     _xlpm.p,TRIM(SUBSTITUTE(Employee_dataset[[#This Row],[Phone]],"-","")),
     IF(
        LEN(_xlpm.p)=10,_xlfn.CONCAT("("&amp;LEFT(_xlpm.p,3)&amp;") "&amp;MID(_xlpm.p,4,3)&amp;"-"&amp;RIGHT(_xlpm.p,4),"")
       )
     )</f>
        <v>(461) 752-0237</v>
      </c>
      <c r="L955" t="str">
        <f>TRIM(Employee_dataset[[#This Row],[Performance_Score]])</f>
        <v>Poor</v>
      </c>
      <c r="M955" t="str">
        <f>TRIM(Employee_dataset[[#This Row],[Remote_Work]])</f>
        <v>FALSE</v>
      </c>
    </row>
    <row r="956" spans="1:13" x14ac:dyDescent="0.3">
      <c r="A956" t="str">
        <f>TRIM(Employee_dataset[[#This Row],[Employee_ID]])</f>
        <v>EMP1954</v>
      </c>
      <c r="B956" t="str">
        <f>PROPER(TRIM(Employee_dataset[[#This Row],[First_Name]]))</f>
        <v>Bob</v>
      </c>
      <c r="C956" t="str">
        <f>PROPER(TRIM(Employee_dataset[[#This Row],[Last_Name]]))</f>
        <v>Williams</v>
      </c>
      <c r="D956" s="6" t="str">
        <f>_xlfn.LET(
     _xlpm.a, TRIM(Employee_dataset[[#This Row],[Age]]),
     IF(
        _xlpm.a="","",
        IF(
           AND(ISNUMBER(--_xlpm.a),LEN(_xlpm.a)=2),_xlpm.a,""
          )
       )
    )</f>
        <v>25</v>
      </c>
      <c r="E956" t="str">
        <f>TRIM(_xlfn.TEXTBEFORE(Employee_dataset[[#This Row],[Department_Region]],"-"))</f>
        <v>Sales</v>
      </c>
      <c r="F956" t="str">
        <f>TRIM(_xlfn.TEXTAFTER(Employee_dataset[[#This Row],[Department_Region]],"-"))</f>
        <v>New York</v>
      </c>
      <c r="G956" t="str">
        <f>TRIM(Employee_dataset[[#This Row],[Status]])</f>
        <v>Pending</v>
      </c>
      <c r="H956" s="1">
        <f>_xlfn.LET(
     _xlpm.d, Employee_dataset[[#This Row],[Join_Date]],
     IF(
        ISNUMBER(_xlpm.d),_xlpm.d,""
       )
    )</f>
        <v>44240</v>
      </c>
      <c r="I956" s="6">
        <f>_xlfn.LET(
     _xlpm.s, TRIM(Employee_dataset[[#This Row],[Salary]]),
     IF(
        UPPER(_xlpm.s)="N/A","",
        IF(
           ISNUMBER(--_xlpm.s),ROUND(_xlfn.NUMBERVALUE(_xlpm.s),2),""
          )
       )
    )</f>
        <v>62934.73</v>
      </c>
      <c r="J956" t="str">
        <f>TRIM(Employee_dataset[[#This Row],[Email]])</f>
        <v>bob.williams@example.com</v>
      </c>
      <c r="K956" t="str">
        <f>_xlfn.LET(
     _xlpm.p,TRIM(SUBSTITUTE(Employee_dataset[[#This Row],[Phone]],"-","")),
     IF(
        LEN(_xlpm.p)=10,_xlfn.CONCAT("("&amp;LEFT(_xlpm.p,3)&amp;") "&amp;MID(_xlpm.p,4,3)&amp;"-"&amp;RIGHT(_xlpm.p,4),"")
       )
     )</f>
        <v>(974) 326-0054</v>
      </c>
      <c r="L956" t="str">
        <f>TRIM(Employee_dataset[[#This Row],[Performance_Score]])</f>
        <v>Good</v>
      </c>
      <c r="M956" t="str">
        <f>TRIM(Employee_dataset[[#This Row],[Remote_Work]])</f>
        <v>FALSE</v>
      </c>
    </row>
    <row r="957" spans="1:13" x14ac:dyDescent="0.3">
      <c r="A957" t="str">
        <f>TRIM(Employee_dataset[[#This Row],[Employee_ID]])</f>
        <v>EMP1955</v>
      </c>
      <c r="B957" t="str">
        <f>PROPER(TRIM(Employee_dataset[[#This Row],[First_Name]]))</f>
        <v>Bob</v>
      </c>
      <c r="C957" t="str">
        <f>PROPER(TRIM(Employee_dataset[[#This Row],[Last_Name]]))</f>
        <v>Williams</v>
      </c>
      <c r="D957" s="6" t="str">
        <f>_xlfn.LET(
     _xlpm.a, TRIM(Employee_dataset[[#This Row],[Age]]),
     IF(
        _xlpm.a="","",
        IF(
           AND(ISNUMBER(--_xlpm.a),LEN(_xlpm.a)=2),_xlpm.a,""
          )
       )
    )</f>
        <v>30</v>
      </c>
      <c r="E957" t="str">
        <f>TRIM(_xlfn.TEXTBEFORE(Employee_dataset[[#This Row],[Department_Region]],"-"))</f>
        <v>DevOps</v>
      </c>
      <c r="F957" t="str">
        <f>TRIM(_xlfn.TEXTAFTER(Employee_dataset[[#This Row],[Department_Region]],"-"))</f>
        <v>California</v>
      </c>
      <c r="G957" t="str">
        <f>TRIM(Employee_dataset[[#This Row],[Status]])</f>
        <v>Pending</v>
      </c>
      <c r="H957" s="1">
        <f>_xlfn.LET(
     _xlpm.d, Employee_dataset[[#This Row],[Join_Date]],
     IF(
        ISNUMBER(_xlpm.d),_xlpm.d,""
       )
    )</f>
        <v>44543</v>
      </c>
      <c r="I957" s="6">
        <f>_xlfn.LET(
     _xlpm.s, TRIM(Employee_dataset[[#This Row],[Salary]]),
     IF(
        UPPER(_xlpm.s)="N/A","",
        IF(
           ISNUMBER(--_xlpm.s),ROUND(_xlfn.NUMBERVALUE(_xlpm.s),2),""
          )
       )
    )</f>
        <v>74654.23</v>
      </c>
      <c r="J957" t="str">
        <f>TRIM(Employee_dataset[[#This Row],[Email]])</f>
        <v>bob.williams@example.com</v>
      </c>
      <c r="K957" t="str">
        <f>_xlfn.LET(
     _xlpm.p,TRIM(SUBSTITUTE(Employee_dataset[[#This Row],[Phone]],"-","")),
     IF(
        LEN(_xlpm.p)=10,_xlfn.CONCAT("("&amp;LEFT(_xlpm.p,3)&amp;") "&amp;MID(_xlpm.p,4,3)&amp;"-"&amp;RIGHT(_xlpm.p,4),"")
       )
     )</f>
        <v>(955) 017-8331</v>
      </c>
      <c r="L957" t="str">
        <f>TRIM(Employee_dataset[[#This Row],[Performance_Score]])</f>
        <v>Excellent</v>
      </c>
      <c r="M957" t="str">
        <f>TRIM(Employee_dataset[[#This Row],[Remote_Work]])</f>
        <v>TRUE</v>
      </c>
    </row>
    <row r="958" spans="1:13" x14ac:dyDescent="0.3">
      <c r="A958" t="str">
        <f>TRIM(Employee_dataset[[#This Row],[Employee_ID]])</f>
        <v>EMP1956</v>
      </c>
      <c r="B958" t="str">
        <f>PROPER(TRIM(Employee_dataset[[#This Row],[First_Name]]))</f>
        <v>David</v>
      </c>
      <c r="C958" t="str">
        <f>PROPER(TRIM(Employee_dataset[[#This Row],[Last_Name]]))</f>
        <v>Brown</v>
      </c>
      <c r="D958" s="6" t="str">
        <f>_xlfn.LET(
     _xlpm.a, TRIM(Employee_dataset[[#This Row],[Age]]),
     IF(
        _xlpm.a="","",
        IF(
           AND(ISNUMBER(--_xlpm.a),LEN(_xlpm.a)=2),_xlpm.a,""
          )
       )
    )</f>
        <v/>
      </c>
      <c r="E958" t="str">
        <f>TRIM(_xlfn.TEXTBEFORE(Employee_dataset[[#This Row],[Department_Region]],"-"))</f>
        <v>Sales</v>
      </c>
      <c r="F958" t="str">
        <f>TRIM(_xlfn.TEXTAFTER(Employee_dataset[[#This Row],[Department_Region]],"-"))</f>
        <v>Texas</v>
      </c>
      <c r="G958" t="str">
        <f>TRIM(Employee_dataset[[#This Row],[Status]])</f>
        <v>Active</v>
      </c>
      <c r="H958" s="1">
        <f>_xlfn.LET(
     _xlpm.d, Employee_dataset[[#This Row],[Join_Date]],
     IF(
        ISNUMBER(_xlpm.d),_xlpm.d,""
       )
    )</f>
        <v>45509</v>
      </c>
      <c r="I958" s="6" t="str">
        <f>_xlfn.LET(
     _xlpm.s, TRIM(Employee_dataset[[#This Row],[Salary]]),
     IF(
        UPPER(_xlpm.s)="N/A","",
        IF(
           ISNUMBER(--_xlpm.s),ROUND(_xlfn.NUMBERVALUE(_xlpm.s),2),""
          )
       )
    )</f>
        <v/>
      </c>
      <c r="J958" t="str">
        <f>TRIM(Employee_dataset[[#This Row],[Email]])</f>
        <v>david.brown@example.com</v>
      </c>
      <c r="K958" t="str">
        <f>_xlfn.LET(
     _xlpm.p,TRIM(SUBSTITUTE(Employee_dataset[[#This Row],[Phone]],"-","")),
     IF(
        LEN(_xlpm.p)=10,_xlfn.CONCAT("("&amp;LEFT(_xlpm.p,3)&amp;") "&amp;MID(_xlpm.p,4,3)&amp;"-"&amp;RIGHT(_xlpm.p,4),"")
       )
     )</f>
        <v>(584) 868-9992</v>
      </c>
      <c r="L958" t="str">
        <f>TRIM(Employee_dataset[[#This Row],[Performance_Score]])</f>
        <v>Average</v>
      </c>
      <c r="M958" t="str">
        <f>TRIM(Employee_dataset[[#This Row],[Remote_Work]])</f>
        <v>TRUE</v>
      </c>
    </row>
    <row r="959" spans="1:13" x14ac:dyDescent="0.3">
      <c r="A959" t="str">
        <f>TRIM(Employee_dataset[[#This Row],[Employee_ID]])</f>
        <v>EMP1957</v>
      </c>
      <c r="B959" t="str">
        <f>PROPER(TRIM(Employee_dataset[[#This Row],[First_Name]]))</f>
        <v>David</v>
      </c>
      <c r="C959" t="str">
        <f>PROPER(TRIM(Employee_dataset[[#This Row],[Last_Name]]))</f>
        <v>Smith</v>
      </c>
      <c r="D959" s="6" t="str">
        <f>_xlfn.LET(
     _xlpm.a, TRIM(Employee_dataset[[#This Row],[Age]]),
     IF(
        _xlpm.a="","",
        IF(
           AND(ISNUMBER(--_xlpm.a),LEN(_xlpm.a)=2),_xlpm.a,""
          )
       )
    )</f>
        <v>30</v>
      </c>
      <c r="E959" t="str">
        <f>TRIM(_xlfn.TEXTBEFORE(Employee_dataset[[#This Row],[Department_Region]],"-"))</f>
        <v>HR</v>
      </c>
      <c r="F959" t="str">
        <f>TRIM(_xlfn.TEXTAFTER(Employee_dataset[[#This Row],[Department_Region]],"-"))</f>
        <v>New York</v>
      </c>
      <c r="G959" t="str">
        <f>TRIM(Employee_dataset[[#This Row],[Status]])</f>
        <v>Pending</v>
      </c>
      <c r="H959" s="1">
        <f>_xlfn.LET(
     _xlpm.d, Employee_dataset[[#This Row],[Join_Date]],
     IF(
        ISNUMBER(_xlpm.d),_xlpm.d,""
       )
    )</f>
        <v>43839</v>
      </c>
      <c r="I959" s="6">
        <f>_xlfn.LET(
     _xlpm.s, TRIM(Employee_dataset[[#This Row],[Salary]]),
     IF(
        UPPER(_xlpm.s)="N/A","",
        IF(
           ISNUMBER(--_xlpm.s),ROUND(_xlfn.NUMBERVALUE(_xlpm.s),2),""
          )
       )
    )</f>
        <v>118150.59</v>
      </c>
      <c r="J959" t="str">
        <f>TRIM(Employee_dataset[[#This Row],[Email]])</f>
        <v>david.smith@example.com</v>
      </c>
      <c r="K959" t="str">
        <f>_xlfn.LET(
     _xlpm.p,TRIM(SUBSTITUTE(Employee_dataset[[#This Row],[Phone]],"-","")),
     IF(
        LEN(_xlpm.p)=10,_xlfn.CONCAT("("&amp;LEFT(_xlpm.p,3)&amp;") "&amp;MID(_xlpm.p,4,3)&amp;"-"&amp;RIGHT(_xlpm.p,4),"")
       )
     )</f>
        <v>(607) 984-8703</v>
      </c>
      <c r="L959" t="str">
        <f>TRIM(Employee_dataset[[#This Row],[Performance_Score]])</f>
        <v>Average</v>
      </c>
      <c r="M959" t="str">
        <f>TRIM(Employee_dataset[[#This Row],[Remote_Work]])</f>
        <v>TRUE</v>
      </c>
    </row>
    <row r="960" spans="1:13" x14ac:dyDescent="0.3">
      <c r="A960" t="str">
        <f>TRIM(Employee_dataset[[#This Row],[Employee_ID]])</f>
        <v>EMP1958</v>
      </c>
      <c r="B960" t="str">
        <f>PROPER(TRIM(Employee_dataset[[#This Row],[First_Name]]))</f>
        <v>David</v>
      </c>
      <c r="C960" t="str">
        <f>PROPER(TRIM(Employee_dataset[[#This Row],[Last_Name]]))</f>
        <v>Johnson</v>
      </c>
      <c r="D960" s="6" t="str">
        <f>_xlfn.LET(
     _xlpm.a, TRIM(Employee_dataset[[#This Row],[Age]]),
     IF(
        _xlpm.a="","",
        IF(
           AND(ISNUMBER(--_xlpm.a),LEN(_xlpm.a)=2),_xlpm.a,""
          )
       )
    )</f>
        <v/>
      </c>
      <c r="E960" t="str">
        <f>TRIM(_xlfn.TEXTBEFORE(Employee_dataset[[#This Row],[Department_Region]],"-"))</f>
        <v>DevOps</v>
      </c>
      <c r="F960" t="str">
        <f>TRIM(_xlfn.TEXTAFTER(Employee_dataset[[#This Row],[Department_Region]],"-"))</f>
        <v>Florida</v>
      </c>
      <c r="G960" t="str">
        <f>TRIM(Employee_dataset[[#This Row],[Status]])</f>
        <v>Inactive</v>
      </c>
      <c r="H960" s="1">
        <f>_xlfn.LET(
     _xlpm.d, Employee_dataset[[#This Row],[Join_Date]],
     IF(
        ISNUMBER(_xlpm.d),_xlpm.d,""
       )
    )</f>
        <v>45260</v>
      </c>
      <c r="I960" s="6">
        <f>_xlfn.LET(
     _xlpm.s, TRIM(Employee_dataset[[#This Row],[Salary]]),
     IF(
        UPPER(_xlpm.s)="N/A","",
        IF(
           ISNUMBER(--_xlpm.s),ROUND(_xlfn.NUMBERVALUE(_xlpm.s),2),""
          )
       )
    )</f>
        <v>91256.639999999999</v>
      </c>
      <c r="J960" t="str">
        <f>TRIM(Employee_dataset[[#This Row],[Email]])</f>
        <v>david.johnson@example.com</v>
      </c>
      <c r="K960" t="str">
        <f>_xlfn.LET(
     _xlpm.p,TRIM(SUBSTITUTE(Employee_dataset[[#This Row],[Phone]],"-","")),
     IF(
        LEN(_xlpm.p)=10,_xlfn.CONCAT("("&amp;LEFT(_xlpm.p,3)&amp;") "&amp;MID(_xlpm.p,4,3)&amp;"-"&amp;RIGHT(_xlpm.p,4),"")
       )
     )</f>
        <v>(506) 917-6798</v>
      </c>
      <c r="L960" t="str">
        <f>TRIM(Employee_dataset[[#This Row],[Performance_Score]])</f>
        <v>Average</v>
      </c>
      <c r="M960" t="str">
        <f>TRIM(Employee_dataset[[#This Row],[Remote_Work]])</f>
        <v>FALSE</v>
      </c>
    </row>
    <row r="961" spans="1:13" x14ac:dyDescent="0.3">
      <c r="A961" t="str">
        <f>TRIM(Employee_dataset[[#This Row],[Employee_ID]])</f>
        <v>EMP1959</v>
      </c>
      <c r="B961" t="str">
        <f>PROPER(TRIM(Employee_dataset[[#This Row],[First_Name]]))</f>
        <v>Bob</v>
      </c>
      <c r="C961" t="str">
        <f>PROPER(TRIM(Employee_dataset[[#This Row],[Last_Name]]))</f>
        <v>Davis</v>
      </c>
      <c r="D961" s="6" t="str">
        <f>_xlfn.LET(
     _xlpm.a, TRIM(Employee_dataset[[#This Row],[Age]]),
     IF(
        _xlpm.a="","",
        IF(
           AND(ISNUMBER(--_xlpm.a),LEN(_xlpm.a)=2),_xlpm.a,""
          )
       )
    )</f>
        <v>30</v>
      </c>
      <c r="E961" t="str">
        <f>TRIM(_xlfn.TEXTBEFORE(Employee_dataset[[#This Row],[Department_Region]],"-"))</f>
        <v>HR</v>
      </c>
      <c r="F961" t="str">
        <f>TRIM(_xlfn.TEXTAFTER(Employee_dataset[[#This Row],[Department_Region]],"-"))</f>
        <v>Florida</v>
      </c>
      <c r="G961" t="str">
        <f>TRIM(Employee_dataset[[#This Row],[Status]])</f>
        <v>Inactive</v>
      </c>
      <c r="H961" s="1">
        <f>_xlfn.LET(
     _xlpm.d, Employee_dataset[[#This Row],[Join_Date]],
     IF(
        ISNUMBER(_xlpm.d),_xlpm.d,""
       )
    )</f>
        <v>44269</v>
      </c>
      <c r="I961" s="6">
        <f>_xlfn.LET(
     _xlpm.s, TRIM(Employee_dataset[[#This Row],[Salary]]),
     IF(
        UPPER(_xlpm.s)="N/A","",
        IF(
           ISNUMBER(--_xlpm.s),ROUND(_xlfn.NUMBERVALUE(_xlpm.s),2),""
          )
       )
    )</f>
        <v>85997.57</v>
      </c>
      <c r="J961" t="str">
        <f>TRIM(Employee_dataset[[#This Row],[Email]])</f>
        <v>bob.davis@example.com</v>
      </c>
      <c r="K961" t="str">
        <f>_xlfn.LET(
     _xlpm.p,TRIM(SUBSTITUTE(Employee_dataset[[#This Row],[Phone]],"-","")),
     IF(
        LEN(_xlpm.p)=10,_xlfn.CONCAT("("&amp;LEFT(_xlpm.p,3)&amp;") "&amp;MID(_xlpm.p,4,3)&amp;"-"&amp;RIGHT(_xlpm.p,4),"")
       )
     )</f>
        <v>(359) 374-4038</v>
      </c>
      <c r="L961" t="str">
        <f>TRIM(Employee_dataset[[#This Row],[Performance_Score]])</f>
        <v>Good</v>
      </c>
      <c r="M961" t="str">
        <f>TRIM(Employee_dataset[[#This Row],[Remote_Work]])</f>
        <v>FALSE</v>
      </c>
    </row>
    <row r="962" spans="1:13" x14ac:dyDescent="0.3">
      <c r="A962" t="str">
        <f>TRIM(Employee_dataset[[#This Row],[Employee_ID]])</f>
        <v>EMP1960</v>
      </c>
      <c r="B962" t="str">
        <f>PROPER(TRIM(Employee_dataset[[#This Row],[First_Name]]))</f>
        <v>Frank</v>
      </c>
      <c r="C962" t="str">
        <f>PROPER(TRIM(Employee_dataset[[#This Row],[Last_Name]]))</f>
        <v>Smith</v>
      </c>
      <c r="D962" s="6" t="str">
        <f>_xlfn.LET(
     _xlpm.a, TRIM(Employee_dataset[[#This Row],[Age]]),
     IF(
        _xlpm.a="","",
        IF(
           AND(ISNUMBER(--_xlpm.a),LEN(_xlpm.a)=2),_xlpm.a,""
          )
       )
    )</f>
        <v>25</v>
      </c>
      <c r="E962" t="str">
        <f>TRIM(_xlfn.TEXTBEFORE(Employee_dataset[[#This Row],[Department_Region]],"-"))</f>
        <v>Finance</v>
      </c>
      <c r="F962" t="str">
        <f>TRIM(_xlfn.TEXTAFTER(Employee_dataset[[#This Row],[Department_Region]],"-"))</f>
        <v>Texas</v>
      </c>
      <c r="G962" t="str">
        <f>TRIM(Employee_dataset[[#This Row],[Status]])</f>
        <v>Pending</v>
      </c>
      <c r="H962" s="1">
        <f>_xlfn.LET(
     _xlpm.d, Employee_dataset[[#This Row],[Join_Date]],
     IF(
        ISNUMBER(_xlpm.d),_xlpm.d,""
       )
    )</f>
        <v>44109</v>
      </c>
      <c r="I962" s="6">
        <f>_xlfn.LET(
     _xlpm.s, TRIM(Employee_dataset[[#This Row],[Salary]]),
     IF(
        UPPER(_xlpm.s)="N/A","",
        IF(
           ISNUMBER(--_xlpm.s),ROUND(_xlfn.NUMBERVALUE(_xlpm.s),2),""
          )
       )
    )</f>
        <v>84707.12</v>
      </c>
      <c r="J962" t="str">
        <f>TRIM(Employee_dataset[[#This Row],[Email]])</f>
        <v>frank.smith@example.com</v>
      </c>
      <c r="K962" t="str">
        <f>_xlfn.LET(
     _xlpm.p,TRIM(SUBSTITUTE(Employee_dataset[[#This Row],[Phone]],"-","")),
     IF(
        LEN(_xlpm.p)=10,_xlfn.CONCAT("("&amp;LEFT(_xlpm.p,3)&amp;") "&amp;MID(_xlpm.p,4,3)&amp;"-"&amp;RIGHT(_xlpm.p,4),"")
       )
     )</f>
        <v>(464) 083-0372</v>
      </c>
      <c r="L962" t="str">
        <f>TRIM(Employee_dataset[[#This Row],[Performance_Score]])</f>
        <v>Excellent</v>
      </c>
      <c r="M962" t="str">
        <f>TRIM(Employee_dataset[[#This Row],[Remote_Work]])</f>
        <v>FALSE</v>
      </c>
    </row>
    <row r="963" spans="1:13" x14ac:dyDescent="0.3">
      <c r="A963" t="str">
        <f>TRIM(Employee_dataset[[#This Row],[Employee_ID]])</f>
        <v>EMP1961</v>
      </c>
      <c r="B963" t="str">
        <f>PROPER(TRIM(Employee_dataset[[#This Row],[First_Name]]))</f>
        <v>Eva</v>
      </c>
      <c r="C963" t="str">
        <f>PROPER(TRIM(Employee_dataset[[#This Row],[Last_Name]]))</f>
        <v>Smith</v>
      </c>
      <c r="D963" s="6" t="str">
        <f>_xlfn.LET(
     _xlpm.a, TRIM(Employee_dataset[[#This Row],[Age]]),
     IF(
        _xlpm.a="","",
        IF(
           AND(ISNUMBER(--_xlpm.a),LEN(_xlpm.a)=2),_xlpm.a,""
          )
       )
    )</f>
        <v/>
      </c>
      <c r="E963" t="str">
        <f>TRIM(_xlfn.TEXTBEFORE(Employee_dataset[[#This Row],[Department_Region]],"-"))</f>
        <v>DevOps</v>
      </c>
      <c r="F963" t="str">
        <f>TRIM(_xlfn.TEXTAFTER(Employee_dataset[[#This Row],[Department_Region]],"-"))</f>
        <v>Texas</v>
      </c>
      <c r="G963" t="str">
        <f>TRIM(Employee_dataset[[#This Row],[Status]])</f>
        <v>Active</v>
      </c>
      <c r="H963" s="1">
        <f>_xlfn.LET(
     _xlpm.d, Employee_dataset[[#This Row],[Join_Date]],
     IF(
        ISNUMBER(_xlpm.d),_xlpm.d,""
       )
    )</f>
        <v>44502</v>
      </c>
      <c r="I963" s="6">
        <f>_xlfn.LET(
     _xlpm.s, TRIM(Employee_dataset[[#This Row],[Salary]]),
     IF(
        UPPER(_xlpm.s)="N/A","",
        IF(
           ISNUMBER(--_xlpm.s),ROUND(_xlfn.NUMBERVALUE(_xlpm.s),2),""
          )
       )
    )</f>
        <v>84559.9</v>
      </c>
      <c r="J963" t="str">
        <f>TRIM(Employee_dataset[[#This Row],[Email]])</f>
        <v>eva.smith@example.com</v>
      </c>
      <c r="K963" t="str">
        <f>_xlfn.LET(
     _xlpm.p,TRIM(SUBSTITUTE(Employee_dataset[[#This Row],[Phone]],"-","")),
     IF(
        LEN(_xlpm.p)=10,_xlfn.CONCAT("("&amp;LEFT(_xlpm.p,3)&amp;") "&amp;MID(_xlpm.p,4,3)&amp;"-"&amp;RIGHT(_xlpm.p,4),"")
       )
     )</f>
        <v>(606) 014-8859</v>
      </c>
      <c r="L963" t="str">
        <f>TRIM(Employee_dataset[[#This Row],[Performance_Score]])</f>
        <v>Poor</v>
      </c>
      <c r="M963" t="str">
        <f>TRIM(Employee_dataset[[#This Row],[Remote_Work]])</f>
        <v>FALSE</v>
      </c>
    </row>
    <row r="964" spans="1:13" x14ac:dyDescent="0.3">
      <c r="A964" t="str">
        <f>TRIM(Employee_dataset[[#This Row],[Employee_ID]])</f>
        <v>EMP1962</v>
      </c>
      <c r="B964" t="str">
        <f>PROPER(TRIM(Employee_dataset[[#This Row],[First_Name]]))</f>
        <v>Heidi</v>
      </c>
      <c r="C964" t="str">
        <f>PROPER(TRIM(Employee_dataset[[#This Row],[Last_Name]]))</f>
        <v>Miller</v>
      </c>
      <c r="D964" s="6" t="str">
        <f>_xlfn.LET(
     _xlpm.a, TRIM(Employee_dataset[[#This Row],[Age]]),
     IF(
        _xlpm.a="","",
        IF(
           AND(ISNUMBER(--_xlpm.a),LEN(_xlpm.a)=2),_xlpm.a,""
          )
       )
    )</f>
        <v/>
      </c>
      <c r="E964" t="str">
        <f>TRIM(_xlfn.TEXTBEFORE(Employee_dataset[[#This Row],[Department_Region]],"-"))</f>
        <v>DevOps</v>
      </c>
      <c r="F964" t="str">
        <f>TRIM(_xlfn.TEXTAFTER(Employee_dataset[[#This Row],[Department_Region]],"-"))</f>
        <v>California</v>
      </c>
      <c r="G964" t="str">
        <f>TRIM(Employee_dataset[[#This Row],[Status]])</f>
        <v>Pending</v>
      </c>
      <c r="H964" s="1">
        <f>_xlfn.LET(
     _xlpm.d, Employee_dataset[[#This Row],[Join_Date]],
     IF(
        ISNUMBER(_xlpm.d),_xlpm.d,""
       )
    )</f>
        <v>45553</v>
      </c>
      <c r="I964" s="6">
        <f>_xlfn.LET(
     _xlpm.s, TRIM(Employee_dataset[[#This Row],[Salary]]),
     IF(
        UPPER(_xlpm.s)="N/A","",
        IF(
           ISNUMBER(--_xlpm.s),ROUND(_xlfn.NUMBERVALUE(_xlpm.s),2),""
          )
       )
    )</f>
        <v>81076.91</v>
      </c>
      <c r="J964" t="str">
        <f>TRIM(Employee_dataset[[#This Row],[Email]])</f>
        <v>heidi.miller@example.com</v>
      </c>
      <c r="K964" t="str">
        <f>_xlfn.LET(
     _xlpm.p,TRIM(SUBSTITUTE(Employee_dataset[[#This Row],[Phone]],"-","")),
     IF(
        LEN(_xlpm.p)=10,_xlfn.CONCAT("("&amp;LEFT(_xlpm.p,3)&amp;") "&amp;MID(_xlpm.p,4,3)&amp;"-"&amp;RIGHT(_xlpm.p,4),"")
       )
     )</f>
        <v>(849) 079-3883</v>
      </c>
      <c r="L964" t="str">
        <f>TRIM(Employee_dataset[[#This Row],[Performance_Score]])</f>
        <v>Poor</v>
      </c>
      <c r="M964" t="str">
        <f>TRIM(Employee_dataset[[#This Row],[Remote_Work]])</f>
        <v>FALSE</v>
      </c>
    </row>
    <row r="965" spans="1:13" x14ac:dyDescent="0.3">
      <c r="A965" t="str">
        <f>TRIM(Employee_dataset[[#This Row],[Employee_ID]])</f>
        <v>EMP1963</v>
      </c>
      <c r="B965" t="str">
        <f>PROPER(TRIM(Employee_dataset[[#This Row],[First_Name]]))</f>
        <v>Eva</v>
      </c>
      <c r="C965" t="str">
        <f>PROPER(TRIM(Employee_dataset[[#This Row],[Last_Name]]))</f>
        <v>Davis</v>
      </c>
      <c r="D965" s="6" t="str">
        <f>_xlfn.LET(
     _xlpm.a, TRIM(Employee_dataset[[#This Row],[Age]]),
     IF(
        _xlpm.a="","",
        IF(
           AND(ISNUMBER(--_xlpm.a),LEN(_xlpm.a)=2),_xlpm.a,""
          )
       )
    )</f>
        <v>40</v>
      </c>
      <c r="E965" t="str">
        <f>TRIM(_xlfn.TEXTBEFORE(Employee_dataset[[#This Row],[Department_Region]],"-"))</f>
        <v>Admin</v>
      </c>
      <c r="F965" t="str">
        <f>TRIM(_xlfn.TEXTAFTER(Employee_dataset[[#This Row],[Department_Region]],"-"))</f>
        <v>Texas</v>
      </c>
      <c r="G965" t="str">
        <f>TRIM(Employee_dataset[[#This Row],[Status]])</f>
        <v>Inactive</v>
      </c>
      <c r="H965" s="1">
        <f>_xlfn.LET(
     _xlpm.d, Employee_dataset[[#This Row],[Join_Date]],
     IF(
        ISNUMBER(_xlpm.d),_xlpm.d,""
       )
    )</f>
        <v>45221</v>
      </c>
      <c r="I965" s="6" t="str">
        <f>_xlfn.LET(
     _xlpm.s, TRIM(Employee_dataset[[#This Row],[Salary]]),
     IF(
        UPPER(_xlpm.s)="N/A","",
        IF(
           ISNUMBER(--_xlpm.s),ROUND(_xlfn.NUMBERVALUE(_xlpm.s),2),""
          )
       )
    )</f>
        <v/>
      </c>
      <c r="J965" t="str">
        <f>TRIM(Employee_dataset[[#This Row],[Email]])</f>
        <v>eva.davis@example.com</v>
      </c>
      <c r="K965" t="str">
        <f>_xlfn.LET(
     _xlpm.p,TRIM(SUBSTITUTE(Employee_dataset[[#This Row],[Phone]],"-","")),
     IF(
        LEN(_xlpm.p)=10,_xlfn.CONCAT("("&amp;LEFT(_xlpm.p,3)&amp;") "&amp;MID(_xlpm.p,4,3)&amp;"-"&amp;RIGHT(_xlpm.p,4),"")
       )
     )</f>
        <v>(136) 852-8305</v>
      </c>
      <c r="L965" t="str">
        <f>TRIM(Employee_dataset[[#This Row],[Performance_Score]])</f>
        <v>Average</v>
      </c>
      <c r="M965" t="str">
        <f>TRIM(Employee_dataset[[#This Row],[Remote_Work]])</f>
        <v>FALSE</v>
      </c>
    </row>
    <row r="966" spans="1:13" x14ac:dyDescent="0.3">
      <c r="A966" t="str">
        <f>TRIM(Employee_dataset[[#This Row],[Employee_ID]])</f>
        <v>EMP1964</v>
      </c>
      <c r="B966" t="str">
        <f>PROPER(TRIM(Employee_dataset[[#This Row],[First_Name]]))</f>
        <v>Heidi</v>
      </c>
      <c r="C966" t="str">
        <f>PROPER(TRIM(Employee_dataset[[#This Row],[Last_Name]]))</f>
        <v>Davis</v>
      </c>
      <c r="D966" s="6" t="str">
        <f>_xlfn.LET(
     _xlpm.a, TRIM(Employee_dataset[[#This Row],[Age]]),
     IF(
        _xlpm.a="","",
        IF(
           AND(ISNUMBER(--_xlpm.a),LEN(_xlpm.a)=2),_xlpm.a,""
          )
       )
    )</f>
        <v>25</v>
      </c>
      <c r="E966" t="str">
        <f>TRIM(_xlfn.TEXTBEFORE(Employee_dataset[[#This Row],[Department_Region]],"-"))</f>
        <v>Finance</v>
      </c>
      <c r="F966" t="str">
        <f>TRIM(_xlfn.TEXTAFTER(Employee_dataset[[#This Row],[Department_Region]],"-"))</f>
        <v>Florida</v>
      </c>
      <c r="G966" t="str">
        <f>TRIM(Employee_dataset[[#This Row],[Status]])</f>
        <v>Pending</v>
      </c>
      <c r="H966" s="1">
        <f>_xlfn.LET(
     _xlpm.d, Employee_dataset[[#This Row],[Join_Date]],
     IF(
        ISNUMBER(_xlpm.d),_xlpm.d,""
       )
    )</f>
        <v>45179</v>
      </c>
      <c r="I966" s="6">
        <f>_xlfn.LET(
     _xlpm.s, TRIM(Employee_dataset[[#This Row],[Salary]]),
     IF(
        UPPER(_xlpm.s)="N/A","",
        IF(
           ISNUMBER(--_xlpm.s),ROUND(_xlfn.NUMBERVALUE(_xlpm.s),2),""
          )
       )
    )</f>
        <v>97356.31</v>
      </c>
      <c r="J966" t="str">
        <f>TRIM(Employee_dataset[[#This Row],[Email]])</f>
        <v>heidi.davis@example.com</v>
      </c>
      <c r="K966" t="str">
        <f>_xlfn.LET(
     _xlpm.p,TRIM(SUBSTITUTE(Employee_dataset[[#This Row],[Phone]],"-","")),
     IF(
        LEN(_xlpm.p)=10,_xlfn.CONCAT("("&amp;LEFT(_xlpm.p,3)&amp;") "&amp;MID(_xlpm.p,4,3)&amp;"-"&amp;RIGHT(_xlpm.p,4),"")
       )
     )</f>
        <v>(153) 701-2423</v>
      </c>
      <c r="L966" t="str">
        <f>TRIM(Employee_dataset[[#This Row],[Performance_Score]])</f>
        <v>Good</v>
      </c>
      <c r="M966" t="str">
        <f>TRIM(Employee_dataset[[#This Row],[Remote_Work]])</f>
        <v>TRUE</v>
      </c>
    </row>
    <row r="967" spans="1:13" x14ac:dyDescent="0.3">
      <c r="A967" t="str">
        <f>TRIM(Employee_dataset[[#This Row],[Employee_ID]])</f>
        <v>EMP1965</v>
      </c>
      <c r="B967" t="str">
        <f>PROPER(TRIM(Employee_dataset[[#This Row],[First_Name]]))</f>
        <v>Grace</v>
      </c>
      <c r="C967" t="str">
        <f>PROPER(TRIM(Employee_dataset[[#This Row],[Last_Name]]))</f>
        <v>Smith</v>
      </c>
      <c r="D967" s="6" t="str">
        <f>_xlfn.LET(
     _xlpm.a, TRIM(Employee_dataset[[#This Row],[Age]]),
     IF(
        _xlpm.a="","",
        IF(
           AND(ISNUMBER(--_xlpm.a),LEN(_xlpm.a)=2),_xlpm.a,""
          )
       )
    )</f>
        <v>40</v>
      </c>
      <c r="E967" t="str">
        <f>TRIM(_xlfn.TEXTBEFORE(Employee_dataset[[#This Row],[Department_Region]],"-"))</f>
        <v>DevOps</v>
      </c>
      <c r="F967" t="str">
        <f>TRIM(_xlfn.TEXTAFTER(Employee_dataset[[#This Row],[Department_Region]],"-"))</f>
        <v>Illinois</v>
      </c>
      <c r="G967" t="str">
        <f>TRIM(Employee_dataset[[#This Row],[Status]])</f>
        <v>Active</v>
      </c>
      <c r="H967" s="1">
        <f>_xlfn.LET(
     _xlpm.d, Employee_dataset[[#This Row],[Join_Date]],
     IF(
        ISNUMBER(_xlpm.d),_xlpm.d,""
       )
    )</f>
        <v>45349</v>
      </c>
      <c r="I967" s="6">
        <f>_xlfn.LET(
     _xlpm.s, TRIM(Employee_dataset[[#This Row],[Salary]]),
     IF(
        UPPER(_xlpm.s)="N/A","",
        IF(
           ISNUMBER(--_xlpm.s),ROUND(_xlfn.NUMBERVALUE(_xlpm.s),2),""
          )
       )
    )</f>
        <v>114770.32</v>
      </c>
      <c r="J967" t="str">
        <f>TRIM(Employee_dataset[[#This Row],[Email]])</f>
        <v>grace.smith@example.com</v>
      </c>
      <c r="K967" t="str">
        <f>_xlfn.LET(
     _xlpm.p,TRIM(SUBSTITUTE(Employee_dataset[[#This Row],[Phone]],"-","")),
     IF(
        LEN(_xlpm.p)=10,_xlfn.CONCAT("("&amp;LEFT(_xlpm.p,3)&amp;") "&amp;MID(_xlpm.p,4,3)&amp;"-"&amp;RIGHT(_xlpm.p,4),"")
       )
     )</f>
        <v>(462) 632-5143</v>
      </c>
      <c r="L967" t="str">
        <f>TRIM(Employee_dataset[[#This Row],[Performance_Score]])</f>
        <v>Good</v>
      </c>
      <c r="M967" t="str">
        <f>TRIM(Employee_dataset[[#This Row],[Remote_Work]])</f>
        <v>TRUE</v>
      </c>
    </row>
    <row r="968" spans="1:13" x14ac:dyDescent="0.3">
      <c r="A968" t="str">
        <f>TRIM(Employee_dataset[[#This Row],[Employee_ID]])</f>
        <v>EMP1966</v>
      </c>
      <c r="B968" t="str">
        <f>PROPER(TRIM(Employee_dataset[[#This Row],[First_Name]]))</f>
        <v>Bob</v>
      </c>
      <c r="C968" t="str">
        <f>PROPER(TRIM(Employee_dataset[[#This Row],[Last_Name]]))</f>
        <v>Jones</v>
      </c>
      <c r="D968" s="6" t="str">
        <f>_xlfn.LET(
     _xlpm.a, TRIM(Employee_dataset[[#This Row],[Age]]),
     IF(
        _xlpm.a="","",
        IF(
           AND(ISNUMBER(--_xlpm.a),LEN(_xlpm.a)=2),_xlpm.a,""
          )
       )
    )</f>
        <v>35</v>
      </c>
      <c r="E968" t="str">
        <f>TRIM(_xlfn.TEXTBEFORE(Employee_dataset[[#This Row],[Department_Region]],"-"))</f>
        <v>Admin</v>
      </c>
      <c r="F968" t="str">
        <f>TRIM(_xlfn.TEXTAFTER(Employee_dataset[[#This Row],[Department_Region]],"-"))</f>
        <v>California</v>
      </c>
      <c r="G968" t="str">
        <f>TRIM(Employee_dataset[[#This Row],[Status]])</f>
        <v>Active</v>
      </c>
      <c r="H968" s="1">
        <f>_xlfn.LET(
     _xlpm.d, Employee_dataset[[#This Row],[Join_Date]],
     IF(
        ISNUMBER(_xlpm.d),_xlpm.d,""
       )
    )</f>
        <v>45049</v>
      </c>
      <c r="I968" s="6">
        <f>_xlfn.LET(
     _xlpm.s, TRIM(Employee_dataset[[#This Row],[Salary]]),
     IF(
        UPPER(_xlpm.s)="N/A","",
        IF(
           ISNUMBER(--_xlpm.s),ROUND(_xlfn.NUMBERVALUE(_xlpm.s),2),""
          )
       )
    )</f>
        <v>109082.07</v>
      </c>
      <c r="J968" t="str">
        <f>TRIM(Employee_dataset[[#This Row],[Email]])</f>
        <v>bob.jones@example.com</v>
      </c>
      <c r="K968" t="str">
        <f>_xlfn.LET(
     _xlpm.p,TRIM(SUBSTITUTE(Employee_dataset[[#This Row],[Phone]],"-","")),
     IF(
        LEN(_xlpm.p)=10,_xlfn.CONCAT("("&amp;LEFT(_xlpm.p,3)&amp;") "&amp;MID(_xlpm.p,4,3)&amp;"-"&amp;RIGHT(_xlpm.p,4),"")
       )
     )</f>
        <v>(881) 121-0313</v>
      </c>
      <c r="L968" t="str">
        <f>TRIM(Employee_dataset[[#This Row],[Performance_Score]])</f>
        <v>Good</v>
      </c>
      <c r="M968" t="str">
        <f>TRIM(Employee_dataset[[#This Row],[Remote_Work]])</f>
        <v>FALSE</v>
      </c>
    </row>
    <row r="969" spans="1:13" x14ac:dyDescent="0.3">
      <c r="A969" t="str">
        <f>TRIM(Employee_dataset[[#This Row],[Employee_ID]])</f>
        <v>EMP1967</v>
      </c>
      <c r="B969" t="str">
        <f>PROPER(TRIM(Employee_dataset[[#This Row],[First_Name]]))</f>
        <v>David</v>
      </c>
      <c r="C969" t="str">
        <f>PROPER(TRIM(Employee_dataset[[#This Row],[Last_Name]]))</f>
        <v>Miller</v>
      </c>
      <c r="D969" s="6" t="str">
        <f>_xlfn.LET(
     _xlpm.a, TRIM(Employee_dataset[[#This Row],[Age]]),
     IF(
        _xlpm.a="","",
        IF(
           AND(ISNUMBER(--_xlpm.a),LEN(_xlpm.a)=2),_xlpm.a,""
          )
       )
    )</f>
        <v>40</v>
      </c>
      <c r="E969" t="str">
        <f>TRIM(_xlfn.TEXTBEFORE(Employee_dataset[[#This Row],[Department_Region]],"-"))</f>
        <v>DevOps</v>
      </c>
      <c r="F969" t="str">
        <f>TRIM(_xlfn.TEXTAFTER(Employee_dataset[[#This Row],[Department_Region]],"-"))</f>
        <v>Florida</v>
      </c>
      <c r="G969" t="str">
        <f>TRIM(Employee_dataset[[#This Row],[Status]])</f>
        <v>Inactive</v>
      </c>
      <c r="H969" s="1">
        <f>_xlfn.LET(
     _xlpm.d, Employee_dataset[[#This Row],[Join_Date]],
     IF(
        ISNUMBER(_xlpm.d),_xlpm.d,""
       )
    )</f>
        <v>45397</v>
      </c>
      <c r="I969" s="6">
        <f>_xlfn.LET(
     _xlpm.s, TRIM(Employee_dataset[[#This Row],[Salary]]),
     IF(
        UPPER(_xlpm.s)="N/A","",
        IF(
           ISNUMBER(--_xlpm.s),ROUND(_xlfn.NUMBERVALUE(_xlpm.s),2),""
          )
       )
    )</f>
        <v>99944.57</v>
      </c>
      <c r="J969" t="str">
        <f>TRIM(Employee_dataset[[#This Row],[Email]])</f>
        <v>david.miller@example.com</v>
      </c>
      <c r="K969" t="str">
        <f>_xlfn.LET(
     _xlpm.p,TRIM(SUBSTITUTE(Employee_dataset[[#This Row],[Phone]],"-","")),
     IF(
        LEN(_xlpm.p)=10,_xlfn.CONCAT("("&amp;LEFT(_xlpm.p,3)&amp;") "&amp;MID(_xlpm.p,4,3)&amp;"-"&amp;RIGHT(_xlpm.p,4),"")
       )
     )</f>
        <v>(217) 518-8780</v>
      </c>
      <c r="L969" t="str">
        <f>TRIM(Employee_dataset[[#This Row],[Performance_Score]])</f>
        <v>Poor</v>
      </c>
      <c r="M969" t="str">
        <f>TRIM(Employee_dataset[[#This Row],[Remote_Work]])</f>
        <v>TRUE</v>
      </c>
    </row>
    <row r="970" spans="1:13" x14ac:dyDescent="0.3">
      <c r="A970" t="str">
        <f>TRIM(Employee_dataset[[#This Row],[Employee_ID]])</f>
        <v>EMP1968</v>
      </c>
      <c r="B970" t="str">
        <f>PROPER(TRIM(Employee_dataset[[#This Row],[First_Name]]))</f>
        <v>Eva</v>
      </c>
      <c r="C970" t="str">
        <f>PROPER(TRIM(Employee_dataset[[#This Row],[Last_Name]]))</f>
        <v>Miller</v>
      </c>
      <c r="D970" s="6" t="str">
        <f>_xlfn.LET(
     _xlpm.a, TRIM(Employee_dataset[[#This Row],[Age]]),
     IF(
        _xlpm.a="","",
        IF(
           AND(ISNUMBER(--_xlpm.a),LEN(_xlpm.a)=2),_xlpm.a,""
          )
       )
    )</f>
        <v>40</v>
      </c>
      <c r="E970" t="str">
        <f>TRIM(_xlfn.TEXTBEFORE(Employee_dataset[[#This Row],[Department_Region]],"-"))</f>
        <v>HR</v>
      </c>
      <c r="F970" t="str">
        <f>TRIM(_xlfn.TEXTAFTER(Employee_dataset[[#This Row],[Department_Region]],"-"))</f>
        <v>Florida</v>
      </c>
      <c r="G970" t="str">
        <f>TRIM(Employee_dataset[[#This Row],[Status]])</f>
        <v>Pending</v>
      </c>
      <c r="H970" s="1">
        <f>_xlfn.LET(
     _xlpm.d, Employee_dataset[[#This Row],[Join_Date]],
     IF(
        ISNUMBER(_xlpm.d),_xlpm.d,""
       )
    )</f>
        <v>45066</v>
      </c>
      <c r="I970" s="6">
        <f>_xlfn.LET(
     _xlpm.s, TRIM(Employee_dataset[[#This Row],[Salary]]),
     IF(
        UPPER(_xlpm.s)="N/A","",
        IF(
           ISNUMBER(--_xlpm.s),ROUND(_xlfn.NUMBERVALUE(_xlpm.s),2),""
          )
       )
    )</f>
        <v>116509.72</v>
      </c>
      <c r="J970" t="str">
        <f>TRIM(Employee_dataset[[#This Row],[Email]])</f>
        <v>eva.miller@example.com</v>
      </c>
      <c r="K970" t="str">
        <f>_xlfn.LET(
     _xlpm.p,TRIM(SUBSTITUTE(Employee_dataset[[#This Row],[Phone]],"-","")),
     IF(
        LEN(_xlpm.p)=10,_xlfn.CONCAT("("&amp;LEFT(_xlpm.p,3)&amp;") "&amp;MID(_xlpm.p,4,3)&amp;"-"&amp;RIGHT(_xlpm.p,4),"")
       )
     )</f>
        <v>(794) 151-5262</v>
      </c>
      <c r="L970" t="str">
        <f>TRIM(Employee_dataset[[#This Row],[Performance_Score]])</f>
        <v>Average</v>
      </c>
      <c r="M970" t="str">
        <f>TRIM(Employee_dataset[[#This Row],[Remote_Work]])</f>
        <v>FALSE</v>
      </c>
    </row>
    <row r="971" spans="1:13" x14ac:dyDescent="0.3">
      <c r="A971" t="str">
        <f>TRIM(Employee_dataset[[#This Row],[Employee_ID]])</f>
        <v>EMP1969</v>
      </c>
      <c r="B971" t="str">
        <f>PROPER(TRIM(Employee_dataset[[#This Row],[First_Name]]))</f>
        <v>Eva</v>
      </c>
      <c r="C971" t="str">
        <f>PROPER(TRIM(Employee_dataset[[#This Row],[Last_Name]]))</f>
        <v>Williams</v>
      </c>
      <c r="D971" s="6" t="str">
        <f>_xlfn.LET(
     _xlpm.a, TRIM(Employee_dataset[[#This Row],[Age]]),
     IF(
        _xlpm.a="","",
        IF(
           AND(ISNUMBER(--_xlpm.a),LEN(_xlpm.a)=2),_xlpm.a,""
          )
       )
    )</f>
        <v>30</v>
      </c>
      <c r="E971" t="str">
        <f>TRIM(_xlfn.TEXTBEFORE(Employee_dataset[[#This Row],[Department_Region]],"-"))</f>
        <v>Finance</v>
      </c>
      <c r="F971" t="str">
        <f>TRIM(_xlfn.TEXTAFTER(Employee_dataset[[#This Row],[Department_Region]],"-"))</f>
        <v>Texas</v>
      </c>
      <c r="G971" t="str">
        <f>TRIM(Employee_dataset[[#This Row],[Status]])</f>
        <v>Active</v>
      </c>
      <c r="H971" s="1">
        <f>_xlfn.LET(
     _xlpm.d, Employee_dataset[[#This Row],[Join_Date]],
     IF(
        ISNUMBER(_xlpm.d),_xlpm.d,""
       )
    )</f>
        <v>44344</v>
      </c>
      <c r="I971" s="6">
        <f>_xlfn.LET(
     _xlpm.s, TRIM(Employee_dataset[[#This Row],[Salary]]),
     IF(
        UPPER(_xlpm.s)="N/A","",
        IF(
           ISNUMBER(--_xlpm.s),ROUND(_xlfn.NUMBERVALUE(_xlpm.s),2),""
          )
       )
    )</f>
        <v>84253.9</v>
      </c>
      <c r="J971" t="str">
        <f>TRIM(Employee_dataset[[#This Row],[Email]])</f>
        <v>eva.williams@example.com</v>
      </c>
      <c r="K971" t="str">
        <f>_xlfn.LET(
     _xlpm.p,TRIM(SUBSTITUTE(Employee_dataset[[#This Row],[Phone]],"-","")),
     IF(
        LEN(_xlpm.p)=10,_xlfn.CONCAT("("&amp;LEFT(_xlpm.p,3)&amp;") "&amp;MID(_xlpm.p,4,3)&amp;"-"&amp;RIGHT(_xlpm.p,4),"")
       )
     )</f>
        <v>(840) 911-2251</v>
      </c>
      <c r="L971" t="str">
        <f>TRIM(Employee_dataset[[#This Row],[Performance_Score]])</f>
        <v>Excellent</v>
      </c>
      <c r="M971" t="str">
        <f>TRIM(Employee_dataset[[#This Row],[Remote_Work]])</f>
        <v>TRUE</v>
      </c>
    </row>
    <row r="972" spans="1:13" x14ac:dyDescent="0.3">
      <c r="A972" t="str">
        <f>TRIM(Employee_dataset[[#This Row],[Employee_ID]])</f>
        <v>EMP1970</v>
      </c>
      <c r="B972" t="str">
        <f>PROPER(TRIM(Employee_dataset[[#This Row],[First_Name]]))</f>
        <v>Charlie</v>
      </c>
      <c r="C972" t="str">
        <f>PROPER(TRIM(Employee_dataset[[#This Row],[Last_Name]]))</f>
        <v>Garcia</v>
      </c>
      <c r="D972" s="6" t="str">
        <f>_xlfn.LET(
     _xlpm.a, TRIM(Employee_dataset[[#This Row],[Age]]),
     IF(
        _xlpm.a="","",
        IF(
           AND(ISNUMBER(--_xlpm.a),LEN(_xlpm.a)=2),_xlpm.a,""
          )
       )
    )</f>
        <v>25</v>
      </c>
      <c r="E972" t="str">
        <f>TRIM(_xlfn.TEXTBEFORE(Employee_dataset[[#This Row],[Department_Region]],"-"))</f>
        <v>Cloud Tech</v>
      </c>
      <c r="F972" t="str">
        <f>TRIM(_xlfn.TEXTAFTER(Employee_dataset[[#This Row],[Department_Region]],"-"))</f>
        <v>Nevada</v>
      </c>
      <c r="G972" t="str">
        <f>TRIM(Employee_dataset[[#This Row],[Status]])</f>
        <v>Active</v>
      </c>
      <c r="H972" s="1">
        <f>_xlfn.LET(
     _xlpm.d, Employee_dataset[[#This Row],[Join_Date]],
     IF(
        ISNUMBER(_xlpm.d),_xlpm.d,""
       )
    )</f>
        <v>45531</v>
      </c>
      <c r="I972" s="6">
        <f>_xlfn.LET(
     _xlpm.s, TRIM(Employee_dataset[[#This Row],[Salary]]),
     IF(
        UPPER(_xlpm.s)="N/A","",
        IF(
           ISNUMBER(--_xlpm.s),ROUND(_xlfn.NUMBERVALUE(_xlpm.s),2),""
          )
       )
    )</f>
        <v>54776.01</v>
      </c>
      <c r="J972" t="str">
        <f>TRIM(Employee_dataset[[#This Row],[Email]])</f>
        <v>charlie.garcia@example.com</v>
      </c>
      <c r="K972" t="str">
        <f>_xlfn.LET(
     _xlpm.p,TRIM(SUBSTITUTE(Employee_dataset[[#This Row],[Phone]],"-","")),
     IF(
        LEN(_xlpm.p)=10,_xlfn.CONCAT("("&amp;LEFT(_xlpm.p,3)&amp;") "&amp;MID(_xlpm.p,4,3)&amp;"-"&amp;RIGHT(_xlpm.p,4),"")
       )
     )</f>
        <v>(883) 750-5660</v>
      </c>
      <c r="L972" t="str">
        <f>TRIM(Employee_dataset[[#This Row],[Performance_Score]])</f>
        <v>Poor</v>
      </c>
      <c r="M972" t="str">
        <f>TRIM(Employee_dataset[[#This Row],[Remote_Work]])</f>
        <v>FALSE</v>
      </c>
    </row>
    <row r="973" spans="1:13" x14ac:dyDescent="0.3">
      <c r="A973" t="str">
        <f>TRIM(Employee_dataset[[#This Row],[Employee_ID]])</f>
        <v>EMP1971</v>
      </c>
      <c r="B973" t="str">
        <f>PROPER(TRIM(Employee_dataset[[#This Row],[First_Name]]))</f>
        <v>Charlie</v>
      </c>
      <c r="C973" t="str">
        <f>PROPER(TRIM(Employee_dataset[[#This Row],[Last_Name]]))</f>
        <v>Davis</v>
      </c>
      <c r="D973" s="6" t="str">
        <f>_xlfn.LET(
     _xlpm.a, TRIM(Employee_dataset[[#This Row],[Age]]),
     IF(
        _xlpm.a="","",
        IF(
           AND(ISNUMBER(--_xlpm.a),LEN(_xlpm.a)=2),_xlpm.a,""
          )
       )
    )</f>
        <v>40</v>
      </c>
      <c r="E973" t="str">
        <f>TRIM(_xlfn.TEXTBEFORE(Employee_dataset[[#This Row],[Department_Region]],"-"))</f>
        <v>Sales</v>
      </c>
      <c r="F973" t="str">
        <f>TRIM(_xlfn.TEXTAFTER(Employee_dataset[[#This Row],[Department_Region]],"-"))</f>
        <v>Nevada</v>
      </c>
      <c r="G973" t="str">
        <f>TRIM(Employee_dataset[[#This Row],[Status]])</f>
        <v>Inactive</v>
      </c>
      <c r="H973" s="1">
        <f>_xlfn.LET(
     _xlpm.d, Employee_dataset[[#This Row],[Join_Date]],
     IF(
        ISNUMBER(_xlpm.d),_xlpm.d,""
       )
    )</f>
        <v>44143</v>
      </c>
      <c r="I973" s="6">
        <f>_xlfn.LET(
     _xlpm.s, TRIM(Employee_dataset[[#This Row],[Salary]]),
     IF(
        UPPER(_xlpm.s)="N/A","",
        IF(
           ISNUMBER(--_xlpm.s),ROUND(_xlfn.NUMBERVALUE(_xlpm.s),2),""
          )
       )
    )</f>
        <v>71192.679999999993</v>
      </c>
      <c r="J973" t="str">
        <f>TRIM(Employee_dataset[[#This Row],[Email]])</f>
        <v>charlie.davis@example.com</v>
      </c>
      <c r="K973" t="str">
        <f>_xlfn.LET(
     _xlpm.p,TRIM(SUBSTITUTE(Employee_dataset[[#This Row],[Phone]],"-","")),
     IF(
        LEN(_xlpm.p)=10,_xlfn.CONCAT("("&amp;LEFT(_xlpm.p,3)&amp;") "&amp;MID(_xlpm.p,4,3)&amp;"-"&amp;RIGHT(_xlpm.p,4),"")
       )
     )</f>
        <v>(863) 239-7912</v>
      </c>
      <c r="L973" t="str">
        <f>TRIM(Employee_dataset[[#This Row],[Performance_Score]])</f>
        <v>Average</v>
      </c>
      <c r="M973" t="str">
        <f>TRIM(Employee_dataset[[#This Row],[Remote_Work]])</f>
        <v>FALSE</v>
      </c>
    </row>
    <row r="974" spans="1:13" x14ac:dyDescent="0.3">
      <c r="A974" t="str">
        <f>TRIM(Employee_dataset[[#This Row],[Employee_ID]])</f>
        <v>EMP1972</v>
      </c>
      <c r="B974" t="str">
        <f>PROPER(TRIM(Employee_dataset[[#This Row],[First_Name]]))</f>
        <v>Bob</v>
      </c>
      <c r="C974" t="str">
        <f>PROPER(TRIM(Employee_dataset[[#This Row],[Last_Name]]))</f>
        <v>Smith</v>
      </c>
      <c r="D974" s="6" t="str">
        <f>_xlfn.LET(
     _xlpm.a, TRIM(Employee_dataset[[#This Row],[Age]]),
     IF(
        _xlpm.a="","",
        IF(
           AND(ISNUMBER(--_xlpm.a),LEN(_xlpm.a)=2),_xlpm.a,""
          )
       )
    )</f>
        <v/>
      </c>
      <c r="E974" t="str">
        <f>TRIM(_xlfn.TEXTBEFORE(Employee_dataset[[#This Row],[Department_Region]],"-"))</f>
        <v>Finance</v>
      </c>
      <c r="F974" t="str">
        <f>TRIM(_xlfn.TEXTAFTER(Employee_dataset[[#This Row],[Department_Region]],"-"))</f>
        <v>Florida</v>
      </c>
      <c r="G974" t="str">
        <f>TRIM(Employee_dataset[[#This Row],[Status]])</f>
        <v>Active</v>
      </c>
      <c r="H974" s="1">
        <f>_xlfn.LET(
     _xlpm.d, Employee_dataset[[#This Row],[Join_Date]],
     IF(
        ISNUMBER(_xlpm.d),_xlpm.d,""
       )
    )</f>
        <v>44432</v>
      </c>
      <c r="I974" s="6">
        <f>_xlfn.LET(
     _xlpm.s, TRIM(Employee_dataset[[#This Row],[Salary]]),
     IF(
        UPPER(_xlpm.s)="N/A","",
        IF(
           ISNUMBER(--_xlpm.s),ROUND(_xlfn.NUMBERVALUE(_xlpm.s),2),""
          )
       )
    )</f>
        <v>96346.53</v>
      </c>
      <c r="J974" t="str">
        <f>TRIM(Employee_dataset[[#This Row],[Email]])</f>
        <v>bob.smith@example.com</v>
      </c>
      <c r="K974" t="str">
        <f>_xlfn.LET(
     _xlpm.p,TRIM(SUBSTITUTE(Employee_dataset[[#This Row],[Phone]],"-","")),
     IF(
        LEN(_xlpm.p)=10,_xlfn.CONCAT("("&amp;LEFT(_xlpm.p,3)&amp;") "&amp;MID(_xlpm.p,4,3)&amp;"-"&amp;RIGHT(_xlpm.p,4),"")
       )
     )</f>
        <v>(787) 655-3006</v>
      </c>
      <c r="L974" t="str">
        <f>TRIM(Employee_dataset[[#This Row],[Performance_Score]])</f>
        <v>Average</v>
      </c>
      <c r="M974" t="str">
        <f>TRIM(Employee_dataset[[#This Row],[Remote_Work]])</f>
        <v>TRUE</v>
      </c>
    </row>
    <row r="975" spans="1:13" x14ac:dyDescent="0.3">
      <c r="A975" t="str">
        <f>TRIM(Employee_dataset[[#This Row],[Employee_ID]])</f>
        <v>EMP1973</v>
      </c>
      <c r="B975" t="str">
        <f>PROPER(TRIM(Employee_dataset[[#This Row],[First_Name]]))</f>
        <v>Eva</v>
      </c>
      <c r="C975" t="str">
        <f>PROPER(TRIM(Employee_dataset[[#This Row],[Last_Name]]))</f>
        <v>Williams</v>
      </c>
      <c r="D975" s="6" t="str">
        <f>_xlfn.LET(
     _xlpm.a, TRIM(Employee_dataset[[#This Row],[Age]]),
     IF(
        _xlpm.a="","",
        IF(
           AND(ISNUMBER(--_xlpm.a),LEN(_xlpm.a)=2),_xlpm.a,""
          )
       )
    )</f>
        <v/>
      </c>
      <c r="E975" t="str">
        <f>TRIM(_xlfn.TEXTBEFORE(Employee_dataset[[#This Row],[Department_Region]],"-"))</f>
        <v>HR</v>
      </c>
      <c r="F975" t="str">
        <f>TRIM(_xlfn.TEXTAFTER(Employee_dataset[[#This Row],[Department_Region]],"-"))</f>
        <v>Illinois</v>
      </c>
      <c r="G975" t="str">
        <f>TRIM(Employee_dataset[[#This Row],[Status]])</f>
        <v>Pending</v>
      </c>
      <c r="H975" s="1">
        <f>_xlfn.LET(
     _xlpm.d, Employee_dataset[[#This Row],[Join_Date]],
     IF(
        ISNUMBER(_xlpm.d),_xlpm.d,""
       )
    )</f>
        <v>43867</v>
      </c>
      <c r="I975" s="6">
        <f>_xlfn.LET(
     _xlpm.s, TRIM(Employee_dataset[[#This Row],[Salary]]),
     IF(
        UPPER(_xlpm.s)="N/A","",
        IF(
           ISNUMBER(--_xlpm.s),ROUND(_xlfn.NUMBERVALUE(_xlpm.s),2),""
          )
       )
    )</f>
        <v>116680.63</v>
      </c>
      <c r="J975" t="str">
        <f>TRIM(Employee_dataset[[#This Row],[Email]])</f>
        <v>eva.williams@example.com</v>
      </c>
      <c r="K975" t="str">
        <f>_xlfn.LET(
     _xlpm.p,TRIM(SUBSTITUTE(Employee_dataset[[#This Row],[Phone]],"-","")),
     IF(
        LEN(_xlpm.p)=10,_xlfn.CONCAT("("&amp;LEFT(_xlpm.p,3)&amp;") "&amp;MID(_xlpm.p,4,3)&amp;"-"&amp;RIGHT(_xlpm.p,4),"")
       )
     )</f>
        <v>(309) 505-5604</v>
      </c>
      <c r="L975" t="str">
        <f>TRIM(Employee_dataset[[#This Row],[Performance_Score]])</f>
        <v>Excellent</v>
      </c>
      <c r="M975" t="str">
        <f>TRIM(Employee_dataset[[#This Row],[Remote_Work]])</f>
        <v>TRUE</v>
      </c>
    </row>
    <row r="976" spans="1:13" x14ac:dyDescent="0.3">
      <c r="A976" t="str">
        <f>TRIM(Employee_dataset[[#This Row],[Employee_ID]])</f>
        <v>EMP1974</v>
      </c>
      <c r="B976" t="str">
        <f>PROPER(TRIM(Employee_dataset[[#This Row],[First_Name]]))</f>
        <v>Grace</v>
      </c>
      <c r="C976" t="str">
        <f>PROPER(TRIM(Employee_dataset[[#This Row],[Last_Name]]))</f>
        <v>Brown</v>
      </c>
      <c r="D976" s="6" t="str">
        <f>_xlfn.LET(
     _xlpm.a, TRIM(Employee_dataset[[#This Row],[Age]]),
     IF(
        _xlpm.a="","",
        IF(
           AND(ISNUMBER(--_xlpm.a),LEN(_xlpm.a)=2),_xlpm.a,""
          )
       )
    )</f>
        <v>25</v>
      </c>
      <c r="E976" t="str">
        <f>TRIM(_xlfn.TEXTBEFORE(Employee_dataset[[#This Row],[Department_Region]],"-"))</f>
        <v>Finance</v>
      </c>
      <c r="F976" t="str">
        <f>TRIM(_xlfn.TEXTAFTER(Employee_dataset[[#This Row],[Department_Region]],"-"))</f>
        <v>Florida</v>
      </c>
      <c r="G976" t="str">
        <f>TRIM(Employee_dataset[[#This Row],[Status]])</f>
        <v>Inactive</v>
      </c>
      <c r="H976" s="1">
        <f>_xlfn.LET(
     _xlpm.d, Employee_dataset[[#This Row],[Join_Date]],
     IF(
        ISNUMBER(_xlpm.d),_xlpm.d,""
       )
    )</f>
        <v>45577</v>
      </c>
      <c r="I976" s="6">
        <f>_xlfn.LET(
     _xlpm.s, TRIM(Employee_dataset[[#This Row],[Salary]]),
     IF(
        UPPER(_xlpm.s)="N/A","",
        IF(
           ISNUMBER(--_xlpm.s),ROUND(_xlfn.NUMBERVALUE(_xlpm.s),2),""
          )
       )
    )</f>
        <v>76343.56</v>
      </c>
      <c r="J976" t="str">
        <f>TRIM(Employee_dataset[[#This Row],[Email]])</f>
        <v>grace.brown@example.com</v>
      </c>
      <c r="K976" t="str">
        <f>_xlfn.LET(
     _xlpm.p,TRIM(SUBSTITUTE(Employee_dataset[[#This Row],[Phone]],"-","")),
     IF(
        LEN(_xlpm.p)=10,_xlfn.CONCAT("("&amp;LEFT(_xlpm.p,3)&amp;") "&amp;MID(_xlpm.p,4,3)&amp;"-"&amp;RIGHT(_xlpm.p,4),"")
       )
     )</f>
        <v>(712) 198-8191</v>
      </c>
      <c r="L976" t="str">
        <f>TRIM(Employee_dataset[[#This Row],[Performance_Score]])</f>
        <v>Excellent</v>
      </c>
      <c r="M976" t="str">
        <f>TRIM(Employee_dataset[[#This Row],[Remote_Work]])</f>
        <v>FALSE</v>
      </c>
    </row>
    <row r="977" spans="1:13" x14ac:dyDescent="0.3">
      <c r="A977" t="str">
        <f>TRIM(Employee_dataset[[#This Row],[Employee_ID]])</f>
        <v>EMP1975</v>
      </c>
      <c r="B977" t="str">
        <f>PROPER(TRIM(Employee_dataset[[#This Row],[First_Name]]))</f>
        <v>Alice</v>
      </c>
      <c r="C977" t="str">
        <f>PROPER(TRIM(Employee_dataset[[#This Row],[Last_Name]]))</f>
        <v>Johnson</v>
      </c>
      <c r="D977" s="6" t="str">
        <f>_xlfn.LET(
     _xlpm.a, TRIM(Employee_dataset[[#This Row],[Age]]),
     IF(
        _xlpm.a="","",
        IF(
           AND(ISNUMBER(--_xlpm.a),LEN(_xlpm.a)=2),_xlpm.a,""
          )
       )
    )</f>
        <v>30</v>
      </c>
      <c r="E977" t="str">
        <f>TRIM(_xlfn.TEXTBEFORE(Employee_dataset[[#This Row],[Department_Region]],"-"))</f>
        <v>Sales</v>
      </c>
      <c r="F977" t="str">
        <f>TRIM(_xlfn.TEXTAFTER(Employee_dataset[[#This Row],[Department_Region]],"-"))</f>
        <v>Nevada</v>
      </c>
      <c r="G977" t="str">
        <f>TRIM(Employee_dataset[[#This Row],[Status]])</f>
        <v>Inactive</v>
      </c>
      <c r="H977" s="1">
        <f>_xlfn.LET(
     _xlpm.d, Employee_dataset[[#This Row],[Join_Date]],
     IF(
        ISNUMBER(_xlpm.d),_xlpm.d,""
       )
    )</f>
        <v>45642</v>
      </c>
      <c r="I977" s="6">
        <f>_xlfn.LET(
     _xlpm.s, TRIM(Employee_dataset[[#This Row],[Salary]]),
     IF(
        UPPER(_xlpm.s)="N/A","",
        IF(
           ISNUMBER(--_xlpm.s),ROUND(_xlfn.NUMBERVALUE(_xlpm.s),2),""
          )
       )
    )</f>
        <v>99424.14</v>
      </c>
      <c r="J977" t="str">
        <f>TRIM(Employee_dataset[[#This Row],[Email]])</f>
        <v>alice.johnson@example.com</v>
      </c>
      <c r="K977" t="str">
        <f>_xlfn.LET(
     _xlpm.p,TRIM(SUBSTITUTE(Employee_dataset[[#This Row],[Phone]],"-","")),
     IF(
        LEN(_xlpm.p)=10,_xlfn.CONCAT("("&amp;LEFT(_xlpm.p,3)&amp;") "&amp;MID(_xlpm.p,4,3)&amp;"-"&amp;RIGHT(_xlpm.p,4),"")
       )
     )</f>
        <v>(778) 851-9052</v>
      </c>
      <c r="L977" t="str">
        <f>TRIM(Employee_dataset[[#This Row],[Performance_Score]])</f>
        <v>Excellent</v>
      </c>
      <c r="M977" t="str">
        <f>TRIM(Employee_dataset[[#This Row],[Remote_Work]])</f>
        <v>FALSE</v>
      </c>
    </row>
    <row r="978" spans="1:13" x14ac:dyDescent="0.3">
      <c r="A978" t="str">
        <f>TRIM(Employee_dataset[[#This Row],[Employee_ID]])</f>
        <v>EMP1976</v>
      </c>
      <c r="B978" t="str">
        <f>PROPER(TRIM(Employee_dataset[[#This Row],[First_Name]]))</f>
        <v>Charlie</v>
      </c>
      <c r="C978" t="str">
        <f>PROPER(TRIM(Employee_dataset[[#This Row],[Last_Name]]))</f>
        <v>Garcia</v>
      </c>
      <c r="D978" s="6" t="str">
        <f>_xlfn.LET(
     _xlpm.a, TRIM(Employee_dataset[[#This Row],[Age]]),
     IF(
        _xlpm.a="","",
        IF(
           AND(ISNUMBER(--_xlpm.a),LEN(_xlpm.a)=2),_xlpm.a,""
          )
       )
    )</f>
        <v>35</v>
      </c>
      <c r="E978" t="str">
        <f>TRIM(_xlfn.TEXTBEFORE(Employee_dataset[[#This Row],[Department_Region]],"-"))</f>
        <v>DevOps</v>
      </c>
      <c r="F978" t="str">
        <f>TRIM(_xlfn.TEXTAFTER(Employee_dataset[[#This Row],[Department_Region]],"-"))</f>
        <v>Florida</v>
      </c>
      <c r="G978" t="str">
        <f>TRIM(Employee_dataset[[#This Row],[Status]])</f>
        <v>Inactive</v>
      </c>
      <c r="H978" s="1">
        <f>_xlfn.LET(
     _xlpm.d, Employee_dataset[[#This Row],[Join_Date]],
     IF(
        ISNUMBER(_xlpm.d),_xlpm.d,""
       )
    )</f>
        <v>45395</v>
      </c>
      <c r="I978" s="6">
        <f>_xlfn.LET(
     _xlpm.s, TRIM(Employee_dataset[[#This Row],[Salary]]),
     IF(
        UPPER(_xlpm.s)="N/A","",
        IF(
           ISNUMBER(--_xlpm.s),ROUND(_xlfn.NUMBERVALUE(_xlpm.s),2),""
          )
       )
    )</f>
        <v>57656.74</v>
      </c>
      <c r="J978" t="str">
        <f>TRIM(Employee_dataset[[#This Row],[Email]])</f>
        <v>charlie.garcia@example.com</v>
      </c>
      <c r="K978" t="str">
        <f>_xlfn.LET(
     _xlpm.p,TRIM(SUBSTITUTE(Employee_dataset[[#This Row],[Phone]],"-","")),
     IF(
        LEN(_xlpm.p)=10,_xlfn.CONCAT("("&amp;LEFT(_xlpm.p,3)&amp;") "&amp;MID(_xlpm.p,4,3)&amp;"-"&amp;RIGHT(_xlpm.p,4),"")
       )
     )</f>
        <v>(486) 401-0423</v>
      </c>
      <c r="L978" t="str">
        <f>TRIM(Employee_dataset[[#This Row],[Performance_Score]])</f>
        <v>Good</v>
      </c>
      <c r="M978" t="str">
        <f>TRIM(Employee_dataset[[#This Row],[Remote_Work]])</f>
        <v>TRUE</v>
      </c>
    </row>
    <row r="979" spans="1:13" x14ac:dyDescent="0.3">
      <c r="A979" t="str">
        <f>TRIM(Employee_dataset[[#This Row],[Employee_ID]])</f>
        <v>EMP1977</v>
      </c>
      <c r="B979" t="str">
        <f>PROPER(TRIM(Employee_dataset[[#This Row],[First_Name]]))</f>
        <v>Heidi</v>
      </c>
      <c r="C979" t="str">
        <f>PROPER(TRIM(Employee_dataset[[#This Row],[Last_Name]]))</f>
        <v>Garcia</v>
      </c>
      <c r="D979" s="6" t="str">
        <f>_xlfn.LET(
     _xlpm.a, TRIM(Employee_dataset[[#This Row],[Age]]),
     IF(
        _xlpm.a="","",
        IF(
           AND(ISNUMBER(--_xlpm.a),LEN(_xlpm.a)=2),_xlpm.a,""
          )
       )
    )</f>
        <v>40</v>
      </c>
      <c r="E979" t="str">
        <f>TRIM(_xlfn.TEXTBEFORE(Employee_dataset[[#This Row],[Department_Region]],"-"))</f>
        <v>Sales</v>
      </c>
      <c r="F979" t="str">
        <f>TRIM(_xlfn.TEXTAFTER(Employee_dataset[[#This Row],[Department_Region]],"-"))</f>
        <v>New York</v>
      </c>
      <c r="G979" t="str">
        <f>TRIM(Employee_dataset[[#This Row],[Status]])</f>
        <v>Pending</v>
      </c>
      <c r="H979" s="1">
        <f>_xlfn.LET(
     _xlpm.d, Employee_dataset[[#This Row],[Join_Date]],
     IF(
        ISNUMBER(_xlpm.d),_xlpm.d,""
       )
    )</f>
        <v>43945</v>
      </c>
      <c r="I979" s="6">
        <f>_xlfn.LET(
     _xlpm.s, TRIM(Employee_dataset[[#This Row],[Salary]]),
     IF(
        UPPER(_xlpm.s)="N/A","",
        IF(
           ISNUMBER(--_xlpm.s),ROUND(_xlfn.NUMBERVALUE(_xlpm.s),2),""
          )
       )
    )</f>
        <v>77396.94</v>
      </c>
      <c r="J979" t="str">
        <f>TRIM(Employee_dataset[[#This Row],[Email]])</f>
        <v>heidi.garcia@example.com</v>
      </c>
      <c r="K979" t="str">
        <f>_xlfn.LET(
     _xlpm.p,TRIM(SUBSTITUTE(Employee_dataset[[#This Row],[Phone]],"-","")),
     IF(
        LEN(_xlpm.p)=10,_xlfn.CONCAT("("&amp;LEFT(_xlpm.p,3)&amp;") "&amp;MID(_xlpm.p,4,3)&amp;"-"&amp;RIGHT(_xlpm.p,4),"")
       )
     )</f>
        <v>(624) 561-8516</v>
      </c>
      <c r="L979" t="str">
        <f>TRIM(Employee_dataset[[#This Row],[Performance_Score]])</f>
        <v>Excellent</v>
      </c>
      <c r="M979" t="str">
        <f>TRIM(Employee_dataset[[#This Row],[Remote_Work]])</f>
        <v>TRUE</v>
      </c>
    </row>
    <row r="980" spans="1:13" x14ac:dyDescent="0.3">
      <c r="A980" t="str">
        <f>TRIM(Employee_dataset[[#This Row],[Employee_ID]])</f>
        <v>EMP1978</v>
      </c>
      <c r="B980" t="str">
        <f>PROPER(TRIM(Employee_dataset[[#This Row],[First_Name]]))</f>
        <v>Grace</v>
      </c>
      <c r="C980" t="str">
        <f>PROPER(TRIM(Employee_dataset[[#This Row],[Last_Name]]))</f>
        <v>Garcia</v>
      </c>
      <c r="D980" s="6" t="str">
        <f>_xlfn.LET(
     _xlpm.a, TRIM(Employee_dataset[[#This Row],[Age]]),
     IF(
        _xlpm.a="","",
        IF(
           AND(ISNUMBER(--_xlpm.a),LEN(_xlpm.a)=2),_xlpm.a,""
          )
       )
    )</f>
        <v/>
      </c>
      <c r="E980" t="str">
        <f>TRIM(_xlfn.TEXTBEFORE(Employee_dataset[[#This Row],[Department_Region]],"-"))</f>
        <v>DevOps</v>
      </c>
      <c r="F980" t="str">
        <f>TRIM(_xlfn.TEXTAFTER(Employee_dataset[[#This Row],[Department_Region]],"-"))</f>
        <v>California</v>
      </c>
      <c r="G980" t="str">
        <f>TRIM(Employee_dataset[[#This Row],[Status]])</f>
        <v>Inactive</v>
      </c>
      <c r="H980" s="1">
        <f>_xlfn.LET(
     _xlpm.d, Employee_dataset[[#This Row],[Join_Date]],
     IF(
        ISNUMBER(_xlpm.d),_xlpm.d,""
       )
    )</f>
        <v>44487</v>
      </c>
      <c r="I980" s="6">
        <f>_xlfn.LET(
     _xlpm.s, TRIM(Employee_dataset[[#This Row],[Salary]]),
     IF(
        UPPER(_xlpm.s)="N/A","",
        IF(
           ISNUMBER(--_xlpm.s),ROUND(_xlfn.NUMBERVALUE(_xlpm.s),2),""
          )
       )
    )</f>
        <v>54299.68</v>
      </c>
      <c r="J980" t="str">
        <f>TRIM(Employee_dataset[[#This Row],[Email]])</f>
        <v>grace.garcia@example.com</v>
      </c>
      <c r="K980" t="str">
        <f>_xlfn.LET(
     _xlpm.p,TRIM(SUBSTITUTE(Employee_dataset[[#This Row],[Phone]],"-","")),
     IF(
        LEN(_xlpm.p)=10,_xlfn.CONCAT("("&amp;LEFT(_xlpm.p,3)&amp;") "&amp;MID(_xlpm.p,4,3)&amp;"-"&amp;RIGHT(_xlpm.p,4),"")
       )
     )</f>
        <v>(446) 004-5211</v>
      </c>
      <c r="L980" t="str">
        <f>TRIM(Employee_dataset[[#This Row],[Performance_Score]])</f>
        <v>Average</v>
      </c>
      <c r="M980" t="str">
        <f>TRIM(Employee_dataset[[#This Row],[Remote_Work]])</f>
        <v>FALSE</v>
      </c>
    </row>
    <row r="981" spans="1:13" x14ac:dyDescent="0.3">
      <c r="A981" t="str">
        <f>TRIM(Employee_dataset[[#This Row],[Employee_ID]])</f>
        <v>EMP1979</v>
      </c>
      <c r="B981" t="str">
        <f>PROPER(TRIM(Employee_dataset[[#This Row],[First_Name]]))</f>
        <v>Charlie</v>
      </c>
      <c r="C981" t="str">
        <f>PROPER(TRIM(Employee_dataset[[#This Row],[Last_Name]]))</f>
        <v>Miller</v>
      </c>
      <c r="D981" s="6" t="str">
        <f>_xlfn.LET(
     _xlpm.a, TRIM(Employee_dataset[[#This Row],[Age]]),
     IF(
        _xlpm.a="","",
        IF(
           AND(ISNUMBER(--_xlpm.a),LEN(_xlpm.a)=2),_xlpm.a,""
          )
       )
    )</f>
        <v>35</v>
      </c>
      <c r="E981" t="str">
        <f>TRIM(_xlfn.TEXTBEFORE(Employee_dataset[[#This Row],[Department_Region]],"-"))</f>
        <v>HR</v>
      </c>
      <c r="F981" t="str">
        <f>TRIM(_xlfn.TEXTAFTER(Employee_dataset[[#This Row],[Department_Region]],"-"))</f>
        <v>Nevada</v>
      </c>
      <c r="G981" t="str">
        <f>TRIM(Employee_dataset[[#This Row],[Status]])</f>
        <v>Pending</v>
      </c>
      <c r="H981" s="1">
        <f>_xlfn.LET(
     _xlpm.d, Employee_dataset[[#This Row],[Join_Date]],
     IF(
        ISNUMBER(_xlpm.d),_xlpm.d,""
       )
    )</f>
        <v>43886</v>
      </c>
      <c r="I981" s="6">
        <f>_xlfn.LET(
     _xlpm.s, TRIM(Employee_dataset[[#This Row],[Salary]]),
     IF(
        UPPER(_xlpm.s)="N/A","",
        IF(
           ISNUMBER(--_xlpm.s),ROUND(_xlfn.NUMBERVALUE(_xlpm.s),2),""
          )
       )
    )</f>
        <v>103563.58</v>
      </c>
      <c r="J981" t="str">
        <f>TRIM(Employee_dataset[[#This Row],[Email]])</f>
        <v>charlie.miller@example.com</v>
      </c>
      <c r="K981" t="str">
        <f>_xlfn.LET(
     _xlpm.p,TRIM(SUBSTITUTE(Employee_dataset[[#This Row],[Phone]],"-","")),
     IF(
        LEN(_xlpm.p)=10,_xlfn.CONCAT("("&amp;LEFT(_xlpm.p,3)&amp;") "&amp;MID(_xlpm.p,4,3)&amp;"-"&amp;RIGHT(_xlpm.p,4),"")
       )
     )</f>
        <v>(899) 151-1454</v>
      </c>
      <c r="L981" t="str">
        <f>TRIM(Employee_dataset[[#This Row],[Performance_Score]])</f>
        <v>Excellent</v>
      </c>
      <c r="M981" t="str">
        <f>TRIM(Employee_dataset[[#This Row],[Remote_Work]])</f>
        <v>TRUE</v>
      </c>
    </row>
    <row r="982" spans="1:13" x14ac:dyDescent="0.3">
      <c r="A982" t="str">
        <f>TRIM(Employee_dataset[[#This Row],[Employee_ID]])</f>
        <v>EMP1980</v>
      </c>
      <c r="B982" t="str">
        <f>PROPER(TRIM(Employee_dataset[[#This Row],[First_Name]]))</f>
        <v>Grace</v>
      </c>
      <c r="C982" t="str">
        <f>PROPER(TRIM(Employee_dataset[[#This Row],[Last_Name]]))</f>
        <v>Brown</v>
      </c>
      <c r="D982" s="6" t="str">
        <f>_xlfn.LET(
     _xlpm.a, TRIM(Employee_dataset[[#This Row],[Age]]),
     IF(
        _xlpm.a="","",
        IF(
           AND(ISNUMBER(--_xlpm.a),LEN(_xlpm.a)=2),_xlpm.a,""
          )
       )
    )</f>
        <v>25</v>
      </c>
      <c r="E982" t="str">
        <f>TRIM(_xlfn.TEXTBEFORE(Employee_dataset[[#This Row],[Department_Region]],"-"))</f>
        <v>Finance</v>
      </c>
      <c r="F982" t="str">
        <f>TRIM(_xlfn.TEXTAFTER(Employee_dataset[[#This Row],[Department_Region]],"-"))</f>
        <v>California</v>
      </c>
      <c r="G982" t="str">
        <f>TRIM(Employee_dataset[[#This Row],[Status]])</f>
        <v>Inactive</v>
      </c>
      <c r="H982" s="1">
        <f>_xlfn.LET(
     _xlpm.d, Employee_dataset[[#This Row],[Join_Date]],
     IF(
        ISNUMBER(_xlpm.d),_xlpm.d,""
       )
    )</f>
        <v>44674</v>
      </c>
      <c r="I982" s="6">
        <f>_xlfn.LET(
     _xlpm.s, TRIM(Employee_dataset[[#This Row],[Salary]]),
     IF(
        UPPER(_xlpm.s)="N/A","",
        IF(
           ISNUMBER(--_xlpm.s),ROUND(_xlfn.NUMBERVALUE(_xlpm.s),2),""
          )
       )
    )</f>
        <v>74588.850000000006</v>
      </c>
      <c r="J982" t="str">
        <f>TRIM(Employee_dataset[[#This Row],[Email]])</f>
        <v>grace.brown@example.com</v>
      </c>
      <c r="K982" t="str">
        <f>_xlfn.LET(
     _xlpm.p,TRIM(SUBSTITUTE(Employee_dataset[[#This Row],[Phone]],"-","")),
     IF(
        LEN(_xlpm.p)=10,_xlfn.CONCAT("("&amp;LEFT(_xlpm.p,3)&amp;") "&amp;MID(_xlpm.p,4,3)&amp;"-"&amp;RIGHT(_xlpm.p,4),"")
       )
     )</f>
        <v>(129) 391-3043</v>
      </c>
      <c r="L982" t="str">
        <f>TRIM(Employee_dataset[[#This Row],[Performance_Score]])</f>
        <v>Average</v>
      </c>
      <c r="M982" t="str">
        <f>TRIM(Employee_dataset[[#This Row],[Remote_Work]])</f>
        <v>FALSE</v>
      </c>
    </row>
    <row r="983" spans="1:13" x14ac:dyDescent="0.3">
      <c r="A983" t="str">
        <f>TRIM(Employee_dataset[[#This Row],[Employee_ID]])</f>
        <v>EMP1981</v>
      </c>
      <c r="B983" t="str">
        <f>PROPER(TRIM(Employee_dataset[[#This Row],[First_Name]]))</f>
        <v>David</v>
      </c>
      <c r="C983" t="str">
        <f>PROPER(TRIM(Employee_dataset[[#This Row],[Last_Name]]))</f>
        <v>Garcia</v>
      </c>
      <c r="D983" s="6" t="str">
        <f>_xlfn.LET(
     _xlpm.a, TRIM(Employee_dataset[[#This Row],[Age]]),
     IF(
        _xlpm.a="","",
        IF(
           AND(ISNUMBER(--_xlpm.a),LEN(_xlpm.a)=2),_xlpm.a,""
          )
       )
    )</f>
        <v>30</v>
      </c>
      <c r="E983" t="str">
        <f>TRIM(_xlfn.TEXTBEFORE(Employee_dataset[[#This Row],[Department_Region]],"-"))</f>
        <v>DevOps</v>
      </c>
      <c r="F983" t="str">
        <f>TRIM(_xlfn.TEXTAFTER(Employee_dataset[[#This Row],[Department_Region]],"-"))</f>
        <v>California</v>
      </c>
      <c r="G983" t="str">
        <f>TRIM(Employee_dataset[[#This Row],[Status]])</f>
        <v>Pending</v>
      </c>
      <c r="H983" s="1">
        <f>_xlfn.LET(
     _xlpm.d, Employee_dataset[[#This Row],[Join_Date]],
     IF(
        ISNUMBER(_xlpm.d),_xlpm.d,""
       )
    )</f>
        <v>44004</v>
      </c>
      <c r="I983" s="6">
        <f>_xlfn.LET(
     _xlpm.s, TRIM(Employee_dataset[[#This Row],[Salary]]),
     IF(
        UPPER(_xlpm.s)="N/A","",
        IF(
           ISNUMBER(--_xlpm.s),ROUND(_xlfn.NUMBERVALUE(_xlpm.s),2),""
          )
       )
    )</f>
        <v>113727.23</v>
      </c>
      <c r="J983" t="str">
        <f>TRIM(Employee_dataset[[#This Row],[Email]])</f>
        <v>david.garcia@example.com</v>
      </c>
      <c r="K983" t="str">
        <f>_xlfn.LET(
     _xlpm.p,TRIM(SUBSTITUTE(Employee_dataset[[#This Row],[Phone]],"-","")),
     IF(
        LEN(_xlpm.p)=10,_xlfn.CONCAT("("&amp;LEFT(_xlpm.p,3)&amp;") "&amp;MID(_xlpm.p,4,3)&amp;"-"&amp;RIGHT(_xlpm.p,4),"")
       )
     )</f>
        <v>(881) 898-4840</v>
      </c>
      <c r="L983" t="str">
        <f>TRIM(Employee_dataset[[#This Row],[Performance_Score]])</f>
        <v>Poor</v>
      </c>
      <c r="M983" t="str">
        <f>TRIM(Employee_dataset[[#This Row],[Remote_Work]])</f>
        <v>FALSE</v>
      </c>
    </row>
    <row r="984" spans="1:13" x14ac:dyDescent="0.3">
      <c r="A984" t="str">
        <f>TRIM(Employee_dataset[[#This Row],[Employee_ID]])</f>
        <v>EMP1982</v>
      </c>
      <c r="B984" t="str">
        <f>PROPER(TRIM(Employee_dataset[[#This Row],[First_Name]]))</f>
        <v>Eva</v>
      </c>
      <c r="C984" t="str">
        <f>PROPER(TRIM(Employee_dataset[[#This Row],[Last_Name]]))</f>
        <v>Brown</v>
      </c>
      <c r="D984" s="6" t="str">
        <f>_xlfn.LET(
     _xlpm.a, TRIM(Employee_dataset[[#This Row],[Age]]),
     IF(
        _xlpm.a="","",
        IF(
           AND(ISNUMBER(--_xlpm.a),LEN(_xlpm.a)=2),_xlpm.a,""
          )
       )
    )</f>
        <v>25</v>
      </c>
      <c r="E984" t="str">
        <f>TRIM(_xlfn.TEXTBEFORE(Employee_dataset[[#This Row],[Department_Region]],"-"))</f>
        <v>HR</v>
      </c>
      <c r="F984" t="str">
        <f>TRIM(_xlfn.TEXTAFTER(Employee_dataset[[#This Row],[Department_Region]],"-"))</f>
        <v>New York</v>
      </c>
      <c r="G984" t="str">
        <f>TRIM(Employee_dataset[[#This Row],[Status]])</f>
        <v>Active</v>
      </c>
      <c r="H984" s="1">
        <f>_xlfn.LET(
     _xlpm.d, Employee_dataset[[#This Row],[Join_Date]],
     IF(
        ISNUMBER(_xlpm.d),_xlpm.d,""
       )
    )</f>
        <v>44933</v>
      </c>
      <c r="I984" s="6">
        <f>_xlfn.LET(
     _xlpm.s, TRIM(Employee_dataset[[#This Row],[Salary]]),
     IF(
        UPPER(_xlpm.s)="N/A","",
        IF(
           ISNUMBER(--_xlpm.s),ROUND(_xlfn.NUMBERVALUE(_xlpm.s),2),""
          )
       )
    )</f>
        <v>72828.179999999993</v>
      </c>
      <c r="J984" t="str">
        <f>TRIM(Employee_dataset[[#This Row],[Email]])</f>
        <v>eva.brown@example.com</v>
      </c>
      <c r="K984" t="str">
        <f>_xlfn.LET(
     _xlpm.p,TRIM(SUBSTITUTE(Employee_dataset[[#This Row],[Phone]],"-","")),
     IF(
        LEN(_xlpm.p)=10,_xlfn.CONCAT("("&amp;LEFT(_xlpm.p,3)&amp;") "&amp;MID(_xlpm.p,4,3)&amp;"-"&amp;RIGHT(_xlpm.p,4),"")
       )
     )</f>
        <v>(604) 615-4020</v>
      </c>
      <c r="L984" t="str">
        <f>TRIM(Employee_dataset[[#This Row],[Performance_Score]])</f>
        <v>Good</v>
      </c>
      <c r="M984" t="str">
        <f>TRIM(Employee_dataset[[#This Row],[Remote_Work]])</f>
        <v>FALSE</v>
      </c>
    </row>
    <row r="985" spans="1:13" x14ac:dyDescent="0.3">
      <c r="A985" t="str">
        <f>TRIM(Employee_dataset[[#This Row],[Employee_ID]])</f>
        <v>EMP1983</v>
      </c>
      <c r="B985" t="str">
        <f>PROPER(TRIM(Employee_dataset[[#This Row],[First_Name]]))</f>
        <v>Grace</v>
      </c>
      <c r="C985" t="str">
        <f>PROPER(TRIM(Employee_dataset[[#This Row],[Last_Name]]))</f>
        <v>Jones</v>
      </c>
      <c r="D985" s="6" t="str">
        <f>_xlfn.LET(
     _xlpm.a, TRIM(Employee_dataset[[#This Row],[Age]]),
     IF(
        _xlpm.a="","",
        IF(
           AND(ISNUMBER(--_xlpm.a),LEN(_xlpm.a)=2),_xlpm.a,""
          )
       )
    )</f>
        <v/>
      </c>
      <c r="E985" t="str">
        <f>TRIM(_xlfn.TEXTBEFORE(Employee_dataset[[#This Row],[Department_Region]],"-"))</f>
        <v>Sales</v>
      </c>
      <c r="F985" t="str">
        <f>TRIM(_xlfn.TEXTAFTER(Employee_dataset[[#This Row],[Department_Region]],"-"))</f>
        <v>Florida</v>
      </c>
      <c r="G985" t="str">
        <f>TRIM(Employee_dataset[[#This Row],[Status]])</f>
        <v>Inactive</v>
      </c>
      <c r="H985" s="1">
        <f>_xlfn.LET(
     _xlpm.d, Employee_dataset[[#This Row],[Join_Date]],
     IF(
        ISNUMBER(_xlpm.d),_xlpm.d,""
       )
    )</f>
        <v>43872</v>
      </c>
      <c r="I985" s="6">
        <f>_xlfn.LET(
     _xlpm.s, TRIM(Employee_dataset[[#This Row],[Salary]]),
     IF(
        UPPER(_xlpm.s)="N/A","",
        IF(
           ISNUMBER(--_xlpm.s),ROUND(_xlfn.NUMBERVALUE(_xlpm.s),2),""
          )
       )
    )</f>
        <v>98717.09</v>
      </c>
      <c r="J985" t="str">
        <f>TRIM(Employee_dataset[[#This Row],[Email]])</f>
        <v>grace.jones@example.com</v>
      </c>
      <c r="K985" t="str">
        <f>_xlfn.LET(
     _xlpm.p,TRIM(SUBSTITUTE(Employee_dataset[[#This Row],[Phone]],"-","")),
     IF(
        LEN(_xlpm.p)=10,_xlfn.CONCAT("("&amp;LEFT(_xlpm.p,3)&amp;") "&amp;MID(_xlpm.p,4,3)&amp;"-"&amp;RIGHT(_xlpm.p,4),"")
       )
     )</f>
        <v>(190) 170-7567</v>
      </c>
      <c r="L985" t="str">
        <f>TRIM(Employee_dataset[[#This Row],[Performance_Score]])</f>
        <v>Poor</v>
      </c>
      <c r="M985" t="str">
        <f>TRIM(Employee_dataset[[#This Row],[Remote_Work]])</f>
        <v>FALSE</v>
      </c>
    </row>
    <row r="986" spans="1:13" x14ac:dyDescent="0.3">
      <c r="A986" t="str">
        <f>TRIM(Employee_dataset[[#This Row],[Employee_ID]])</f>
        <v>EMP1984</v>
      </c>
      <c r="B986" t="str">
        <f>PROPER(TRIM(Employee_dataset[[#This Row],[First_Name]]))</f>
        <v>Frank</v>
      </c>
      <c r="C986" t="str">
        <f>PROPER(TRIM(Employee_dataset[[#This Row],[Last_Name]]))</f>
        <v>Garcia</v>
      </c>
      <c r="D986" s="6" t="str">
        <f>_xlfn.LET(
     _xlpm.a, TRIM(Employee_dataset[[#This Row],[Age]]),
     IF(
        _xlpm.a="","",
        IF(
           AND(ISNUMBER(--_xlpm.a),LEN(_xlpm.a)=2),_xlpm.a,""
          )
       )
    )</f>
        <v>40</v>
      </c>
      <c r="E986" t="str">
        <f>TRIM(_xlfn.TEXTBEFORE(Employee_dataset[[#This Row],[Department_Region]],"-"))</f>
        <v>Sales</v>
      </c>
      <c r="F986" t="str">
        <f>TRIM(_xlfn.TEXTAFTER(Employee_dataset[[#This Row],[Department_Region]],"-"))</f>
        <v>Florida</v>
      </c>
      <c r="G986" t="str">
        <f>TRIM(Employee_dataset[[#This Row],[Status]])</f>
        <v>Inactive</v>
      </c>
      <c r="H986" s="1">
        <f>_xlfn.LET(
     _xlpm.d, Employee_dataset[[#This Row],[Join_Date]],
     IF(
        ISNUMBER(_xlpm.d),_xlpm.d,""
       )
    )</f>
        <v>45003</v>
      </c>
      <c r="I986" s="6">
        <f>_xlfn.LET(
     _xlpm.s, TRIM(Employee_dataset[[#This Row],[Salary]]),
     IF(
        UPPER(_xlpm.s)="N/A","",
        IF(
           ISNUMBER(--_xlpm.s),ROUND(_xlfn.NUMBERVALUE(_xlpm.s),2),""
          )
       )
    )</f>
        <v>56840.800000000003</v>
      </c>
      <c r="J986" t="str">
        <f>TRIM(Employee_dataset[[#This Row],[Email]])</f>
        <v>frank.garcia@example.com</v>
      </c>
      <c r="K986" t="str">
        <f>_xlfn.LET(
     _xlpm.p,TRIM(SUBSTITUTE(Employee_dataset[[#This Row],[Phone]],"-","")),
     IF(
        LEN(_xlpm.p)=10,_xlfn.CONCAT("("&amp;LEFT(_xlpm.p,3)&amp;") "&amp;MID(_xlpm.p,4,3)&amp;"-"&amp;RIGHT(_xlpm.p,4),"")
       )
     )</f>
        <v>(142) 983-1521</v>
      </c>
      <c r="L986" t="str">
        <f>TRIM(Employee_dataset[[#This Row],[Performance_Score]])</f>
        <v>Poor</v>
      </c>
      <c r="M986" t="str">
        <f>TRIM(Employee_dataset[[#This Row],[Remote_Work]])</f>
        <v>TRUE</v>
      </c>
    </row>
    <row r="987" spans="1:13" x14ac:dyDescent="0.3">
      <c r="A987" t="str">
        <f>TRIM(Employee_dataset[[#This Row],[Employee_ID]])</f>
        <v>EMP1985</v>
      </c>
      <c r="B987" t="str">
        <f>PROPER(TRIM(Employee_dataset[[#This Row],[First_Name]]))</f>
        <v>David</v>
      </c>
      <c r="C987" t="str">
        <f>PROPER(TRIM(Employee_dataset[[#This Row],[Last_Name]]))</f>
        <v>Johnson</v>
      </c>
      <c r="D987" s="6" t="str">
        <f>_xlfn.LET(
     _xlpm.a, TRIM(Employee_dataset[[#This Row],[Age]]),
     IF(
        _xlpm.a="","",
        IF(
           AND(ISNUMBER(--_xlpm.a),LEN(_xlpm.a)=2),_xlpm.a,""
          )
       )
    )</f>
        <v>35</v>
      </c>
      <c r="E987" t="str">
        <f>TRIM(_xlfn.TEXTBEFORE(Employee_dataset[[#This Row],[Department_Region]],"-"))</f>
        <v>Finance</v>
      </c>
      <c r="F987" t="str">
        <f>TRIM(_xlfn.TEXTAFTER(Employee_dataset[[#This Row],[Department_Region]],"-"))</f>
        <v>Illinois</v>
      </c>
      <c r="G987" t="str">
        <f>TRIM(Employee_dataset[[#This Row],[Status]])</f>
        <v>Pending</v>
      </c>
      <c r="H987" s="1">
        <f>_xlfn.LET(
     _xlpm.d, Employee_dataset[[#This Row],[Join_Date]],
     IF(
        ISNUMBER(_xlpm.d),_xlpm.d,""
       )
    )</f>
        <v>44526</v>
      </c>
      <c r="I987" s="6">
        <f>_xlfn.LET(
     _xlpm.s, TRIM(Employee_dataset[[#This Row],[Salary]]),
     IF(
        UPPER(_xlpm.s)="N/A","",
        IF(
           ISNUMBER(--_xlpm.s),ROUND(_xlfn.NUMBERVALUE(_xlpm.s),2),""
          )
       )
    )</f>
        <v>61663.91</v>
      </c>
      <c r="J987" t="str">
        <f>TRIM(Employee_dataset[[#This Row],[Email]])</f>
        <v>david.johnson@example.com</v>
      </c>
      <c r="K987" t="str">
        <f>_xlfn.LET(
     _xlpm.p,TRIM(SUBSTITUTE(Employee_dataset[[#This Row],[Phone]],"-","")),
     IF(
        LEN(_xlpm.p)=10,_xlfn.CONCAT("("&amp;LEFT(_xlpm.p,3)&amp;") "&amp;MID(_xlpm.p,4,3)&amp;"-"&amp;RIGHT(_xlpm.p,4),"")
       )
     )</f>
        <v>(910) 732-2835</v>
      </c>
      <c r="L987" t="str">
        <f>TRIM(Employee_dataset[[#This Row],[Performance_Score]])</f>
        <v>Average</v>
      </c>
      <c r="M987" t="str">
        <f>TRIM(Employee_dataset[[#This Row],[Remote_Work]])</f>
        <v>TRUE</v>
      </c>
    </row>
    <row r="988" spans="1:13" x14ac:dyDescent="0.3">
      <c r="A988" t="str">
        <f>TRIM(Employee_dataset[[#This Row],[Employee_ID]])</f>
        <v>EMP1986</v>
      </c>
      <c r="B988" t="str">
        <f>PROPER(TRIM(Employee_dataset[[#This Row],[First_Name]]))</f>
        <v>Grace</v>
      </c>
      <c r="C988" t="str">
        <f>PROPER(TRIM(Employee_dataset[[#This Row],[Last_Name]]))</f>
        <v>Brown</v>
      </c>
      <c r="D988" s="6" t="str">
        <f>_xlfn.LET(
     _xlpm.a, TRIM(Employee_dataset[[#This Row],[Age]]),
     IF(
        _xlpm.a="","",
        IF(
           AND(ISNUMBER(--_xlpm.a),LEN(_xlpm.a)=2),_xlpm.a,""
          )
       )
    )</f>
        <v>30</v>
      </c>
      <c r="E988" t="str">
        <f>TRIM(_xlfn.TEXTBEFORE(Employee_dataset[[#This Row],[Department_Region]],"-"))</f>
        <v>Finance</v>
      </c>
      <c r="F988" t="str">
        <f>TRIM(_xlfn.TEXTAFTER(Employee_dataset[[#This Row],[Department_Region]],"-"))</f>
        <v>Nevada</v>
      </c>
      <c r="G988" t="str">
        <f>TRIM(Employee_dataset[[#This Row],[Status]])</f>
        <v>Active</v>
      </c>
      <c r="H988" s="1">
        <f>_xlfn.LET(
     _xlpm.d, Employee_dataset[[#This Row],[Join_Date]],
     IF(
        ISNUMBER(_xlpm.d),_xlpm.d,""
       )
    )</f>
        <v>45552</v>
      </c>
      <c r="I988" s="6">
        <f>_xlfn.LET(
     _xlpm.s, TRIM(Employee_dataset[[#This Row],[Salary]]),
     IF(
        UPPER(_xlpm.s)="N/A","",
        IF(
           ISNUMBER(--_xlpm.s),ROUND(_xlfn.NUMBERVALUE(_xlpm.s),2),""
          )
       )
    )</f>
        <v>109523.4</v>
      </c>
      <c r="J988" t="str">
        <f>TRIM(Employee_dataset[[#This Row],[Email]])</f>
        <v>grace.brown@example.com</v>
      </c>
      <c r="K988" t="b">
        <f>_xlfn.LET(
     _xlpm.p,TRIM(SUBSTITUTE(Employee_dataset[[#This Row],[Phone]],"-","")),
     IF(
        LEN(_xlpm.p)=10,_xlfn.CONCAT("("&amp;LEFT(_xlpm.p,3)&amp;") "&amp;MID(_xlpm.p,4,3)&amp;"-"&amp;RIGHT(_xlpm.p,4),"")
       )
     )</f>
        <v>0</v>
      </c>
      <c r="L988" t="str">
        <f>TRIM(Employee_dataset[[#This Row],[Performance_Score]])</f>
        <v>Poor</v>
      </c>
      <c r="M988" t="str">
        <f>TRIM(Employee_dataset[[#This Row],[Remote_Work]])</f>
        <v>TRUE</v>
      </c>
    </row>
    <row r="989" spans="1:13" x14ac:dyDescent="0.3">
      <c r="A989" t="str">
        <f>TRIM(Employee_dataset[[#This Row],[Employee_ID]])</f>
        <v>EMP1987</v>
      </c>
      <c r="B989" t="str">
        <f>PROPER(TRIM(Employee_dataset[[#This Row],[First_Name]]))</f>
        <v>Eva</v>
      </c>
      <c r="C989" t="str">
        <f>PROPER(TRIM(Employee_dataset[[#This Row],[Last_Name]]))</f>
        <v>Brown</v>
      </c>
      <c r="D989" s="6" t="str">
        <f>_xlfn.LET(
     _xlpm.a, TRIM(Employee_dataset[[#This Row],[Age]]),
     IF(
        _xlpm.a="","",
        IF(
           AND(ISNUMBER(--_xlpm.a),LEN(_xlpm.a)=2),_xlpm.a,""
          )
       )
    )</f>
        <v>25</v>
      </c>
      <c r="E989" t="str">
        <f>TRIM(_xlfn.TEXTBEFORE(Employee_dataset[[#This Row],[Department_Region]],"-"))</f>
        <v>HR</v>
      </c>
      <c r="F989" t="str">
        <f>TRIM(_xlfn.TEXTAFTER(Employee_dataset[[#This Row],[Department_Region]],"-"))</f>
        <v>Illinois</v>
      </c>
      <c r="G989" t="str">
        <f>TRIM(Employee_dataset[[#This Row],[Status]])</f>
        <v>Inactive</v>
      </c>
      <c r="H989" s="1">
        <f>_xlfn.LET(
     _xlpm.d, Employee_dataset[[#This Row],[Join_Date]],
     IF(
        ISNUMBER(_xlpm.d),_xlpm.d,""
       )
    )</f>
        <v>45478</v>
      </c>
      <c r="I989" s="6">
        <f>_xlfn.LET(
     _xlpm.s, TRIM(Employee_dataset[[#This Row],[Salary]]),
     IF(
        UPPER(_xlpm.s)="N/A","",
        IF(
           ISNUMBER(--_xlpm.s),ROUND(_xlfn.NUMBERVALUE(_xlpm.s),2),""
          )
       )
    )</f>
        <v>65812.02</v>
      </c>
      <c r="J989" t="str">
        <f>TRIM(Employee_dataset[[#This Row],[Email]])</f>
        <v>eva.brown@example.com</v>
      </c>
      <c r="K989" t="str">
        <f>_xlfn.LET(
     _xlpm.p,TRIM(SUBSTITUTE(Employee_dataset[[#This Row],[Phone]],"-","")),
     IF(
        LEN(_xlpm.p)=10,_xlfn.CONCAT("("&amp;LEFT(_xlpm.p,3)&amp;") "&amp;MID(_xlpm.p,4,3)&amp;"-"&amp;RIGHT(_xlpm.p,4),"")
       )
     )</f>
        <v>(396) 384-5268</v>
      </c>
      <c r="L989" t="str">
        <f>TRIM(Employee_dataset[[#This Row],[Performance_Score]])</f>
        <v>Average</v>
      </c>
      <c r="M989" t="str">
        <f>TRIM(Employee_dataset[[#This Row],[Remote_Work]])</f>
        <v>TRUE</v>
      </c>
    </row>
    <row r="990" spans="1:13" x14ac:dyDescent="0.3">
      <c r="A990" t="str">
        <f>TRIM(Employee_dataset[[#This Row],[Employee_ID]])</f>
        <v>EMP1988</v>
      </c>
      <c r="B990" t="str">
        <f>PROPER(TRIM(Employee_dataset[[#This Row],[First_Name]]))</f>
        <v>Bob</v>
      </c>
      <c r="C990" t="str">
        <f>PROPER(TRIM(Employee_dataset[[#This Row],[Last_Name]]))</f>
        <v>Johnson</v>
      </c>
      <c r="D990" s="6" t="str">
        <f>_xlfn.LET(
     _xlpm.a, TRIM(Employee_dataset[[#This Row],[Age]]),
     IF(
        _xlpm.a="","",
        IF(
           AND(ISNUMBER(--_xlpm.a),LEN(_xlpm.a)=2),_xlpm.a,""
          )
       )
    )</f>
        <v/>
      </c>
      <c r="E990" t="str">
        <f>TRIM(_xlfn.TEXTBEFORE(Employee_dataset[[#This Row],[Department_Region]],"-"))</f>
        <v>Cloud Tech</v>
      </c>
      <c r="F990" t="str">
        <f>TRIM(_xlfn.TEXTAFTER(Employee_dataset[[#This Row],[Department_Region]],"-"))</f>
        <v>Illinois</v>
      </c>
      <c r="G990" t="str">
        <f>TRIM(Employee_dataset[[#This Row],[Status]])</f>
        <v>Inactive</v>
      </c>
      <c r="H990" s="1">
        <f>_xlfn.LET(
     _xlpm.d, Employee_dataset[[#This Row],[Join_Date]],
     IF(
        ISNUMBER(_xlpm.d),_xlpm.d,""
       )
    )</f>
        <v>44390</v>
      </c>
      <c r="I990" s="6">
        <f>_xlfn.LET(
     _xlpm.s, TRIM(Employee_dataset[[#This Row],[Salary]]),
     IF(
        UPPER(_xlpm.s)="N/A","",
        IF(
           ISNUMBER(--_xlpm.s),ROUND(_xlfn.NUMBERVALUE(_xlpm.s),2),""
          )
       )
    )</f>
        <v>54708.88</v>
      </c>
      <c r="J990" t="str">
        <f>TRIM(Employee_dataset[[#This Row],[Email]])</f>
        <v>bob.johnson@example.com</v>
      </c>
      <c r="K990" t="str">
        <f>_xlfn.LET(
     _xlpm.p,TRIM(SUBSTITUTE(Employee_dataset[[#This Row],[Phone]],"-","")),
     IF(
        LEN(_xlpm.p)=10,_xlfn.CONCAT("("&amp;LEFT(_xlpm.p,3)&amp;") "&amp;MID(_xlpm.p,4,3)&amp;"-"&amp;RIGHT(_xlpm.p,4),"")
       )
     )</f>
        <v>(694) 439-1648</v>
      </c>
      <c r="L990" t="str">
        <f>TRIM(Employee_dataset[[#This Row],[Performance_Score]])</f>
        <v>Excellent</v>
      </c>
      <c r="M990" t="str">
        <f>TRIM(Employee_dataset[[#This Row],[Remote_Work]])</f>
        <v>TRUE</v>
      </c>
    </row>
    <row r="991" spans="1:13" x14ac:dyDescent="0.3">
      <c r="A991" t="str">
        <f>TRIM(Employee_dataset[[#This Row],[Employee_ID]])</f>
        <v>EMP1989</v>
      </c>
      <c r="B991" t="str">
        <f>PROPER(TRIM(Employee_dataset[[#This Row],[First_Name]]))</f>
        <v>Heidi</v>
      </c>
      <c r="C991" t="str">
        <f>PROPER(TRIM(Employee_dataset[[#This Row],[Last_Name]]))</f>
        <v>Garcia</v>
      </c>
      <c r="D991" s="6" t="str">
        <f>_xlfn.LET(
     _xlpm.a, TRIM(Employee_dataset[[#This Row],[Age]]),
     IF(
        _xlpm.a="","",
        IF(
           AND(ISNUMBER(--_xlpm.a),LEN(_xlpm.a)=2),_xlpm.a,""
          )
       )
    )</f>
        <v>40</v>
      </c>
      <c r="E991" t="str">
        <f>TRIM(_xlfn.TEXTBEFORE(Employee_dataset[[#This Row],[Department_Region]],"-"))</f>
        <v>Admin</v>
      </c>
      <c r="F991" t="str">
        <f>TRIM(_xlfn.TEXTAFTER(Employee_dataset[[#This Row],[Department_Region]],"-"))</f>
        <v>California</v>
      </c>
      <c r="G991" t="str">
        <f>TRIM(Employee_dataset[[#This Row],[Status]])</f>
        <v>Active</v>
      </c>
      <c r="H991" s="1">
        <f>_xlfn.LET(
     _xlpm.d, Employee_dataset[[#This Row],[Join_Date]],
     IF(
        ISNUMBER(_xlpm.d),_xlpm.d,""
       )
    )</f>
        <v>45165</v>
      </c>
      <c r="I991" s="6">
        <f>_xlfn.LET(
     _xlpm.s, TRIM(Employee_dataset[[#This Row],[Salary]]),
     IF(
        UPPER(_xlpm.s)="N/A","",
        IF(
           ISNUMBER(--_xlpm.s),ROUND(_xlfn.NUMBERVALUE(_xlpm.s),2),""
          )
       )
    )</f>
        <v>107661.73</v>
      </c>
      <c r="J991" t="str">
        <f>TRIM(Employee_dataset[[#This Row],[Email]])</f>
        <v>heidi.garcia@example.com</v>
      </c>
      <c r="K991" t="str">
        <f>_xlfn.LET(
     _xlpm.p,TRIM(SUBSTITUTE(Employee_dataset[[#This Row],[Phone]],"-","")),
     IF(
        LEN(_xlpm.p)=10,_xlfn.CONCAT("("&amp;LEFT(_xlpm.p,3)&amp;") "&amp;MID(_xlpm.p,4,3)&amp;"-"&amp;RIGHT(_xlpm.p,4),"")
       )
     )</f>
        <v>(701) 693-4291</v>
      </c>
      <c r="L991" t="str">
        <f>TRIM(Employee_dataset[[#This Row],[Performance_Score]])</f>
        <v>Excellent</v>
      </c>
      <c r="M991" t="str">
        <f>TRIM(Employee_dataset[[#This Row],[Remote_Work]])</f>
        <v>TRUE</v>
      </c>
    </row>
    <row r="992" spans="1:13" x14ac:dyDescent="0.3">
      <c r="A992" t="str">
        <f>TRIM(Employee_dataset[[#This Row],[Employee_ID]])</f>
        <v>EMP1990</v>
      </c>
      <c r="B992" t="str">
        <f>PROPER(TRIM(Employee_dataset[[#This Row],[First_Name]]))</f>
        <v>Eva</v>
      </c>
      <c r="C992" t="str">
        <f>PROPER(TRIM(Employee_dataset[[#This Row],[Last_Name]]))</f>
        <v>Johnson</v>
      </c>
      <c r="D992" s="6" t="str">
        <f>_xlfn.LET(
     _xlpm.a, TRIM(Employee_dataset[[#This Row],[Age]]),
     IF(
        _xlpm.a="","",
        IF(
           AND(ISNUMBER(--_xlpm.a),LEN(_xlpm.a)=2),_xlpm.a,""
          )
       )
    )</f>
        <v>40</v>
      </c>
      <c r="E992" t="str">
        <f>TRIM(_xlfn.TEXTBEFORE(Employee_dataset[[#This Row],[Department_Region]],"-"))</f>
        <v>DevOps</v>
      </c>
      <c r="F992" t="str">
        <f>TRIM(_xlfn.TEXTAFTER(Employee_dataset[[#This Row],[Department_Region]],"-"))</f>
        <v>Illinois</v>
      </c>
      <c r="G992" t="str">
        <f>TRIM(Employee_dataset[[#This Row],[Status]])</f>
        <v>Inactive</v>
      </c>
      <c r="H992" s="1">
        <f>_xlfn.LET(
     _xlpm.d, Employee_dataset[[#This Row],[Join_Date]],
     IF(
        ISNUMBER(_xlpm.d),_xlpm.d,""
       )
    )</f>
        <v>44240</v>
      </c>
      <c r="I992" s="6">
        <f>_xlfn.LET(
     _xlpm.s, TRIM(Employee_dataset[[#This Row],[Salary]]),
     IF(
        UPPER(_xlpm.s)="N/A","",
        IF(
           ISNUMBER(--_xlpm.s),ROUND(_xlfn.NUMBERVALUE(_xlpm.s),2),""
          )
       )
    )</f>
        <v>79002</v>
      </c>
      <c r="J992" t="str">
        <f>TRIM(Employee_dataset[[#This Row],[Email]])</f>
        <v>eva.johnson@example.com</v>
      </c>
      <c r="K992" t="str">
        <f>_xlfn.LET(
     _xlpm.p,TRIM(SUBSTITUTE(Employee_dataset[[#This Row],[Phone]],"-","")),
     IF(
        LEN(_xlpm.p)=10,_xlfn.CONCAT("("&amp;LEFT(_xlpm.p,3)&amp;") "&amp;MID(_xlpm.p,4,3)&amp;"-"&amp;RIGHT(_xlpm.p,4),"")
       )
     )</f>
        <v>(913) 203-3015</v>
      </c>
      <c r="L992" t="str">
        <f>TRIM(Employee_dataset[[#This Row],[Performance_Score]])</f>
        <v>Average</v>
      </c>
      <c r="M992" t="str">
        <f>TRIM(Employee_dataset[[#This Row],[Remote_Work]])</f>
        <v>TRUE</v>
      </c>
    </row>
    <row r="993" spans="1:13" x14ac:dyDescent="0.3">
      <c r="A993" t="str">
        <f>TRIM(Employee_dataset[[#This Row],[Employee_ID]])</f>
        <v>EMP1991</v>
      </c>
      <c r="B993" t="str">
        <f>PROPER(TRIM(Employee_dataset[[#This Row],[First_Name]]))</f>
        <v>Heidi</v>
      </c>
      <c r="C993" t="str">
        <f>PROPER(TRIM(Employee_dataset[[#This Row],[Last_Name]]))</f>
        <v>Brown</v>
      </c>
      <c r="D993" s="6" t="str">
        <f>_xlfn.LET(
     _xlpm.a, TRIM(Employee_dataset[[#This Row],[Age]]),
     IF(
        _xlpm.a="","",
        IF(
           AND(ISNUMBER(--_xlpm.a),LEN(_xlpm.a)=2),_xlpm.a,""
          )
       )
    )</f>
        <v/>
      </c>
      <c r="E993" t="str">
        <f>TRIM(_xlfn.TEXTBEFORE(Employee_dataset[[#This Row],[Department_Region]],"-"))</f>
        <v>Admin</v>
      </c>
      <c r="F993" t="str">
        <f>TRIM(_xlfn.TEXTAFTER(Employee_dataset[[#This Row],[Department_Region]],"-"))</f>
        <v>Texas</v>
      </c>
      <c r="G993" t="str">
        <f>TRIM(Employee_dataset[[#This Row],[Status]])</f>
        <v>Pending</v>
      </c>
      <c r="H993" s="1">
        <f>_xlfn.LET(
     _xlpm.d, Employee_dataset[[#This Row],[Join_Date]],
     IF(
        ISNUMBER(_xlpm.d),_xlpm.d,""
       )
    )</f>
        <v>45271</v>
      </c>
      <c r="I993" s="6">
        <f>_xlfn.LET(
     _xlpm.s, TRIM(Employee_dataset[[#This Row],[Salary]]),
     IF(
        UPPER(_xlpm.s)="N/A","",
        IF(
           ISNUMBER(--_xlpm.s),ROUND(_xlfn.NUMBERVALUE(_xlpm.s),2),""
          )
       )
    )</f>
        <v>86135.69</v>
      </c>
      <c r="J993" t="str">
        <f>TRIM(Employee_dataset[[#This Row],[Email]])</f>
        <v>heidi.brown@example.com</v>
      </c>
      <c r="K993" t="str">
        <f>_xlfn.LET(
     _xlpm.p,TRIM(SUBSTITUTE(Employee_dataset[[#This Row],[Phone]],"-","")),
     IF(
        LEN(_xlpm.p)=10,_xlfn.CONCAT("("&amp;LEFT(_xlpm.p,3)&amp;") "&amp;MID(_xlpm.p,4,3)&amp;"-"&amp;RIGHT(_xlpm.p,4),"")
       )
     )</f>
        <v>(234) 190-3105</v>
      </c>
      <c r="L993" t="str">
        <f>TRIM(Employee_dataset[[#This Row],[Performance_Score]])</f>
        <v>Excellent</v>
      </c>
      <c r="M993" t="str">
        <f>TRIM(Employee_dataset[[#This Row],[Remote_Work]])</f>
        <v>FALSE</v>
      </c>
    </row>
    <row r="994" spans="1:13" x14ac:dyDescent="0.3">
      <c r="A994" t="str">
        <f>TRIM(Employee_dataset[[#This Row],[Employee_ID]])</f>
        <v>EMP1992</v>
      </c>
      <c r="B994" t="str">
        <f>PROPER(TRIM(Employee_dataset[[#This Row],[First_Name]]))</f>
        <v>Heidi</v>
      </c>
      <c r="C994" t="str">
        <f>PROPER(TRIM(Employee_dataset[[#This Row],[Last_Name]]))</f>
        <v>Johnson</v>
      </c>
      <c r="D994" s="6" t="str">
        <f>_xlfn.LET(
     _xlpm.a, TRIM(Employee_dataset[[#This Row],[Age]]),
     IF(
        _xlpm.a="","",
        IF(
           AND(ISNUMBER(--_xlpm.a),LEN(_xlpm.a)=2),_xlpm.a,""
          )
       )
    )</f>
        <v>30</v>
      </c>
      <c r="E994" t="str">
        <f>TRIM(_xlfn.TEXTBEFORE(Employee_dataset[[#This Row],[Department_Region]],"-"))</f>
        <v>DevOps</v>
      </c>
      <c r="F994" t="str">
        <f>TRIM(_xlfn.TEXTAFTER(Employee_dataset[[#This Row],[Department_Region]],"-"))</f>
        <v>Nevada</v>
      </c>
      <c r="G994" t="str">
        <f>TRIM(Employee_dataset[[#This Row],[Status]])</f>
        <v>Inactive</v>
      </c>
      <c r="H994" s="1">
        <f>_xlfn.LET(
     _xlpm.d, Employee_dataset[[#This Row],[Join_Date]],
     IF(
        ISNUMBER(_xlpm.d),_xlpm.d,""
       )
    )</f>
        <v>44379</v>
      </c>
      <c r="I994" s="6">
        <f>_xlfn.LET(
     _xlpm.s, TRIM(Employee_dataset[[#This Row],[Salary]]),
     IF(
        UPPER(_xlpm.s)="N/A","",
        IF(
           ISNUMBER(--_xlpm.s),ROUND(_xlfn.NUMBERVALUE(_xlpm.s),2),""
          )
       )
    )</f>
        <v>115601.4</v>
      </c>
      <c r="J994" t="str">
        <f>TRIM(Employee_dataset[[#This Row],[Email]])</f>
        <v>heidi.johnson@example.com</v>
      </c>
      <c r="K994" t="str">
        <f>_xlfn.LET(
     _xlpm.p,TRIM(SUBSTITUTE(Employee_dataset[[#This Row],[Phone]],"-","")),
     IF(
        LEN(_xlpm.p)=10,_xlfn.CONCAT("("&amp;LEFT(_xlpm.p,3)&amp;") "&amp;MID(_xlpm.p,4,3)&amp;"-"&amp;RIGHT(_xlpm.p,4),"")
       )
     )</f>
        <v>(153) 722-1555</v>
      </c>
      <c r="L994" t="str">
        <f>TRIM(Employee_dataset[[#This Row],[Performance_Score]])</f>
        <v>Good</v>
      </c>
      <c r="M994" t="str">
        <f>TRIM(Employee_dataset[[#This Row],[Remote_Work]])</f>
        <v>TRUE</v>
      </c>
    </row>
    <row r="995" spans="1:13" x14ac:dyDescent="0.3">
      <c r="A995" t="str">
        <f>TRIM(Employee_dataset[[#This Row],[Employee_ID]])</f>
        <v>EMP1993</v>
      </c>
      <c r="B995" t="str">
        <f>PROPER(TRIM(Employee_dataset[[#This Row],[First_Name]]))</f>
        <v>Grace</v>
      </c>
      <c r="C995" t="str">
        <f>PROPER(TRIM(Employee_dataset[[#This Row],[Last_Name]]))</f>
        <v>Brown</v>
      </c>
      <c r="D995" s="6" t="str">
        <f>_xlfn.LET(
     _xlpm.a, TRIM(Employee_dataset[[#This Row],[Age]]),
     IF(
        _xlpm.a="","",
        IF(
           AND(ISNUMBER(--_xlpm.a),LEN(_xlpm.a)=2),_xlpm.a,""
          )
       )
    )</f>
        <v/>
      </c>
      <c r="E995" t="str">
        <f>TRIM(_xlfn.TEXTBEFORE(Employee_dataset[[#This Row],[Department_Region]],"-"))</f>
        <v>DevOps</v>
      </c>
      <c r="F995" t="str">
        <f>TRIM(_xlfn.TEXTAFTER(Employee_dataset[[#This Row],[Department_Region]],"-"))</f>
        <v>Nevada</v>
      </c>
      <c r="G995" t="str">
        <f>TRIM(Employee_dataset[[#This Row],[Status]])</f>
        <v>Active</v>
      </c>
      <c r="H995" s="1">
        <f>_xlfn.LET(
     _xlpm.d, Employee_dataset[[#This Row],[Join_Date]],
     IF(
        ISNUMBER(_xlpm.d),_xlpm.d,""
       )
    )</f>
        <v>44900</v>
      </c>
      <c r="I995" s="6">
        <f>_xlfn.LET(
     _xlpm.s, TRIM(Employee_dataset[[#This Row],[Salary]]),
     IF(
        UPPER(_xlpm.s)="N/A","",
        IF(
           ISNUMBER(--_xlpm.s),ROUND(_xlfn.NUMBERVALUE(_xlpm.s),2),""
          )
       )
    )</f>
        <v>64045.36</v>
      </c>
      <c r="J995" t="str">
        <f>TRIM(Employee_dataset[[#This Row],[Email]])</f>
        <v>grace.brown@example.com</v>
      </c>
      <c r="K995" t="str">
        <f>_xlfn.LET(
     _xlpm.p,TRIM(SUBSTITUTE(Employee_dataset[[#This Row],[Phone]],"-","")),
     IF(
        LEN(_xlpm.p)=10,_xlfn.CONCAT("("&amp;LEFT(_xlpm.p,3)&amp;") "&amp;MID(_xlpm.p,4,3)&amp;"-"&amp;RIGHT(_xlpm.p,4),"")
       )
     )</f>
        <v>(684) 732-3652</v>
      </c>
      <c r="L995" t="str">
        <f>TRIM(Employee_dataset[[#This Row],[Performance_Score]])</f>
        <v>Poor</v>
      </c>
      <c r="M995" t="str">
        <f>TRIM(Employee_dataset[[#This Row],[Remote_Work]])</f>
        <v>TRUE</v>
      </c>
    </row>
    <row r="996" spans="1:13" x14ac:dyDescent="0.3">
      <c r="A996" t="str">
        <f>TRIM(Employee_dataset[[#This Row],[Employee_ID]])</f>
        <v>EMP1994</v>
      </c>
      <c r="B996" t="str">
        <f>PROPER(TRIM(Employee_dataset[[#This Row],[First_Name]]))</f>
        <v>David</v>
      </c>
      <c r="C996" t="str">
        <f>PROPER(TRIM(Employee_dataset[[#This Row],[Last_Name]]))</f>
        <v>Brown</v>
      </c>
      <c r="D996" s="6" t="str">
        <f>_xlfn.LET(
     _xlpm.a, TRIM(Employee_dataset[[#This Row],[Age]]),
     IF(
        _xlpm.a="","",
        IF(
           AND(ISNUMBER(--_xlpm.a),LEN(_xlpm.a)=2),_xlpm.a,""
          )
       )
    )</f>
        <v>30</v>
      </c>
      <c r="E996" t="str">
        <f>TRIM(_xlfn.TEXTBEFORE(Employee_dataset[[#This Row],[Department_Region]],"-"))</f>
        <v>DevOps</v>
      </c>
      <c r="F996" t="str">
        <f>TRIM(_xlfn.TEXTAFTER(Employee_dataset[[#This Row],[Department_Region]],"-"))</f>
        <v>Nevada</v>
      </c>
      <c r="G996" t="str">
        <f>TRIM(Employee_dataset[[#This Row],[Status]])</f>
        <v>Inactive</v>
      </c>
      <c r="H996" s="1">
        <f>_xlfn.LET(
     _xlpm.d, Employee_dataset[[#This Row],[Join_Date]],
     IF(
        ISNUMBER(_xlpm.d),_xlpm.d,""
       )
    )</f>
        <v>45559</v>
      </c>
      <c r="I996" s="6">
        <f>_xlfn.LET(
     _xlpm.s, TRIM(Employee_dataset[[#This Row],[Salary]]),
     IF(
        UPPER(_xlpm.s)="N/A","",
        IF(
           ISNUMBER(--_xlpm.s),ROUND(_xlfn.NUMBERVALUE(_xlpm.s),2),""
          )
       )
    )</f>
        <v>80477.210000000006</v>
      </c>
      <c r="J996" t="str">
        <f>TRIM(Employee_dataset[[#This Row],[Email]])</f>
        <v>david.brown@example.com</v>
      </c>
      <c r="K996" t="str">
        <f>_xlfn.LET(
     _xlpm.p,TRIM(SUBSTITUTE(Employee_dataset[[#This Row],[Phone]],"-","")),
     IF(
        LEN(_xlpm.p)=10,_xlfn.CONCAT("("&amp;LEFT(_xlpm.p,3)&amp;") "&amp;MID(_xlpm.p,4,3)&amp;"-"&amp;RIGHT(_xlpm.p,4),"")
       )
     )</f>
        <v>(377) 460-4066</v>
      </c>
      <c r="L996" t="str">
        <f>TRIM(Employee_dataset[[#This Row],[Performance_Score]])</f>
        <v>Good</v>
      </c>
      <c r="M996" t="str">
        <f>TRIM(Employee_dataset[[#This Row],[Remote_Work]])</f>
        <v>FALSE</v>
      </c>
    </row>
    <row r="997" spans="1:13" x14ac:dyDescent="0.3">
      <c r="A997" t="str">
        <f>TRIM(Employee_dataset[[#This Row],[Employee_ID]])</f>
        <v>EMP1995</v>
      </c>
      <c r="B997" t="str">
        <f>PROPER(TRIM(Employee_dataset[[#This Row],[First_Name]]))</f>
        <v>Bob</v>
      </c>
      <c r="C997" t="str">
        <f>PROPER(TRIM(Employee_dataset[[#This Row],[Last_Name]]))</f>
        <v>Jones</v>
      </c>
      <c r="D997" s="6" t="str">
        <f>_xlfn.LET(
     _xlpm.a, TRIM(Employee_dataset[[#This Row],[Age]]),
     IF(
        _xlpm.a="","",
        IF(
           AND(ISNUMBER(--_xlpm.a),LEN(_xlpm.a)=2),_xlpm.a,""
          )
       )
    )</f>
        <v>30</v>
      </c>
      <c r="E997" t="str">
        <f>TRIM(_xlfn.TEXTBEFORE(Employee_dataset[[#This Row],[Department_Region]],"-"))</f>
        <v>Finance</v>
      </c>
      <c r="F997" t="str">
        <f>TRIM(_xlfn.TEXTAFTER(Employee_dataset[[#This Row],[Department_Region]],"-"))</f>
        <v>California</v>
      </c>
      <c r="G997" t="str">
        <f>TRIM(Employee_dataset[[#This Row],[Status]])</f>
        <v>Inactive</v>
      </c>
      <c r="H997" s="1">
        <f>_xlfn.LET(
     _xlpm.d, Employee_dataset[[#This Row],[Join_Date]],
     IF(
        ISNUMBER(_xlpm.d),_xlpm.d,""
       )
    )</f>
        <v>45154</v>
      </c>
      <c r="I997" s="6">
        <f>_xlfn.LET(
     _xlpm.s, TRIM(Employee_dataset[[#This Row],[Salary]]),
     IF(
        UPPER(_xlpm.s)="N/A","",
        IF(
           ISNUMBER(--_xlpm.s),ROUND(_xlfn.NUMBERVALUE(_xlpm.s),2),""
          )
       )
    )</f>
        <v>61240.9</v>
      </c>
      <c r="J997" t="str">
        <f>TRIM(Employee_dataset[[#This Row],[Email]])</f>
        <v>bob.jones@example.com</v>
      </c>
      <c r="K997" t="str">
        <f>_xlfn.LET(
     _xlpm.p,TRIM(SUBSTITUTE(Employee_dataset[[#This Row],[Phone]],"-","")),
     IF(
        LEN(_xlpm.p)=10,_xlfn.CONCAT("("&amp;LEFT(_xlpm.p,3)&amp;") "&amp;MID(_xlpm.p,4,3)&amp;"-"&amp;RIGHT(_xlpm.p,4),"")
       )
     )</f>
        <v>(200) 784-3613</v>
      </c>
      <c r="L997" t="str">
        <f>TRIM(Employee_dataset[[#This Row],[Performance_Score]])</f>
        <v>Poor</v>
      </c>
      <c r="M997" t="str">
        <f>TRIM(Employee_dataset[[#This Row],[Remote_Work]])</f>
        <v>TRUE</v>
      </c>
    </row>
    <row r="998" spans="1:13" x14ac:dyDescent="0.3">
      <c r="A998" t="str">
        <f>TRIM(Employee_dataset[[#This Row],[Employee_ID]])</f>
        <v>EMP1996</v>
      </c>
      <c r="B998" t="str">
        <f>PROPER(TRIM(Employee_dataset[[#This Row],[First_Name]]))</f>
        <v>David</v>
      </c>
      <c r="C998" t="str">
        <f>PROPER(TRIM(Employee_dataset[[#This Row],[Last_Name]]))</f>
        <v>Smith</v>
      </c>
      <c r="D998" s="6" t="str">
        <f>_xlfn.LET(
     _xlpm.a, TRIM(Employee_dataset[[#This Row],[Age]]),
     IF(
        _xlpm.a="","",
        IF(
           AND(ISNUMBER(--_xlpm.a),LEN(_xlpm.a)=2),_xlpm.a,""
          )
       )
    )</f>
        <v>40</v>
      </c>
      <c r="E998" t="str">
        <f>TRIM(_xlfn.TEXTBEFORE(Employee_dataset[[#This Row],[Department_Region]],"-"))</f>
        <v>Admin</v>
      </c>
      <c r="F998" t="str">
        <f>TRIM(_xlfn.TEXTAFTER(Employee_dataset[[#This Row],[Department_Region]],"-"))</f>
        <v>Texas</v>
      </c>
      <c r="G998" t="str">
        <f>TRIM(Employee_dataset[[#This Row],[Status]])</f>
        <v>Active</v>
      </c>
      <c r="H998" s="1">
        <f>_xlfn.LET(
     _xlpm.d, Employee_dataset[[#This Row],[Join_Date]],
     IF(
        ISNUMBER(_xlpm.d),_xlpm.d,""
       )
    )</f>
        <v>44224</v>
      </c>
      <c r="I998" s="6">
        <f>_xlfn.LET(
     _xlpm.s, TRIM(Employee_dataset[[#This Row],[Salary]]),
     IF(
        UPPER(_xlpm.s)="N/A","",
        IF(
           ISNUMBER(--_xlpm.s),ROUND(_xlfn.NUMBERVALUE(_xlpm.s),2),""
          )
       )
    )</f>
        <v>51939.29</v>
      </c>
      <c r="J998" t="str">
        <f>TRIM(Employee_dataset[[#This Row],[Email]])</f>
        <v>david.smith@example.com</v>
      </c>
      <c r="K998" t="str">
        <f>_xlfn.LET(
     _xlpm.p,TRIM(SUBSTITUTE(Employee_dataset[[#This Row],[Phone]],"-","")),
     IF(
        LEN(_xlpm.p)=10,_xlfn.CONCAT("("&amp;LEFT(_xlpm.p,3)&amp;") "&amp;MID(_xlpm.p,4,3)&amp;"-"&amp;RIGHT(_xlpm.p,4),"")
       )
     )</f>
        <v>(244) 260-7818</v>
      </c>
      <c r="L998" t="str">
        <f>TRIM(Employee_dataset[[#This Row],[Performance_Score]])</f>
        <v>Excellent</v>
      </c>
      <c r="M998" t="str">
        <f>TRIM(Employee_dataset[[#This Row],[Remote_Work]])</f>
        <v>TRUE</v>
      </c>
    </row>
    <row r="999" spans="1:13" x14ac:dyDescent="0.3">
      <c r="A999" t="str">
        <f>TRIM(Employee_dataset[[#This Row],[Employee_ID]])</f>
        <v>EMP1997</v>
      </c>
      <c r="B999" t="str">
        <f>PROPER(TRIM(Employee_dataset[[#This Row],[First_Name]]))</f>
        <v>Eva</v>
      </c>
      <c r="C999" t="str">
        <f>PROPER(TRIM(Employee_dataset[[#This Row],[Last_Name]]))</f>
        <v>Brown</v>
      </c>
      <c r="D999" s="6" t="str">
        <f>_xlfn.LET(
     _xlpm.a, TRIM(Employee_dataset[[#This Row],[Age]]),
     IF(
        _xlpm.a="","",
        IF(
           AND(ISNUMBER(--_xlpm.a),LEN(_xlpm.a)=2),_xlpm.a,""
          )
       )
    )</f>
        <v>40</v>
      </c>
      <c r="E999" t="str">
        <f>TRIM(_xlfn.TEXTBEFORE(Employee_dataset[[#This Row],[Department_Region]],"-"))</f>
        <v>Finance</v>
      </c>
      <c r="F999" t="str">
        <f>TRIM(_xlfn.TEXTAFTER(Employee_dataset[[#This Row],[Department_Region]],"-"))</f>
        <v>Illinois</v>
      </c>
      <c r="G999" t="str">
        <f>TRIM(Employee_dataset[[#This Row],[Status]])</f>
        <v>Inactive</v>
      </c>
      <c r="H999" s="1">
        <f>_xlfn.LET(
     _xlpm.d, Employee_dataset[[#This Row],[Join_Date]],
     IF(
        ISNUMBER(_xlpm.d),_xlpm.d,""
       )
    )</f>
        <v>44695</v>
      </c>
      <c r="I999" s="6">
        <f>_xlfn.LET(
     _xlpm.s, TRIM(Employee_dataset[[#This Row],[Salary]]),
     IF(
        UPPER(_xlpm.s)="N/A","",
        IF(
           ISNUMBER(--_xlpm.s),ROUND(_xlfn.NUMBERVALUE(_xlpm.s),2),""
          )
       )
    )</f>
        <v>95284.54</v>
      </c>
      <c r="J999" t="str">
        <f>TRIM(Employee_dataset[[#This Row],[Email]])</f>
        <v>eva.brown@example.com</v>
      </c>
      <c r="K999" t="str">
        <f>_xlfn.LET(
     _xlpm.p,TRIM(SUBSTITUTE(Employee_dataset[[#This Row],[Phone]],"-","")),
     IF(
        LEN(_xlpm.p)=10,_xlfn.CONCAT("("&amp;LEFT(_xlpm.p,3)&amp;") "&amp;MID(_xlpm.p,4,3)&amp;"-"&amp;RIGHT(_xlpm.p,4),"")
       )
     )</f>
        <v>(754) 373-4763</v>
      </c>
      <c r="L999" t="str">
        <f>TRIM(Employee_dataset[[#This Row],[Performance_Score]])</f>
        <v>Good</v>
      </c>
      <c r="M999" t="str">
        <f>TRIM(Employee_dataset[[#This Row],[Remote_Work]])</f>
        <v>FALSE</v>
      </c>
    </row>
    <row r="1000" spans="1:13" x14ac:dyDescent="0.3">
      <c r="A1000" t="str">
        <f>TRIM(Employee_dataset[[#This Row],[Employee_ID]])</f>
        <v>EMP1998</v>
      </c>
      <c r="B1000" t="str">
        <f>PROPER(TRIM(Employee_dataset[[#This Row],[First_Name]]))</f>
        <v>Charlie</v>
      </c>
      <c r="C1000" t="str">
        <f>PROPER(TRIM(Employee_dataset[[#This Row],[Last_Name]]))</f>
        <v>Garcia</v>
      </c>
      <c r="D1000" s="6" t="str">
        <f>_xlfn.LET(
     _xlpm.a, TRIM(Employee_dataset[[#This Row],[Age]]),
     IF(
        _xlpm.a="","",
        IF(
           AND(ISNUMBER(--_xlpm.a),LEN(_xlpm.a)=2),_xlpm.a,""
          )
       )
    )</f>
        <v>35</v>
      </c>
      <c r="E1000" t="str">
        <f>TRIM(_xlfn.TEXTBEFORE(Employee_dataset[[#This Row],[Department_Region]],"-"))</f>
        <v>Admin</v>
      </c>
      <c r="F1000" t="str">
        <f>TRIM(_xlfn.TEXTAFTER(Employee_dataset[[#This Row],[Department_Region]],"-"))</f>
        <v>Texas</v>
      </c>
      <c r="G1000" t="str">
        <f>TRIM(Employee_dataset[[#This Row],[Status]])</f>
        <v>Inactive</v>
      </c>
      <c r="H1000" s="1">
        <f>_xlfn.LET(
     _xlpm.d, Employee_dataset[[#This Row],[Join_Date]],
     IF(
        ISNUMBER(_xlpm.d),_xlpm.d,""
       )
    )</f>
        <v>45448</v>
      </c>
      <c r="I1000" s="6">
        <f>_xlfn.LET(
     _xlpm.s, TRIM(Employee_dataset[[#This Row],[Salary]]),
     IF(
        UPPER(_xlpm.s)="N/A","",
        IF(
           ISNUMBER(--_xlpm.s),ROUND(_xlfn.NUMBERVALUE(_xlpm.s),2),""
          )
       )
    )</f>
        <v>106247.67</v>
      </c>
      <c r="J1000" t="str">
        <f>TRIM(Employee_dataset[[#This Row],[Email]])</f>
        <v>charlie.garcia@example.com</v>
      </c>
      <c r="K1000" t="str">
        <f>_xlfn.LET(
     _xlpm.p,TRIM(SUBSTITUTE(Employee_dataset[[#This Row],[Phone]],"-","")),
     IF(
        LEN(_xlpm.p)=10,_xlfn.CONCAT("("&amp;LEFT(_xlpm.p,3)&amp;") "&amp;MID(_xlpm.p,4,3)&amp;"-"&amp;RIGHT(_xlpm.p,4),"")
       )
     )</f>
        <v>(273) 720-3762</v>
      </c>
      <c r="L1000" t="str">
        <f>TRIM(Employee_dataset[[#This Row],[Performance_Score]])</f>
        <v>Excellent</v>
      </c>
      <c r="M1000" t="str">
        <f>TRIM(Employee_dataset[[#This Row],[Remote_Work]])</f>
        <v>TRUE</v>
      </c>
    </row>
    <row r="1001" spans="1:13" x14ac:dyDescent="0.3">
      <c r="A1001" t="str">
        <f>TRIM(Employee_dataset[[#This Row],[Employee_ID]])</f>
        <v>EMP1999</v>
      </c>
      <c r="B1001" t="str">
        <f>PROPER(TRIM(Employee_dataset[[#This Row],[First_Name]]))</f>
        <v>Charlie</v>
      </c>
      <c r="C1001" t="str">
        <f>PROPER(TRIM(Employee_dataset[[#This Row],[Last_Name]]))</f>
        <v>Williams</v>
      </c>
      <c r="D1001" s="6" t="str">
        <f>_xlfn.LET(
     _xlpm.a, TRIM(Employee_dataset[[#This Row],[Age]]),
     IF(
        _xlpm.a="","",
        IF(
           AND(ISNUMBER(--_xlpm.a),LEN(_xlpm.a)=2),_xlpm.a,""
          )
       )
    )</f>
        <v>25</v>
      </c>
      <c r="E1001" t="str">
        <f>TRIM(_xlfn.TEXTBEFORE(Employee_dataset[[#This Row],[Department_Region]],"-"))</f>
        <v>DevOps</v>
      </c>
      <c r="F1001" t="str">
        <f>TRIM(_xlfn.TEXTAFTER(Employee_dataset[[#This Row],[Department_Region]],"-"))</f>
        <v>Florida</v>
      </c>
      <c r="G1001" t="str">
        <f>TRIM(Employee_dataset[[#This Row],[Status]])</f>
        <v>Active</v>
      </c>
      <c r="H1001" s="1">
        <f>_xlfn.LET(
     _xlpm.d, Employee_dataset[[#This Row],[Join_Date]],
     IF(
        ISNUMBER(_xlpm.d),_xlpm.d,""
       )
    )</f>
        <v>43944</v>
      </c>
      <c r="I1001" s="6">
        <f>_xlfn.LET(
     _xlpm.s, TRIM(Employee_dataset[[#This Row],[Salary]]),
     IF(
        UPPER(_xlpm.s)="N/A","",
        IF(
           ISNUMBER(--_xlpm.s),ROUND(_xlfn.NUMBERVALUE(_xlpm.s),2),""
          )
       )
    )</f>
        <v>110170.88</v>
      </c>
      <c r="J1001" t="str">
        <f>TRIM(Employee_dataset[[#This Row],[Email]])</f>
        <v>charlie.williams@example.com</v>
      </c>
      <c r="K1001" t="str">
        <f>_xlfn.LET(
     _xlpm.p,TRIM(SUBSTITUTE(Employee_dataset[[#This Row],[Phone]],"-","")),
     IF(
        LEN(_xlpm.p)=10,_xlfn.CONCAT("("&amp;LEFT(_xlpm.p,3)&amp;") "&amp;MID(_xlpm.p,4,3)&amp;"-"&amp;RIGHT(_xlpm.p,4),"")
       )
     )</f>
        <v>(882) 145-8413</v>
      </c>
      <c r="L1001" t="str">
        <f>TRIM(Employee_dataset[[#This Row],[Performance_Score]])</f>
        <v>Poor</v>
      </c>
      <c r="M1001" t="str">
        <f>TRIM(Employee_dataset[[#This Row],[Remote_Work]])</f>
        <v>TRUE</v>
      </c>
    </row>
    <row r="1002" spans="1:13" x14ac:dyDescent="0.3">
      <c r="A1002" t="str">
        <f>TRIM(Employee_dataset[[#This Row],[Employee_ID]])</f>
        <v>EMP2000</v>
      </c>
      <c r="B1002" t="str">
        <f>PROPER(TRIM(Employee_dataset[[#This Row],[First_Name]]))</f>
        <v>Charlie</v>
      </c>
      <c r="C1002" t="str">
        <f>PROPER(TRIM(Employee_dataset[[#This Row],[Last_Name]]))</f>
        <v>Miller</v>
      </c>
      <c r="D1002" s="6" t="str">
        <f>_xlfn.LET(
     _xlpm.a, TRIM(Employee_dataset[[#This Row],[Age]]),
     IF(
        _xlpm.a="","",
        IF(
           AND(ISNUMBER(--_xlpm.a),LEN(_xlpm.a)=2),_xlpm.a,""
          )
       )
    )</f>
        <v>25</v>
      </c>
      <c r="E1002" t="str">
        <f>TRIM(_xlfn.TEXTBEFORE(Employee_dataset[[#This Row],[Department_Region]],"-"))</f>
        <v>HR</v>
      </c>
      <c r="F1002" t="str">
        <f>TRIM(_xlfn.TEXTAFTER(Employee_dataset[[#This Row],[Department_Region]],"-"))</f>
        <v>Nevada</v>
      </c>
      <c r="G1002" t="str">
        <f>TRIM(Employee_dataset[[#This Row],[Status]])</f>
        <v>Pending</v>
      </c>
      <c r="H1002" s="1">
        <f>_xlfn.LET(
     _xlpm.d, Employee_dataset[[#This Row],[Join_Date]],
     IF(
        ISNUMBER(_xlpm.d),_xlpm.d,""
       )
    )</f>
        <v>45453</v>
      </c>
      <c r="I1002" s="6">
        <f>_xlfn.LET(
     _xlpm.s, TRIM(Employee_dataset[[#This Row],[Salary]]),
     IF(
        UPPER(_xlpm.s)="N/A","",
        IF(
           ISNUMBER(--_xlpm.s),ROUND(_xlfn.NUMBERVALUE(_xlpm.s),2),""
          )
       )
    )</f>
        <v>52615.44</v>
      </c>
      <c r="J1002" t="str">
        <f>TRIM(Employee_dataset[[#This Row],[Email]])</f>
        <v>charlie.miller@example.com</v>
      </c>
      <c r="K1002" t="str">
        <f>_xlfn.LET(
     _xlpm.p,TRIM(SUBSTITUTE(Employee_dataset[[#This Row],[Phone]],"-","")),
     IF(
        LEN(_xlpm.p)=10,_xlfn.CONCAT("("&amp;LEFT(_xlpm.p,3)&amp;") "&amp;MID(_xlpm.p,4,3)&amp;"-"&amp;RIGHT(_xlpm.p,4),"")
       )
     )</f>
        <v>(846) 019-1343</v>
      </c>
      <c r="L1002" t="str">
        <f>TRIM(Employee_dataset[[#This Row],[Performance_Score]])</f>
        <v>Average</v>
      </c>
      <c r="M1002" t="str">
        <f>TRIM(Employee_dataset[[#This Row],[Remote_Work]])</f>
        <v>TRUE</v>
      </c>
    </row>
    <row r="1003" spans="1:13" x14ac:dyDescent="0.3">
      <c r="A1003" t="str">
        <f>TRIM(Employee_dataset[[#This Row],[Employee_ID]])</f>
        <v>EMP2001</v>
      </c>
      <c r="B1003" t="str">
        <f>PROPER(TRIM(Employee_dataset[[#This Row],[First_Name]]))</f>
        <v>Eva</v>
      </c>
      <c r="C1003" t="str">
        <f>PROPER(TRIM(Employee_dataset[[#This Row],[Last_Name]]))</f>
        <v>Davis</v>
      </c>
      <c r="D1003" s="6" t="str">
        <f>_xlfn.LET(
     _xlpm.a, TRIM(Employee_dataset[[#This Row],[Age]]),
     IF(
        _xlpm.a="","",
        IF(
           AND(ISNUMBER(--_xlpm.a),LEN(_xlpm.a)=2),_xlpm.a,""
          )
       )
    )</f>
        <v>30</v>
      </c>
      <c r="E1003" t="str">
        <f>TRIM(_xlfn.TEXTBEFORE(Employee_dataset[[#This Row],[Department_Region]],"-"))</f>
        <v>DevOps</v>
      </c>
      <c r="F1003" t="str">
        <f>TRIM(_xlfn.TEXTAFTER(Employee_dataset[[#This Row],[Department_Region]],"-"))</f>
        <v>Illinois</v>
      </c>
      <c r="G1003" t="str">
        <f>TRIM(Employee_dataset[[#This Row],[Status]])</f>
        <v>Inactive</v>
      </c>
      <c r="H1003" s="1">
        <f>_xlfn.LET(
     _xlpm.d, Employee_dataset[[#This Row],[Join_Date]],
     IF(
        ISNUMBER(_xlpm.d),_xlpm.d,""
       )
    )</f>
        <v>43939</v>
      </c>
      <c r="I1003" s="6">
        <f>_xlfn.LET(
     _xlpm.s, TRIM(Employee_dataset[[#This Row],[Salary]]),
     IF(
        UPPER(_xlpm.s)="N/A","",
        IF(
           ISNUMBER(--_xlpm.s),ROUND(_xlfn.NUMBERVALUE(_xlpm.s),2),""
          )
       )
    )</f>
        <v>82547.259999999995</v>
      </c>
      <c r="J1003" t="str">
        <f>TRIM(Employee_dataset[[#This Row],[Email]])</f>
        <v>eva.davis@example.com</v>
      </c>
      <c r="K1003" t="str">
        <f>_xlfn.LET(
     _xlpm.p,TRIM(SUBSTITUTE(Employee_dataset[[#This Row],[Phone]],"-","")),
     IF(
        LEN(_xlpm.p)=10,_xlfn.CONCAT("("&amp;LEFT(_xlpm.p,3)&amp;") "&amp;MID(_xlpm.p,4,3)&amp;"-"&amp;RIGHT(_xlpm.p,4),"")
       )
     )</f>
        <v>(389) 982-7801</v>
      </c>
      <c r="L1003" t="str">
        <f>TRIM(Employee_dataset[[#This Row],[Performance_Score]])</f>
        <v>Average</v>
      </c>
      <c r="M1003" t="str">
        <f>TRIM(Employee_dataset[[#This Row],[Remote_Work]])</f>
        <v>FALSE</v>
      </c>
    </row>
    <row r="1004" spans="1:13" x14ac:dyDescent="0.3">
      <c r="A1004" t="str">
        <f>TRIM(Employee_dataset[[#This Row],[Employee_ID]])</f>
        <v>EMP2002</v>
      </c>
      <c r="B1004" t="str">
        <f>PROPER(TRIM(Employee_dataset[[#This Row],[First_Name]]))</f>
        <v>Bob</v>
      </c>
      <c r="C1004" t="str">
        <f>PROPER(TRIM(Employee_dataset[[#This Row],[Last_Name]]))</f>
        <v>Smith</v>
      </c>
      <c r="D1004" s="6" t="str">
        <f>_xlfn.LET(
     _xlpm.a, TRIM(Employee_dataset[[#This Row],[Age]]),
     IF(
        _xlpm.a="","",
        IF(
           AND(ISNUMBER(--_xlpm.a),LEN(_xlpm.a)=2),_xlpm.a,""
          )
       )
    )</f>
        <v>35</v>
      </c>
      <c r="E1004" t="str">
        <f>TRIM(_xlfn.TEXTBEFORE(Employee_dataset[[#This Row],[Department_Region]],"-"))</f>
        <v>Finance</v>
      </c>
      <c r="F1004" t="str">
        <f>TRIM(_xlfn.TEXTAFTER(Employee_dataset[[#This Row],[Department_Region]],"-"))</f>
        <v>Illinois</v>
      </c>
      <c r="G1004" t="str">
        <f>TRIM(Employee_dataset[[#This Row],[Status]])</f>
        <v>Pending</v>
      </c>
      <c r="H1004" s="1">
        <f>_xlfn.LET(
     _xlpm.d, Employee_dataset[[#This Row],[Join_Date]],
     IF(
        ISNUMBER(_xlpm.d),_xlpm.d,""
       )
    )</f>
        <v>44011</v>
      </c>
      <c r="I1004" s="6">
        <f>_xlfn.LET(
     _xlpm.s, TRIM(Employee_dataset[[#This Row],[Salary]]),
     IF(
        UPPER(_xlpm.s)="N/A","",
        IF(
           ISNUMBER(--_xlpm.s),ROUND(_xlfn.NUMBERVALUE(_xlpm.s),2),""
          )
       )
    )</f>
        <v>63049.22</v>
      </c>
      <c r="J1004" t="str">
        <f>TRIM(Employee_dataset[[#This Row],[Email]])</f>
        <v>bob.smith@example.com</v>
      </c>
      <c r="K1004" t="b">
        <f>_xlfn.LET(
     _xlpm.p,TRIM(SUBSTITUTE(Employee_dataset[[#This Row],[Phone]],"-","")),
     IF(
        LEN(_xlpm.p)=10,_xlfn.CONCAT("("&amp;LEFT(_xlpm.p,3)&amp;") "&amp;MID(_xlpm.p,4,3)&amp;"-"&amp;RIGHT(_xlpm.p,4),"")
       )
     )</f>
        <v>0</v>
      </c>
      <c r="L1004" t="str">
        <f>TRIM(Employee_dataset[[#This Row],[Performance_Score]])</f>
        <v>Good</v>
      </c>
      <c r="M1004" t="str">
        <f>TRIM(Employee_dataset[[#This Row],[Remote_Work]])</f>
        <v>TRUE</v>
      </c>
    </row>
    <row r="1005" spans="1:13" x14ac:dyDescent="0.3">
      <c r="A1005" t="str">
        <f>TRIM(Employee_dataset[[#This Row],[Employee_ID]])</f>
        <v>EMP2003</v>
      </c>
      <c r="B1005" t="str">
        <f>PROPER(TRIM(Employee_dataset[[#This Row],[First_Name]]))</f>
        <v>Frank</v>
      </c>
      <c r="C1005" t="str">
        <f>PROPER(TRIM(Employee_dataset[[#This Row],[Last_Name]]))</f>
        <v>Smith</v>
      </c>
      <c r="D1005" s="6" t="str">
        <f>_xlfn.LET(
     _xlpm.a, TRIM(Employee_dataset[[#This Row],[Age]]),
     IF(
        _xlpm.a="","",
        IF(
           AND(ISNUMBER(--_xlpm.a),LEN(_xlpm.a)=2),_xlpm.a,""
          )
       )
    )</f>
        <v>35</v>
      </c>
      <c r="E1005" t="str">
        <f>TRIM(_xlfn.TEXTBEFORE(Employee_dataset[[#This Row],[Department_Region]],"-"))</f>
        <v>HR</v>
      </c>
      <c r="F1005" t="str">
        <f>TRIM(_xlfn.TEXTAFTER(Employee_dataset[[#This Row],[Department_Region]],"-"))</f>
        <v>California</v>
      </c>
      <c r="G1005" t="str">
        <f>TRIM(Employee_dataset[[#This Row],[Status]])</f>
        <v>Pending</v>
      </c>
      <c r="H1005" s="1">
        <f>_xlfn.LET(
     _xlpm.d, Employee_dataset[[#This Row],[Join_Date]],
     IF(
        ISNUMBER(_xlpm.d),_xlpm.d,""
       )
    )</f>
        <v>44972</v>
      </c>
      <c r="I1005" s="6">
        <f>_xlfn.LET(
     _xlpm.s, TRIM(Employee_dataset[[#This Row],[Salary]]),
     IF(
        UPPER(_xlpm.s)="N/A","",
        IF(
           ISNUMBER(--_xlpm.s),ROUND(_xlfn.NUMBERVALUE(_xlpm.s),2),""
          )
       )
    )</f>
        <v>115229.12</v>
      </c>
      <c r="J1005" t="str">
        <f>TRIM(Employee_dataset[[#This Row],[Email]])</f>
        <v>frank.smith@example.com</v>
      </c>
      <c r="K1005" t="str">
        <f>_xlfn.LET(
     _xlpm.p,TRIM(SUBSTITUTE(Employee_dataset[[#This Row],[Phone]],"-","")),
     IF(
        LEN(_xlpm.p)=10,_xlfn.CONCAT("("&amp;LEFT(_xlpm.p,3)&amp;") "&amp;MID(_xlpm.p,4,3)&amp;"-"&amp;RIGHT(_xlpm.p,4),"")
       )
     )</f>
        <v>(146) 449-3698</v>
      </c>
      <c r="L1005" t="str">
        <f>TRIM(Employee_dataset[[#This Row],[Performance_Score]])</f>
        <v>Excellent</v>
      </c>
      <c r="M1005" t="str">
        <f>TRIM(Employee_dataset[[#This Row],[Remote_Work]])</f>
        <v>TRUE</v>
      </c>
    </row>
    <row r="1006" spans="1:13" x14ac:dyDescent="0.3">
      <c r="A1006" t="str">
        <f>TRIM(Employee_dataset[[#This Row],[Employee_ID]])</f>
        <v>EMP2004</v>
      </c>
      <c r="B1006" t="str">
        <f>PROPER(TRIM(Employee_dataset[[#This Row],[First_Name]]))</f>
        <v>Grace</v>
      </c>
      <c r="C1006" t="str">
        <f>PROPER(TRIM(Employee_dataset[[#This Row],[Last_Name]]))</f>
        <v>Smith</v>
      </c>
      <c r="D1006" s="6" t="str">
        <f>_xlfn.LET(
     _xlpm.a, TRIM(Employee_dataset[[#This Row],[Age]]),
     IF(
        _xlpm.a="","",
        IF(
           AND(ISNUMBER(--_xlpm.a),LEN(_xlpm.a)=2),_xlpm.a,""
          )
       )
    )</f>
        <v>25</v>
      </c>
      <c r="E1006" t="str">
        <f>TRIM(_xlfn.TEXTBEFORE(Employee_dataset[[#This Row],[Department_Region]],"-"))</f>
        <v>DevOps</v>
      </c>
      <c r="F1006" t="str">
        <f>TRIM(_xlfn.TEXTAFTER(Employee_dataset[[#This Row],[Department_Region]],"-"))</f>
        <v>Illinois</v>
      </c>
      <c r="G1006" t="str">
        <f>TRIM(Employee_dataset[[#This Row],[Status]])</f>
        <v>Pending</v>
      </c>
      <c r="H1006" s="1">
        <f>_xlfn.LET(
     _xlpm.d, Employee_dataset[[#This Row],[Join_Date]],
     IF(
        ISNUMBER(_xlpm.d),_xlpm.d,""
       )
    )</f>
        <v>45092</v>
      </c>
      <c r="I1006" s="6">
        <f>_xlfn.LET(
     _xlpm.s, TRIM(Employee_dataset[[#This Row],[Salary]]),
     IF(
        UPPER(_xlpm.s)="N/A","",
        IF(
           ISNUMBER(--_xlpm.s),ROUND(_xlfn.NUMBERVALUE(_xlpm.s),2),""
          )
       )
    )</f>
        <v>60687.63</v>
      </c>
      <c r="J1006" t="str">
        <f>TRIM(Employee_dataset[[#This Row],[Email]])</f>
        <v>grace.smith@example.com</v>
      </c>
      <c r="K1006" t="str">
        <f>_xlfn.LET(
     _xlpm.p,TRIM(SUBSTITUTE(Employee_dataset[[#This Row],[Phone]],"-","")),
     IF(
        LEN(_xlpm.p)=10,_xlfn.CONCAT("("&amp;LEFT(_xlpm.p,3)&amp;") "&amp;MID(_xlpm.p,4,3)&amp;"-"&amp;RIGHT(_xlpm.p,4),"")
       )
     )</f>
        <v>(951) 679-3349</v>
      </c>
      <c r="L1006" t="str">
        <f>TRIM(Employee_dataset[[#This Row],[Performance_Score]])</f>
        <v>Excellent</v>
      </c>
      <c r="M1006" t="str">
        <f>TRIM(Employee_dataset[[#This Row],[Remote_Work]])</f>
        <v>FALSE</v>
      </c>
    </row>
    <row r="1007" spans="1:13" x14ac:dyDescent="0.3">
      <c r="A1007" t="str">
        <f>TRIM(Employee_dataset[[#This Row],[Employee_ID]])</f>
        <v>EMP2005</v>
      </c>
      <c r="B1007" t="str">
        <f>PROPER(TRIM(Employee_dataset[[#This Row],[First_Name]]))</f>
        <v>Frank</v>
      </c>
      <c r="C1007" t="str">
        <f>PROPER(TRIM(Employee_dataset[[#This Row],[Last_Name]]))</f>
        <v>Jones</v>
      </c>
      <c r="D1007" s="6" t="str">
        <f>_xlfn.LET(
     _xlpm.a, TRIM(Employee_dataset[[#This Row],[Age]]),
     IF(
        _xlpm.a="","",
        IF(
           AND(ISNUMBER(--_xlpm.a),LEN(_xlpm.a)=2),_xlpm.a,""
          )
       )
    )</f>
        <v>30</v>
      </c>
      <c r="E1007" t="str">
        <f>TRIM(_xlfn.TEXTBEFORE(Employee_dataset[[#This Row],[Department_Region]],"-"))</f>
        <v>Finance</v>
      </c>
      <c r="F1007" t="str">
        <f>TRIM(_xlfn.TEXTAFTER(Employee_dataset[[#This Row],[Department_Region]],"-"))</f>
        <v>Illinois</v>
      </c>
      <c r="G1007" t="str">
        <f>TRIM(Employee_dataset[[#This Row],[Status]])</f>
        <v>Inactive</v>
      </c>
      <c r="H1007" s="1">
        <f>_xlfn.LET(
     _xlpm.d, Employee_dataset[[#This Row],[Join_Date]],
     IF(
        ISNUMBER(_xlpm.d),_xlpm.d,""
       )
    )</f>
        <v>44639</v>
      </c>
      <c r="I1007" s="6">
        <f>_xlfn.LET(
     _xlpm.s, TRIM(Employee_dataset[[#This Row],[Salary]]),
     IF(
        UPPER(_xlpm.s)="N/A","",
        IF(
           ISNUMBER(--_xlpm.s),ROUND(_xlfn.NUMBERVALUE(_xlpm.s),2),""
          )
       )
    )</f>
        <v>67492.73</v>
      </c>
      <c r="J1007" t="str">
        <f>TRIM(Employee_dataset[[#This Row],[Email]])</f>
        <v>frank.jones@example.com</v>
      </c>
      <c r="K1007" t="str">
        <f>_xlfn.LET(
     _xlpm.p,TRIM(SUBSTITUTE(Employee_dataset[[#This Row],[Phone]],"-","")),
     IF(
        LEN(_xlpm.p)=10,_xlfn.CONCAT("("&amp;LEFT(_xlpm.p,3)&amp;") "&amp;MID(_xlpm.p,4,3)&amp;"-"&amp;RIGHT(_xlpm.p,4),"")
       )
     )</f>
        <v>(557) 385-7367</v>
      </c>
      <c r="L1007" t="str">
        <f>TRIM(Employee_dataset[[#This Row],[Performance_Score]])</f>
        <v>Good</v>
      </c>
      <c r="M1007" t="str">
        <f>TRIM(Employee_dataset[[#This Row],[Remote_Work]])</f>
        <v>TRUE</v>
      </c>
    </row>
    <row r="1008" spans="1:13" x14ac:dyDescent="0.3">
      <c r="A1008" t="str">
        <f>TRIM(Employee_dataset[[#This Row],[Employee_ID]])</f>
        <v>EMP2006</v>
      </c>
      <c r="B1008" t="str">
        <f>PROPER(TRIM(Employee_dataset[[#This Row],[First_Name]]))</f>
        <v>Grace</v>
      </c>
      <c r="C1008" t="str">
        <f>PROPER(TRIM(Employee_dataset[[#This Row],[Last_Name]]))</f>
        <v>Brown</v>
      </c>
      <c r="D1008" s="6" t="str">
        <f>_xlfn.LET(
     _xlpm.a, TRIM(Employee_dataset[[#This Row],[Age]]),
     IF(
        _xlpm.a="","",
        IF(
           AND(ISNUMBER(--_xlpm.a),LEN(_xlpm.a)=2),_xlpm.a,""
          )
       )
    )</f>
        <v/>
      </c>
      <c r="E1008" t="str">
        <f>TRIM(_xlfn.TEXTBEFORE(Employee_dataset[[#This Row],[Department_Region]],"-"))</f>
        <v>HR</v>
      </c>
      <c r="F1008" t="str">
        <f>TRIM(_xlfn.TEXTAFTER(Employee_dataset[[#This Row],[Department_Region]],"-"))</f>
        <v>Illinois</v>
      </c>
      <c r="G1008" t="str">
        <f>TRIM(Employee_dataset[[#This Row],[Status]])</f>
        <v>Inactive</v>
      </c>
      <c r="H1008" s="1">
        <f>_xlfn.LET(
     _xlpm.d, Employee_dataset[[#This Row],[Join_Date]],
     IF(
        ISNUMBER(_xlpm.d),_xlpm.d,""
       )
    )</f>
        <v>45224</v>
      </c>
      <c r="I1008" s="6">
        <f>_xlfn.LET(
     _xlpm.s, TRIM(Employee_dataset[[#This Row],[Salary]]),
     IF(
        UPPER(_xlpm.s)="N/A","",
        IF(
           ISNUMBER(--_xlpm.s),ROUND(_xlfn.NUMBERVALUE(_xlpm.s),2),""
          )
       )
    )</f>
        <v>77821.789999999994</v>
      </c>
      <c r="J1008" t="str">
        <f>TRIM(Employee_dataset[[#This Row],[Email]])</f>
        <v>grace.brown@example.com</v>
      </c>
      <c r="K1008" t="b">
        <f>_xlfn.LET(
     _xlpm.p,TRIM(SUBSTITUTE(Employee_dataset[[#This Row],[Phone]],"-","")),
     IF(
        LEN(_xlpm.p)=10,_xlfn.CONCAT("("&amp;LEFT(_xlpm.p,3)&amp;") "&amp;MID(_xlpm.p,4,3)&amp;"-"&amp;RIGHT(_xlpm.p,4),"")
       )
     )</f>
        <v>0</v>
      </c>
      <c r="L1008" t="str">
        <f>TRIM(Employee_dataset[[#This Row],[Performance_Score]])</f>
        <v>Average</v>
      </c>
      <c r="M1008" t="str">
        <f>TRIM(Employee_dataset[[#This Row],[Remote_Work]])</f>
        <v>FALSE</v>
      </c>
    </row>
    <row r="1009" spans="1:13" x14ac:dyDescent="0.3">
      <c r="A1009" t="str">
        <f>TRIM(Employee_dataset[[#This Row],[Employee_ID]])</f>
        <v>EMP2007</v>
      </c>
      <c r="B1009" t="str">
        <f>PROPER(TRIM(Employee_dataset[[#This Row],[First_Name]]))</f>
        <v>Charlie</v>
      </c>
      <c r="C1009" t="str">
        <f>PROPER(TRIM(Employee_dataset[[#This Row],[Last_Name]]))</f>
        <v>Jones</v>
      </c>
      <c r="D1009" s="6" t="str">
        <f>_xlfn.LET(
     _xlpm.a, TRIM(Employee_dataset[[#This Row],[Age]]),
     IF(
        _xlpm.a="","",
        IF(
           AND(ISNUMBER(--_xlpm.a),LEN(_xlpm.a)=2),_xlpm.a,""
          )
       )
    )</f>
        <v>35</v>
      </c>
      <c r="E1009" t="str">
        <f>TRIM(_xlfn.TEXTBEFORE(Employee_dataset[[#This Row],[Department_Region]],"-"))</f>
        <v>DevOps</v>
      </c>
      <c r="F1009" t="str">
        <f>TRIM(_xlfn.TEXTAFTER(Employee_dataset[[#This Row],[Department_Region]],"-"))</f>
        <v>Texas</v>
      </c>
      <c r="G1009" t="str">
        <f>TRIM(Employee_dataset[[#This Row],[Status]])</f>
        <v>Active</v>
      </c>
      <c r="H1009" s="1">
        <f>_xlfn.LET(
     _xlpm.d, Employee_dataset[[#This Row],[Join_Date]],
     IF(
        ISNUMBER(_xlpm.d),_xlpm.d,""
       )
    )</f>
        <v>44756</v>
      </c>
      <c r="I1009" s="6">
        <f>_xlfn.LET(
     _xlpm.s, TRIM(Employee_dataset[[#This Row],[Salary]]),
     IF(
        UPPER(_xlpm.s)="N/A","",
        IF(
           ISNUMBER(--_xlpm.s),ROUND(_xlfn.NUMBERVALUE(_xlpm.s),2),""
          )
       )
    )</f>
        <v>69146.95</v>
      </c>
      <c r="J1009" t="str">
        <f>TRIM(Employee_dataset[[#This Row],[Email]])</f>
        <v>charlie.jones@example.com</v>
      </c>
      <c r="K1009" t="str">
        <f>_xlfn.LET(
     _xlpm.p,TRIM(SUBSTITUTE(Employee_dataset[[#This Row],[Phone]],"-","")),
     IF(
        LEN(_xlpm.p)=10,_xlfn.CONCAT("("&amp;LEFT(_xlpm.p,3)&amp;") "&amp;MID(_xlpm.p,4,3)&amp;"-"&amp;RIGHT(_xlpm.p,4),"")
       )
     )</f>
        <v>(681) 187-2332</v>
      </c>
      <c r="L1009" t="str">
        <f>TRIM(Employee_dataset[[#This Row],[Performance_Score]])</f>
        <v>Poor</v>
      </c>
      <c r="M1009" t="str">
        <f>TRIM(Employee_dataset[[#This Row],[Remote_Work]])</f>
        <v>FALSE</v>
      </c>
    </row>
    <row r="1010" spans="1:13" x14ac:dyDescent="0.3">
      <c r="A1010" t="str">
        <f>TRIM(Employee_dataset[[#This Row],[Employee_ID]])</f>
        <v>EMP2008</v>
      </c>
      <c r="B1010" t="str">
        <f>PROPER(TRIM(Employee_dataset[[#This Row],[First_Name]]))</f>
        <v>Grace</v>
      </c>
      <c r="C1010" t="str">
        <f>PROPER(TRIM(Employee_dataset[[#This Row],[Last_Name]]))</f>
        <v>Brown</v>
      </c>
      <c r="D1010" s="6" t="str">
        <f>_xlfn.LET(
     _xlpm.a, TRIM(Employee_dataset[[#This Row],[Age]]),
     IF(
        _xlpm.a="","",
        IF(
           AND(ISNUMBER(--_xlpm.a),LEN(_xlpm.a)=2),_xlpm.a,""
          )
       )
    )</f>
        <v>35</v>
      </c>
      <c r="E1010" t="str">
        <f>TRIM(_xlfn.TEXTBEFORE(Employee_dataset[[#This Row],[Department_Region]],"-"))</f>
        <v>Admin</v>
      </c>
      <c r="F1010" t="str">
        <f>TRIM(_xlfn.TEXTAFTER(Employee_dataset[[#This Row],[Department_Region]],"-"))</f>
        <v>Nevada</v>
      </c>
      <c r="G1010" t="str">
        <f>TRIM(Employee_dataset[[#This Row],[Status]])</f>
        <v>Inactive</v>
      </c>
      <c r="H1010" s="1">
        <f>_xlfn.LET(
     _xlpm.d, Employee_dataset[[#This Row],[Join_Date]],
     IF(
        ISNUMBER(_xlpm.d),_xlpm.d,""
       )
    )</f>
        <v>44632</v>
      </c>
      <c r="I1010" s="6">
        <f>_xlfn.LET(
     _xlpm.s, TRIM(Employee_dataset[[#This Row],[Salary]]),
     IF(
        UPPER(_xlpm.s)="N/A","",
        IF(
           ISNUMBER(--_xlpm.s),ROUND(_xlfn.NUMBERVALUE(_xlpm.s),2),""
          )
       )
    )</f>
        <v>90224.82</v>
      </c>
      <c r="J1010" t="str">
        <f>TRIM(Employee_dataset[[#This Row],[Email]])</f>
        <v>grace.brown@example.com</v>
      </c>
      <c r="K1010" t="str">
        <f>_xlfn.LET(
     _xlpm.p,TRIM(SUBSTITUTE(Employee_dataset[[#This Row],[Phone]],"-","")),
     IF(
        LEN(_xlpm.p)=10,_xlfn.CONCAT("("&amp;LEFT(_xlpm.p,3)&amp;") "&amp;MID(_xlpm.p,4,3)&amp;"-"&amp;RIGHT(_xlpm.p,4),"")
       )
     )</f>
        <v>(510) 409-6148</v>
      </c>
      <c r="L1010" t="str">
        <f>TRIM(Employee_dataset[[#This Row],[Performance_Score]])</f>
        <v>Good</v>
      </c>
      <c r="M1010" t="str">
        <f>TRIM(Employee_dataset[[#This Row],[Remote_Work]])</f>
        <v>TRUE</v>
      </c>
    </row>
    <row r="1011" spans="1:13" x14ac:dyDescent="0.3">
      <c r="A1011" t="str">
        <f>TRIM(Employee_dataset[[#This Row],[Employee_ID]])</f>
        <v>EMP2009</v>
      </c>
      <c r="B1011" t="str">
        <f>PROPER(TRIM(Employee_dataset[[#This Row],[First_Name]]))</f>
        <v>David</v>
      </c>
      <c r="C1011" t="str">
        <f>PROPER(TRIM(Employee_dataset[[#This Row],[Last_Name]]))</f>
        <v>Garcia</v>
      </c>
      <c r="D1011" s="6" t="str">
        <f>_xlfn.LET(
     _xlpm.a, TRIM(Employee_dataset[[#This Row],[Age]]),
     IF(
        _xlpm.a="","",
        IF(
           AND(ISNUMBER(--_xlpm.a),LEN(_xlpm.a)=2),_xlpm.a,""
          )
       )
    )</f>
        <v/>
      </c>
      <c r="E1011" t="str">
        <f>TRIM(_xlfn.TEXTBEFORE(Employee_dataset[[#This Row],[Department_Region]],"-"))</f>
        <v>Finance</v>
      </c>
      <c r="F1011" t="str">
        <f>TRIM(_xlfn.TEXTAFTER(Employee_dataset[[#This Row],[Department_Region]],"-"))</f>
        <v>Illinois</v>
      </c>
      <c r="G1011" t="str">
        <f>TRIM(Employee_dataset[[#This Row],[Status]])</f>
        <v>Pending</v>
      </c>
      <c r="H1011" s="1">
        <f>_xlfn.LET(
     _xlpm.d, Employee_dataset[[#This Row],[Join_Date]],
     IF(
        ISNUMBER(_xlpm.d),_xlpm.d,""
       )
    )</f>
        <v>45454</v>
      </c>
      <c r="I1011" s="6">
        <f>_xlfn.LET(
     _xlpm.s, TRIM(Employee_dataset[[#This Row],[Salary]]),
     IF(
        UPPER(_xlpm.s)="N/A","",
        IF(
           ISNUMBER(--_xlpm.s),ROUND(_xlfn.NUMBERVALUE(_xlpm.s),2),""
          )
       )
    )</f>
        <v>62603.98</v>
      </c>
      <c r="J1011" t="str">
        <f>TRIM(Employee_dataset[[#This Row],[Email]])</f>
        <v>david.garcia@example.com</v>
      </c>
      <c r="K1011" t="str">
        <f>_xlfn.LET(
     _xlpm.p,TRIM(SUBSTITUTE(Employee_dataset[[#This Row],[Phone]],"-","")),
     IF(
        LEN(_xlpm.p)=10,_xlfn.CONCAT("("&amp;LEFT(_xlpm.p,3)&amp;") "&amp;MID(_xlpm.p,4,3)&amp;"-"&amp;RIGHT(_xlpm.p,4),"")
       )
     )</f>
        <v>(731) 539-1148</v>
      </c>
      <c r="L1011" t="str">
        <f>TRIM(Employee_dataset[[#This Row],[Performance_Score]])</f>
        <v>Poor</v>
      </c>
      <c r="M1011" t="str">
        <f>TRIM(Employee_dataset[[#This Row],[Remote_Work]])</f>
        <v>FALSE</v>
      </c>
    </row>
    <row r="1012" spans="1:13" x14ac:dyDescent="0.3">
      <c r="A1012" t="str">
        <f>TRIM(Employee_dataset[[#This Row],[Employee_ID]])</f>
        <v>EMP2010</v>
      </c>
      <c r="B1012" t="str">
        <f>PROPER(TRIM(Employee_dataset[[#This Row],[First_Name]]))</f>
        <v>Bob</v>
      </c>
      <c r="C1012" t="str">
        <f>PROPER(TRIM(Employee_dataset[[#This Row],[Last_Name]]))</f>
        <v>Jones</v>
      </c>
      <c r="D1012" s="6" t="str">
        <f>_xlfn.LET(
     _xlpm.a, TRIM(Employee_dataset[[#This Row],[Age]]),
     IF(
        _xlpm.a="","",
        IF(
           AND(ISNUMBER(--_xlpm.a),LEN(_xlpm.a)=2),_xlpm.a,""
          )
       )
    )</f>
        <v>35</v>
      </c>
      <c r="E1012" t="str">
        <f>TRIM(_xlfn.TEXTBEFORE(Employee_dataset[[#This Row],[Department_Region]],"-"))</f>
        <v>Sales</v>
      </c>
      <c r="F1012" t="str">
        <f>TRIM(_xlfn.TEXTAFTER(Employee_dataset[[#This Row],[Department_Region]],"-"))</f>
        <v>Nevada</v>
      </c>
      <c r="G1012" t="str">
        <f>TRIM(Employee_dataset[[#This Row],[Status]])</f>
        <v>Active</v>
      </c>
      <c r="H1012" s="1">
        <f>_xlfn.LET(
     _xlpm.d, Employee_dataset[[#This Row],[Join_Date]],
     IF(
        ISNUMBER(_xlpm.d),_xlpm.d,""
       )
    )</f>
        <v>45453</v>
      </c>
      <c r="I1012" s="6">
        <f>_xlfn.LET(
     _xlpm.s, TRIM(Employee_dataset[[#This Row],[Salary]]),
     IF(
        UPPER(_xlpm.s)="N/A","",
        IF(
           ISNUMBER(--_xlpm.s),ROUND(_xlfn.NUMBERVALUE(_xlpm.s),2),""
          )
       )
    )</f>
        <v>71148.27</v>
      </c>
      <c r="J1012" t="str">
        <f>TRIM(Employee_dataset[[#This Row],[Email]])</f>
        <v>bob.jones@example.com</v>
      </c>
      <c r="K1012" t="str">
        <f>_xlfn.LET(
     _xlpm.p,TRIM(SUBSTITUTE(Employee_dataset[[#This Row],[Phone]],"-","")),
     IF(
        LEN(_xlpm.p)=10,_xlfn.CONCAT("("&amp;LEFT(_xlpm.p,3)&amp;") "&amp;MID(_xlpm.p,4,3)&amp;"-"&amp;RIGHT(_xlpm.p,4),"")
       )
     )</f>
        <v>(830) 748-2072</v>
      </c>
      <c r="L1012" t="str">
        <f>TRIM(Employee_dataset[[#This Row],[Performance_Score]])</f>
        <v>Average</v>
      </c>
      <c r="M1012" t="str">
        <f>TRIM(Employee_dataset[[#This Row],[Remote_Work]])</f>
        <v>FALSE</v>
      </c>
    </row>
    <row r="1013" spans="1:13" x14ac:dyDescent="0.3">
      <c r="A1013" t="str">
        <f>TRIM(Employee_dataset[[#This Row],[Employee_ID]])</f>
        <v>EMP2011</v>
      </c>
      <c r="B1013" t="str">
        <f>PROPER(TRIM(Employee_dataset[[#This Row],[First_Name]]))</f>
        <v>David</v>
      </c>
      <c r="C1013" t="str">
        <f>PROPER(TRIM(Employee_dataset[[#This Row],[Last_Name]]))</f>
        <v>Jones</v>
      </c>
      <c r="D1013" s="6" t="str">
        <f>_xlfn.LET(
     _xlpm.a, TRIM(Employee_dataset[[#This Row],[Age]]),
     IF(
        _xlpm.a="","",
        IF(
           AND(ISNUMBER(--_xlpm.a),LEN(_xlpm.a)=2),_xlpm.a,""
          )
       )
    )</f>
        <v>40</v>
      </c>
      <c r="E1013" t="str">
        <f>TRIM(_xlfn.TEXTBEFORE(Employee_dataset[[#This Row],[Department_Region]],"-"))</f>
        <v>Admin</v>
      </c>
      <c r="F1013" t="str">
        <f>TRIM(_xlfn.TEXTAFTER(Employee_dataset[[#This Row],[Department_Region]],"-"))</f>
        <v>California</v>
      </c>
      <c r="G1013" t="str">
        <f>TRIM(Employee_dataset[[#This Row],[Status]])</f>
        <v>Inactive</v>
      </c>
      <c r="H1013" s="1">
        <f>_xlfn.LET(
     _xlpm.d, Employee_dataset[[#This Row],[Join_Date]],
     IF(
        ISNUMBER(_xlpm.d),_xlpm.d,""
       )
    )</f>
        <v>44825</v>
      </c>
      <c r="I1013" s="6">
        <f>_xlfn.LET(
     _xlpm.s, TRIM(Employee_dataset[[#This Row],[Salary]]),
     IF(
        UPPER(_xlpm.s)="N/A","",
        IF(
           ISNUMBER(--_xlpm.s),ROUND(_xlfn.NUMBERVALUE(_xlpm.s),2),""
          )
       )
    )</f>
        <v>52031.74</v>
      </c>
      <c r="J1013" t="str">
        <f>TRIM(Employee_dataset[[#This Row],[Email]])</f>
        <v>david.jones@example.com</v>
      </c>
      <c r="K1013" t="str">
        <f>_xlfn.LET(
     _xlpm.p,TRIM(SUBSTITUTE(Employee_dataset[[#This Row],[Phone]],"-","")),
     IF(
        LEN(_xlpm.p)=10,_xlfn.CONCAT("("&amp;LEFT(_xlpm.p,3)&amp;") "&amp;MID(_xlpm.p,4,3)&amp;"-"&amp;RIGHT(_xlpm.p,4),"")
       )
     )</f>
        <v>(651) 189-3939</v>
      </c>
      <c r="L1013" t="str">
        <f>TRIM(Employee_dataset[[#This Row],[Performance_Score]])</f>
        <v>Excellent</v>
      </c>
      <c r="M1013" t="str">
        <f>TRIM(Employee_dataset[[#This Row],[Remote_Work]])</f>
        <v>TRUE</v>
      </c>
    </row>
    <row r="1014" spans="1:13" x14ac:dyDescent="0.3">
      <c r="A1014" t="str">
        <f>TRIM(Employee_dataset[[#This Row],[Employee_ID]])</f>
        <v>EMP2012</v>
      </c>
      <c r="B1014" t="str">
        <f>PROPER(TRIM(Employee_dataset[[#This Row],[First_Name]]))</f>
        <v>Grace</v>
      </c>
      <c r="C1014" t="str">
        <f>PROPER(TRIM(Employee_dataset[[#This Row],[Last_Name]]))</f>
        <v>Miller</v>
      </c>
      <c r="D1014" s="6" t="str">
        <f>_xlfn.LET(
     _xlpm.a, TRIM(Employee_dataset[[#This Row],[Age]]),
     IF(
        _xlpm.a="","",
        IF(
           AND(ISNUMBER(--_xlpm.a),LEN(_xlpm.a)=2),_xlpm.a,""
          )
       )
    )</f>
        <v>35</v>
      </c>
      <c r="E1014" t="str">
        <f>TRIM(_xlfn.TEXTBEFORE(Employee_dataset[[#This Row],[Department_Region]],"-"))</f>
        <v>DevOps</v>
      </c>
      <c r="F1014" t="str">
        <f>TRIM(_xlfn.TEXTAFTER(Employee_dataset[[#This Row],[Department_Region]],"-"))</f>
        <v>Florida</v>
      </c>
      <c r="G1014" t="str">
        <f>TRIM(Employee_dataset[[#This Row],[Status]])</f>
        <v>Inactive</v>
      </c>
      <c r="H1014" s="1">
        <f>_xlfn.LET(
     _xlpm.d, Employee_dataset[[#This Row],[Join_Date]],
     IF(
        ISNUMBER(_xlpm.d),_xlpm.d,""
       )
    )</f>
        <v>45031</v>
      </c>
      <c r="I1014" s="6" t="str">
        <f>_xlfn.LET(
     _xlpm.s, TRIM(Employee_dataset[[#This Row],[Salary]]),
     IF(
        UPPER(_xlpm.s)="N/A","",
        IF(
           ISNUMBER(--_xlpm.s),ROUND(_xlfn.NUMBERVALUE(_xlpm.s),2),""
          )
       )
    )</f>
        <v/>
      </c>
      <c r="J1014" t="str">
        <f>TRIM(Employee_dataset[[#This Row],[Email]])</f>
        <v>grace.miller@example.com</v>
      </c>
      <c r="K1014" t="str">
        <f>_xlfn.LET(
     _xlpm.p,TRIM(SUBSTITUTE(Employee_dataset[[#This Row],[Phone]],"-","")),
     IF(
        LEN(_xlpm.p)=10,_xlfn.CONCAT("("&amp;LEFT(_xlpm.p,3)&amp;") "&amp;MID(_xlpm.p,4,3)&amp;"-"&amp;RIGHT(_xlpm.p,4),"")
       )
     )</f>
        <v>(655) 782-0189</v>
      </c>
      <c r="L1014" t="str">
        <f>TRIM(Employee_dataset[[#This Row],[Performance_Score]])</f>
        <v>Average</v>
      </c>
      <c r="M1014" t="str">
        <f>TRIM(Employee_dataset[[#This Row],[Remote_Work]])</f>
        <v>FALSE</v>
      </c>
    </row>
    <row r="1015" spans="1:13" x14ac:dyDescent="0.3">
      <c r="A1015" t="str">
        <f>TRIM(Employee_dataset[[#This Row],[Employee_ID]])</f>
        <v>EMP2013</v>
      </c>
      <c r="B1015" t="str">
        <f>PROPER(TRIM(Employee_dataset[[#This Row],[First_Name]]))</f>
        <v>Eva</v>
      </c>
      <c r="C1015" t="str">
        <f>PROPER(TRIM(Employee_dataset[[#This Row],[Last_Name]]))</f>
        <v>Williams</v>
      </c>
      <c r="D1015" s="6" t="str">
        <f>_xlfn.LET(
     _xlpm.a, TRIM(Employee_dataset[[#This Row],[Age]]),
     IF(
        _xlpm.a="","",
        IF(
           AND(ISNUMBER(--_xlpm.a),LEN(_xlpm.a)=2),_xlpm.a,""
          )
       )
    )</f>
        <v/>
      </c>
      <c r="E1015" t="str">
        <f>TRIM(_xlfn.TEXTBEFORE(Employee_dataset[[#This Row],[Department_Region]],"-"))</f>
        <v>HR</v>
      </c>
      <c r="F1015" t="str">
        <f>TRIM(_xlfn.TEXTAFTER(Employee_dataset[[#This Row],[Department_Region]],"-"))</f>
        <v>Illinois</v>
      </c>
      <c r="G1015" t="str">
        <f>TRIM(Employee_dataset[[#This Row],[Status]])</f>
        <v>Pending</v>
      </c>
      <c r="H1015" s="1">
        <f>_xlfn.LET(
     _xlpm.d, Employee_dataset[[#This Row],[Join_Date]],
     IF(
        ISNUMBER(_xlpm.d),_xlpm.d,""
       )
    )</f>
        <v>43867</v>
      </c>
      <c r="I1015" s="6">
        <f>_xlfn.LET(
     _xlpm.s, TRIM(Employee_dataset[[#This Row],[Salary]]),
     IF(
        UPPER(_xlpm.s)="N/A","",
        IF(
           ISNUMBER(--_xlpm.s),ROUND(_xlfn.NUMBERVALUE(_xlpm.s),2),""
          )
       )
    )</f>
        <v>116680.63</v>
      </c>
      <c r="J1015" t="str">
        <f>TRIM(Employee_dataset[[#This Row],[Email]])</f>
        <v>eva.williams@example.com</v>
      </c>
      <c r="K1015" t="str">
        <f>_xlfn.LET(
     _xlpm.p,TRIM(SUBSTITUTE(Employee_dataset[[#This Row],[Phone]],"-","")),
     IF(
        LEN(_xlpm.p)=10,_xlfn.CONCAT("("&amp;LEFT(_xlpm.p,3)&amp;") "&amp;MID(_xlpm.p,4,3)&amp;"-"&amp;RIGHT(_xlpm.p,4),"")
       )
     )</f>
        <v>(432) 230-2332</v>
      </c>
      <c r="L1015" t="str">
        <f>TRIM(Employee_dataset[[#This Row],[Performance_Score]])</f>
        <v>Good</v>
      </c>
      <c r="M1015" t="str">
        <f>TRIM(Employee_dataset[[#This Row],[Remote_Work]])</f>
        <v>FALSE</v>
      </c>
    </row>
    <row r="1016" spans="1:13" x14ac:dyDescent="0.3">
      <c r="A1016" t="str">
        <f>TRIM(Employee_dataset[[#This Row],[Employee_ID]])</f>
        <v>EMP2014</v>
      </c>
      <c r="B1016" t="str">
        <f>PROPER(TRIM(Employee_dataset[[#This Row],[First_Name]]))</f>
        <v>Grace</v>
      </c>
      <c r="C1016" t="str">
        <f>PROPER(TRIM(Employee_dataset[[#This Row],[Last_Name]]))</f>
        <v>Jones</v>
      </c>
      <c r="D1016" s="6" t="str">
        <f>_xlfn.LET(
     _xlpm.a, TRIM(Employee_dataset[[#This Row],[Age]]),
     IF(
        _xlpm.a="","",
        IF(
           AND(ISNUMBER(--_xlpm.a),LEN(_xlpm.a)=2),_xlpm.a,""
          )
       )
    )</f>
        <v>30</v>
      </c>
      <c r="E1016" t="str">
        <f>TRIM(_xlfn.TEXTBEFORE(Employee_dataset[[#This Row],[Department_Region]],"-"))</f>
        <v>Finance</v>
      </c>
      <c r="F1016" t="str">
        <f>TRIM(_xlfn.TEXTAFTER(Employee_dataset[[#This Row],[Department_Region]],"-"))</f>
        <v>Nevada</v>
      </c>
      <c r="G1016" t="str">
        <f>TRIM(Employee_dataset[[#This Row],[Status]])</f>
        <v>Pending</v>
      </c>
      <c r="H1016" s="1">
        <f>_xlfn.LET(
     _xlpm.d, Employee_dataset[[#This Row],[Join_Date]],
     IF(
        ISNUMBER(_xlpm.d),_xlpm.d,""
       )
    )</f>
        <v>44332</v>
      </c>
      <c r="I1016" s="6">
        <f>_xlfn.LET(
     _xlpm.s, TRIM(Employee_dataset[[#This Row],[Salary]]),
     IF(
        UPPER(_xlpm.s)="N/A","",
        IF(
           ISNUMBER(--_xlpm.s),ROUND(_xlfn.NUMBERVALUE(_xlpm.s),2),""
          )
       )
    )</f>
        <v>51990.98</v>
      </c>
      <c r="J1016" t="str">
        <f>TRIM(Employee_dataset[[#This Row],[Email]])</f>
        <v>grace.jones@example.com</v>
      </c>
      <c r="K1016" t="str">
        <f>_xlfn.LET(
     _xlpm.p,TRIM(SUBSTITUTE(Employee_dataset[[#This Row],[Phone]],"-","")),
     IF(
        LEN(_xlpm.p)=10,_xlfn.CONCAT("("&amp;LEFT(_xlpm.p,3)&amp;") "&amp;MID(_xlpm.p,4,3)&amp;"-"&amp;RIGHT(_xlpm.p,4),"")
       )
     )</f>
        <v>(247) 073-9200</v>
      </c>
      <c r="L1016" t="str">
        <f>TRIM(Employee_dataset[[#This Row],[Performance_Score]])</f>
        <v>Excellent</v>
      </c>
      <c r="M1016" t="str">
        <f>TRIM(Employee_dataset[[#This Row],[Remote_Work]])</f>
        <v>TRUE</v>
      </c>
    </row>
    <row r="1017" spans="1:13" x14ac:dyDescent="0.3">
      <c r="A1017" t="str">
        <f>TRIM(Employee_dataset[[#This Row],[Employee_ID]])</f>
        <v>EMP2015</v>
      </c>
      <c r="B1017" t="str">
        <f>PROPER(TRIM(Employee_dataset[[#This Row],[First_Name]]))</f>
        <v>David</v>
      </c>
      <c r="C1017" t="str">
        <f>PROPER(TRIM(Employee_dataset[[#This Row],[Last_Name]]))</f>
        <v>Miller</v>
      </c>
      <c r="D1017" s="6" t="str">
        <f>_xlfn.LET(
     _xlpm.a, TRIM(Employee_dataset[[#This Row],[Age]]),
     IF(
        _xlpm.a="","",
        IF(
           AND(ISNUMBER(--_xlpm.a),LEN(_xlpm.a)=2),_xlpm.a,""
          )
       )
    )</f>
        <v>30</v>
      </c>
      <c r="E1017" t="str">
        <f>TRIM(_xlfn.TEXTBEFORE(Employee_dataset[[#This Row],[Department_Region]],"-"))</f>
        <v>HR</v>
      </c>
      <c r="F1017" t="str">
        <f>TRIM(_xlfn.TEXTAFTER(Employee_dataset[[#This Row],[Department_Region]],"-"))</f>
        <v>California</v>
      </c>
      <c r="G1017" t="str">
        <f>TRIM(Employee_dataset[[#This Row],[Status]])</f>
        <v>Active</v>
      </c>
      <c r="H1017" s="1">
        <f>_xlfn.LET(
     _xlpm.d, Employee_dataset[[#This Row],[Join_Date]],
     IF(
        ISNUMBER(_xlpm.d),_xlpm.d,""
       )
    )</f>
        <v>45157</v>
      </c>
      <c r="I1017" s="6" t="str">
        <f>_xlfn.LET(
     _xlpm.s, TRIM(Employee_dataset[[#This Row],[Salary]]),
     IF(
        UPPER(_xlpm.s)="N/A","",
        IF(
           ISNUMBER(--_xlpm.s),ROUND(_xlfn.NUMBERVALUE(_xlpm.s),2),""
          )
       )
    )</f>
        <v/>
      </c>
      <c r="J1017" t="str">
        <f>TRIM(Employee_dataset[[#This Row],[Email]])</f>
        <v>david.miller@example.com</v>
      </c>
      <c r="K1017" t="str">
        <f>_xlfn.LET(
     _xlpm.p,TRIM(SUBSTITUTE(Employee_dataset[[#This Row],[Phone]],"-","")),
     IF(
        LEN(_xlpm.p)=10,_xlfn.CONCAT("("&amp;LEFT(_xlpm.p,3)&amp;") "&amp;MID(_xlpm.p,4,3)&amp;"-"&amp;RIGHT(_xlpm.p,4),"")
       )
     )</f>
        <v>(354) 621-2759</v>
      </c>
      <c r="L1017" t="str">
        <f>TRIM(Employee_dataset[[#This Row],[Performance_Score]])</f>
        <v>Good</v>
      </c>
      <c r="M1017" t="str">
        <f>TRIM(Employee_dataset[[#This Row],[Remote_Work]])</f>
        <v>TRUE</v>
      </c>
    </row>
    <row r="1018" spans="1:13" x14ac:dyDescent="0.3">
      <c r="A1018" t="str">
        <f>TRIM(Employee_dataset[[#This Row],[Employee_ID]])</f>
        <v>EMP2016</v>
      </c>
      <c r="B1018" t="str">
        <f>PROPER(TRIM(Employee_dataset[[#This Row],[First_Name]]))</f>
        <v>David</v>
      </c>
      <c r="C1018" t="str">
        <f>PROPER(TRIM(Employee_dataset[[#This Row],[Last_Name]]))</f>
        <v>Johnson</v>
      </c>
      <c r="D1018" s="6" t="str">
        <f>_xlfn.LET(
     _xlpm.a, TRIM(Employee_dataset[[#This Row],[Age]]),
     IF(
        _xlpm.a="","",
        IF(
           AND(ISNUMBER(--_xlpm.a),LEN(_xlpm.a)=2),_xlpm.a,""
          )
       )
    )</f>
        <v>30</v>
      </c>
      <c r="E1018" t="str">
        <f>TRIM(_xlfn.TEXTBEFORE(Employee_dataset[[#This Row],[Department_Region]],"-"))</f>
        <v>Cloud Tech</v>
      </c>
      <c r="F1018" t="str">
        <f>TRIM(_xlfn.TEXTAFTER(Employee_dataset[[#This Row],[Department_Region]],"-"))</f>
        <v>Texas</v>
      </c>
      <c r="G1018" t="str">
        <f>TRIM(Employee_dataset[[#This Row],[Status]])</f>
        <v>Inactive</v>
      </c>
      <c r="H1018" s="1">
        <f>_xlfn.LET(
     _xlpm.d, Employee_dataset[[#This Row],[Join_Date]],
     IF(
        ISNUMBER(_xlpm.d),_xlpm.d,""
       )
    )</f>
        <v>44507</v>
      </c>
      <c r="I1018" s="6">
        <f>_xlfn.LET(
     _xlpm.s, TRIM(Employee_dataset[[#This Row],[Salary]]),
     IF(
        UPPER(_xlpm.s)="N/A","",
        IF(
           ISNUMBER(--_xlpm.s),ROUND(_xlfn.NUMBERVALUE(_xlpm.s),2),""
          )
       )
    )</f>
        <v>100215.06</v>
      </c>
      <c r="J1018" t="str">
        <f>TRIM(Employee_dataset[[#This Row],[Email]])</f>
        <v>david.johnson@example.com</v>
      </c>
      <c r="K1018" t="str">
        <f>_xlfn.LET(
     _xlpm.p,TRIM(SUBSTITUTE(Employee_dataset[[#This Row],[Phone]],"-","")),
     IF(
        LEN(_xlpm.p)=10,_xlfn.CONCAT("("&amp;LEFT(_xlpm.p,3)&amp;") "&amp;MID(_xlpm.p,4,3)&amp;"-"&amp;RIGHT(_xlpm.p,4),"")
       )
     )</f>
        <v>(250) 826-1122</v>
      </c>
      <c r="L1018" t="str">
        <f>TRIM(Employee_dataset[[#This Row],[Performance_Score]])</f>
        <v>Good</v>
      </c>
      <c r="M1018" t="str">
        <f>TRIM(Employee_dataset[[#This Row],[Remote_Work]])</f>
        <v>TRUE</v>
      </c>
    </row>
    <row r="1019" spans="1:13" x14ac:dyDescent="0.3">
      <c r="A1019" t="str">
        <f>TRIM(Employee_dataset[[#This Row],[Employee_ID]])</f>
        <v>EMP2017</v>
      </c>
      <c r="B1019" t="str">
        <f>PROPER(TRIM(Employee_dataset[[#This Row],[First_Name]]))</f>
        <v>Charlie</v>
      </c>
      <c r="C1019" t="str">
        <f>PROPER(TRIM(Employee_dataset[[#This Row],[Last_Name]]))</f>
        <v>Williams</v>
      </c>
      <c r="D1019" s="6" t="str">
        <f>_xlfn.LET(
     _xlpm.a, TRIM(Employee_dataset[[#This Row],[Age]]),
     IF(
        _xlpm.a="","",
        IF(
           AND(ISNUMBER(--_xlpm.a),LEN(_xlpm.a)=2),_xlpm.a,""
          )
       )
    )</f>
        <v>40</v>
      </c>
      <c r="E1019" t="str">
        <f>TRIM(_xlfn.TEXTBEFORE(Employee_dataset[[#This Row],[Department_Region]],"-"))</f>
        <v>Finance</v>
      </c>
      <c r="F1019" t="str">
        <f>TRIM(_xlfn.TEXTAFTER(Employee_dataset[[#This Row],[Department_Region]],"-"))</f>
        <v>New York</v>
      </c>
      <c r="G1019" t="str">
        <f>TRIM(Employee_dataset[[#This Row],[Status]])</f>
        <v>Active</v>
      </c>
      <c r="H1019" s="1">
        <f>_xlfn.LET(
     _xlpm.d, Employee_dataset[[#This Row],[Join_Date]],
     IF(
        ISNUMBER(_xlpm.d),_xlpm.d,""
       )
    )</f>
        <v>45203</v>
      </c>
      <c r="I1019" s="6">
        <f>_xlfn.LET(
     _xlpm.s, TRIM(Employee_dataset[[#This Row],[Salary]]),
     IF(
        UPPER(_xlpm.s)="N/A","",
        IF(
           ISNUMBER(--_xlpm.s),ROUND(_xlfn.NUMBERVALUE(_xlpm.s),2),""
          )
       )
    )</f>
        <v>114587.11</v>
      </c>
      <c r="J1019" t="str">
        <f>TRIM(Employee_dataset[[#This Row],[Email]])</f>
        <v>charlie.williams@example.com</v>
      </c>
      <c r="K1019" t="str">
        <f>_xlfn.LET(
     _xlpm.p,TRIM(SUBSTITUTE(Employee_dataset[[#This Row],[Phone]],"-","")),
     IF(
        LEN(_xlpm.p)=10,_xlfn.CONCAT("("&amp;LEFT(_xlpm.p,3)&amp;") "&amp;MID(_xlpm.p,4,3)&amp;"-"&amp;RIGHT(_xlpm.p,4),"")
       )
     )</f>
        <v>(126) 163-2487</v>
      </c>
      <c r="L1019" t="str">
        <f>TRIM(Employee_dataset[[#This Row],[Performance_Score]])</f>
        <v>Average</v>
      </c>
      <c r="M1019" t="str">
        <f>TRIM(Employee_dataset[[#This Row],[Remote_Work]])</f>
        <v>FALSE</v>
      </c>
    </row>
    <row r="1020" spans="1:13" x14ac:dyDescent="0.3">
      <c r="A1020" t="str">
        <f>TRIM(Employee_dataset[[#This Row],[Employee_ID]])</f>
        <v>EMP2018</v>
      </c>
      <c r="B1020" t="str">
        <f>PROPER(TRIM(Employee_dataset[[#This Row],[First_Name]]))</f>
        <v>Alice</v>
      </c>
      <c r="C1020" t="str">
        <f>PROPER(TRIM(Employee_dataset[[#This Row],[Last_Name]]))</f>
        <v>Garcia</v>
      </c>
      <c r="D1020" s="6" t="str">
        <f>_xlfn.LET(
     _xlpm.a, TRIM(Employee_dataset[[#This Row],[Age]]),
     IF(
        _xlpm.a="","",
        IF(
           AND(ISNUMBER(--_xlpm.a),LEN(_xlpm.a)=2),_xlpm.a,""
          )
       )
    )</f>
        <v>30</v>
      </c>
      <c r="E1020" t="str">
        <f>TRIM(_xlfn.TEXTBEFORE(Employee_dataset[[#This Row],[Department_Region]],"-"))</f>
        <v>HR</v>
      </c>
      <c r="F1020" t="str">
        <f>TRIM(_xlfn.TEXTAFTER(Employee_dataset[[#This Row],[Department_Region]],"-"))</f>
        <v>Florida</v>
      </c>
      <c r="G1020" t="str">
        <f>TRIM(Employee_dataset[[#This Row],[Status]])</f>
        <v>Inactive</v>
      </c>
      <c r="H1020" s="1">
        <f>_xlfn.LET(
     _xlpm.d, Employee_dataset[[#This Row],[Join_Date]],
     IF(
        ISNUMBER(_xlpm.d),_xlpm.d,""
       )
    )</f>
        <v>45642</v>
      </c>
      <c r="I1020" s="6">
        <f>_xlfn.LET(
     _xlpm.s, TRIM(Employee_dataset[[#This Row],[Salary]]),
     IF(
        UPPER(_xlpm.s)="N/A","",
        IF(
           ISNUMBER(--_xlpm.s),ROUND(_xlfn.NUMBERVALUE(_xlpm.s),2),""
          )
       )
    )</f>
        <v>71318.789999999994</v>
      </c>
      <c r="J1020" t="str">
        <f>TRIM(Employee_dataset[[#This Row],[Email]])</f>
        <v>alice.garcia@example.com</v>
      </c>
      <c r="K1020" t="str">
        <f>_xlfn.LET(
     _xlpm.p,TRIM(SUBSTITUTE(Employee_dataset[[#This Row],[Phone]],"-","")),
     IF(
        LEN(_xlpm.p)=10,_xlfn.CONCAT("("&amp;LEFT(_xlpm.p,3)&amp;") "&amp;MID(_xlpm.p,4,3)&amp;"-"&amp;RIGHT(_xlpm.p,4),"")
       )
     )</f>
        <v>(899) 572-9892</v>
      </c>
      <c r="L1020" t="str">
        <f>TRIM(Employee_dataset[[#This Row],[Performance_Score]])</f>
        <v>Good</v>
      </c>
      <c r="M1020" t="str">
        <f>TRIM(Employee_dataset[[#This Row],[Remote_Work]])</f>
        <v>TRUE</v>
      </c>
    </row>
    <row r="1021" spans="1:13" x14ac:dyDescent="0.3">
      <c r="A1021" t="str">
        <f>TRIM(Employee_dataset[[#This Row],[Employee_ID]])</f>
        <v>EMP2019</v>
      </c>
      <c r="B1021" t="str">
        <f>PROPER(TRIM(Employee_dataset[[#This Row],[First_Name]]))</f>
        <v>Heidi</v>
      </c>
      <c r="C1021" t="str">
        <f>PROPER(TRIM(Employee_dataset[[#This Row],[Last_Name]]))</f>
        <v>Jones</v>
      </c>
      <c r="D1021" s="6" t="str">
        <f>_xlfn.LET(
     _xlpm.a, TRIM(Employee_dataset[[#This Row],[Age]]),
     IF(
        _xlpm.a="","",
        IF(
           AND(ISNUMBER(--_xlpm.a),LEN(_xlpm.a)=2),_xlpm.a,""
          )
       )
    )</f>
        <v>30</v>
      </c>
      <c r="E1021" t="str">
        <f>TRIM(_xlfn.TEXTBEFORE(Employee_dataset[[#This Row],[Department_Region]],"-"))</f>
        <v>DevOps</v>
      </c>
      <c r="F1021" t="str">
        <f>TRIM(_xlfn.TEXTAFTER(Employee_dataset[[#This Row],[Department_Region]],"-"))</f>
        <v>Illinois</v>
      </c>
      <c r="G1021" t="str">
        <f>TRIM(Employee_dataset[[#This Row],[Status]])</f>
        <v>Pending</v>
      </c>
      <c r="H1021" s="1">
        <f>_xlfn.LET(
     _xlpm.d, Employee_dataset[[#This Row],[Join_Date]],
     IF(
        ISNUMBER(_xlpm.d),_xlpm.d,""
       )
    )</f>
        <v>44249</v>
      </c>
      <c r="I1021" s="6">
        <f>_xlfn.LET(
     _xlpm.s, TRIM(Employee_dataset[[#This Row],[Salary]]),
     IF(
        UPPER(_xlpm.s)="N/A","",
        IF(
           ISNUMBER(--_xlpm.s),ROUND(_xlfn.NUMBERVALUE(_xlpm.s),2),""
          )
       )
    )</f>
        <v>77764.240000000005</v>
      </c>
      <c r="J1021" t="str">
        <f>TRIM(Employee_dataset[[#This Row],[Email]])</f>
        <v>heidi.jones@example.com</v>
      </c>
      <c r="K1021" t="str">
        <f>_xlfn.LET(
     _xlpm.p,TRIM(SUBSTITUTE(Employee_dataset[[#This Row],[Phone]],"-","")),
     IF(
        LEN(_xlpm.p)=10,_xlfn.CONCAT("("&amp;LEFT(_xlpm.p,3)&amp;") "&amp;MID(_xlpm.p,4,3)&amp;"-"&amp;RIGHT(_xlpm.p,4),"")
       )
     )</f>
        <v>(762) 974-5492</v>
      </c>
      <c r="L1021" t="str">
        <f>TRIM(Employee_dataset[[#This Row],[Performance_Score]])</f>
        <v>Average</v>
      </c>
      <c r="M1021" t="str">
        <f>TRIM(Employee_dataset[[#This Row],[Remote_Work]])</f>
        <v>FALSE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C080A-CB54-4AAE-9417-E64D4030BE83}">
  <dimension ref="A1:J1021"/>
  <sheetViews>
    <sheetView workbookViewId="0">
      <selection activeCell="G2" sqref="G2"/>
    </sheetView>
  </sheetViews>
  <sheetFormatPr defaultRowHeight="14.4" x14ac:dyDescent="0.3"/>
  <cols>
    <col min="1" max="1" width="11.21875" bestFit="1" customWidth="1"/>
    <col min="2" max="2" width="14.5546875" bestFit="1" customWidth="1"/>
    <col min="3" max="3" width="15" customWidth="1"/>
    <col min="4" max="4" width="17.109375" customWidth="1"/>
    <col min="5" max="7" width="14.77734375" customWidth="1"/>
    <col min="8" max="8" width="11.44140625" customWidth="1"/>
    <col min="9" max="10" width="18.6640625" customWidth="1"/>
  </cols>
  <sheetData>
    <row r="1" spans="1:10" x14ac:dyDescent="0.3">
      <c r="A1" t="s">
        <v>0</v>
      </c>
      <c r="B1" t="s">
        <v>2144</v>
      </c>
      <c r="C1" t="s">
        <v>2150</v>
      </c>
      <c r="D1" t="s">
        <v>2188</v>
      </c>
      <c r="E1" t="s">
        <v>2201</v>
      </c>
      <c r="F1" t="s">
        <v>2207</v>
      </c>
      <c r="G1" t="s">
        <v>2208</v>
      </c>
    </row>
    <row r="2" spans="1:10" x14ac:dyDescent="0.3">
      <c r="A2" t="str">
        <f>Employee_dataset[[#This Row],[Employee_ID]]</f>
        <v>EMP1000</v>
      </c>
      <c r="B2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2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2" t="b">
        <f>_xlfn.LET(
     _xlpm.d, Employee_dataset[[#This Row],[Join_Date]],
     IF(
        ISNUMBER(_xlpm.d),TRUE,FALSE
       )
    )</f>
        <v>1</v>
      </c>
      <c r="E2" t="b">
        <f>IF(ISERROR(_xlfn.NUMBERVALUE(Employee_dataset[[#This Row],[Salary]])),FALSE,TRUE)</f>
        <v>1</v>
      </c>
      <c r="F2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2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  <c r="I2" s="7" t="s">
        <v>2202</v>
      </c>
      <c r="J2" s="7"/>
    </row>
    <row r="3" spans="1:10" x14ac:dyDescent="0.3">
      <c r="A3" t="str">
        <f>Employee_dataset[[#This Row],[Employee_ID]]</f>
        <v>EMP1001</v>
      </c>
      <c r="B3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3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3" t="b">
        <f>_xlfn.LET(
     _xlpm.d, Employee_dataset[[#This Row],[Join_Date]],
     IF(
        ISNUMBER(_xlpm.d),TRUE,FALSE
       )
    )</f>
        <v>1</v>
      </c>
      <c r="E3" t="b">
        <f>IF(ISERROR(_xlfn.NUMBERVALUE(Employee_dataset[[#This Row],[Salary]])),FALSE,TRUE)</f>
        <v>1</v>
      </c>
      <c r="F3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3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  <c r="I3" s="7"/>
      <c r="J3" s="7"/>
    </row>
    <row r="4" spans="1:10" x14ac:dyDescent="0.3">
      <c r="A4" t="str">
        <f>Employee_dataset[[#This Row],[Employee_ID]]</f>
        <v>EMP1002</v>
      </c>
      <c r="B4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4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4" t="b">
        <f>_xlfn.LET(
     _xlpm.d, Employee_dataset[[#This Row],[Join_Date]],
     IF(
        ISNUMBER(_xlpm.d),TRUE,FALSE
       )
    )</f>
        <v>1</v>
      </c>
      <c r="E4" t="b">
        <f>IF(ISERROR(_xlfn.NUMBERVALUE(Employee_dataset[[#This Row],[Salary]])),FALSE,TRUE)</f>
        <v>1</v>
      </c>
      <c r="F4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4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  <c r="I4" t="s">
        <v>2203</v>
      </c>
      <c r="J4">
        <f>COUNTIF(QA_Table[email_isValid],FALSE)</f>
        <v>0</v>
      </c>
    </row>
    <row r="5" spans="1:10" x14ac:dyDescent="0.3">
      <c r="A5" t="str">
        <f>Employee_dataset[[#This Row],[Employee_ID]]</f>
        <v>EMP1003</v>
      </c>
      <c r="B5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5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5" t="b">
        <f>_xlfn.LET(
     _xlpm.d, Employee_dataset[[#This Row],[Join_Date]],
     IF(
        ISNUMBER(_xlpm.d),TRUE,FALSE
       )
    )</f>
        <v>1</v>
      </c>
      <c r="E5" t="b">
        <f>IF(ISERROR(_xlfn.NUMBERVALUE(Employee_dataset[[#This Row],[Salary]])),FALSE,TRUE)</f>
        <v>1</v>
      </c>
      <c r="F5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5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  <c r="I5" t="s">
        <v>2204</v>
      </c>
      <c r="J5">
        <f>COUNTIF(QA_Table[phone_isValid],FALSE)</f>
        <v>92</v>
      </c>
    </row>
    <row r="6" spans="1:10" x14ac:dyDescent="0.3">
      <c r="A6" t="str">
        <f>Employee_dataset[[#This Row],[Employee_ID]]</f>
        <v>EMP1004</v>
      </c>
      <c r="B6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6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6" t="b">
        <f>_xlfn.LET(
     _xlpm.d, Employee_dataset[[#This Row],[Join_Date]],
     IF(
        ISNUMBER(_xlpm.d),TRUE,FALSE
       )
    )</f>
        <v>1</v>
      </c>
      <c r="E6" t="b">
        <f>IF(ISERROR(_xlfn.NUMBERVALUE(Employee_dataset[[#This Row],[Salary]])),FALSE,TRUE)</f>
        <v>1</v>
      </c>
      <c r="F6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6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  <c r="I6" t="s">
        <v>2206</v>
      </c>
      <c r="J6">
        <f>COUNTIF(QA_Table[join_date_isValid],FALSE)</f>
        <v>0</v>
      </c>
    </row>
    <row r="7" spans="1:10" x14ac:dyDescent="0.3">
      <c r="A7" t="str">
        <f>Employee_dataset[[#This Row],[Employee_ID]]</f>
        <v>EMP1005</v>
      </c>
      <c r="B7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7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7" t="b">
        <f>_xlfn.LET(
     _xlpm.d, Employee_dataset[[#This Row],[Join_Date]],
     IF(
        ISNUMBER(_xlpm.d),TRUE,FALSE
       )
    )</f>
        <v>1</v>
      </c>
      <c r="E7" t="b">
        <f>IF(ISERROR(_xlfn.NUMBERVALUE(Employee_dataset[[#This Row],[Salary]])),FALSE,TRUE)</f>
        <v>1</v>
      </c>
      <c r="F7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7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  <c r="I7" t="s">
        <v>2205</v>
      </c>
      <c r="J7">
        <f>COUNTIF(QA_Table[salary_isValid],FALSE)</f>
        <v>24</v>
      </c>
    </row>
    <row r="8" spans="1:10" x14ac:dyDescent="0.3">
      <c r="A8" t="str">
        <f>Employee_dataset[[#This Row],[Employee_ID]]</f>
        <v>EMP1006</v>
      </c>
      <c r="B8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8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8" t="b">
        <f>_xlfn.LET(
     _xlpm.d, Employee_dataset[[#This Row],[Join_Date]],
     IF(
        ISNUMBER(_xlpm.d),TRUE,FALSE
       )
    )</f>
        <v>1</v>
      </c>
      <c r="E8" t="b">
        <f>IF(ISERROR(_xlfn.NUMBERVALUE(Employee_dataset[[#This Row],[Salary]])),FALSE,TRUE)</f>
        <v>1</v>
      </c>
      <c r="F8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8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  <c r="I8" t="s">
        <v>2209</v>
      </c>
      <c r="J8">
        <f>COUNTIF(QA_Table[duplicate_flag],FALSE)</f>
        <v>0</v>
      </c>
    </row>
    <row r="9" spans="1:10" x14ac:dyDescent="0.3">
      <c r="A9" t="str">
        <f>Employee_dataset[[#This Row],[Employee_ID]]</f>
        <v>EMP1007</v>
      </c>
      <c r="B9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9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9" t="b">
        <f>_xlfn.LET(
     _xlpm.d, Employee_dataset[[#This Row],[Join_Date]],
     IF(
        ISNUMBER(_xlpm.d),TRUE,FALSE
       )
    )</f>
        <v>1</v>
      </c>
      <c r="E9" t="b">
        <f>IF(ISERROR(_xlfn.NUMBERVALUE(Employee_dataset[[#This Row],[Salary]])),FALSE,TRUE)</f>
        <v>1</v>
      </c>
      <c r="F9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9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10" spans="1:10" x14ac:dyDescent="0.3">
      <c r="A10" t="str">
        <f>Employee_dataset[[#This Row],[Employee_ID]]</f>
        <v>EMP1008</v>
      </c>
      <c r="B10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10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10" t="b">
        <f>_xlfn.LET(
     _xlpm.d, Employee_dataset[[#This Row],[Join_Date]],
     IF(
        ISNUMBER(_xlpm.d),TRUE,FALSE
       )
    )</f>
        <v>1</v>
      </c>
      <c r="E10" t="b">
        <f>IF(ISERROR(_xlfn.NUMBERVALUE(Employee_dataset[[#This Row],[Salary]])),FALSE,TRUE)</f>
        <v>1</v>
      </c>
      <c r="F10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10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11" spans="1:10" x14ac:dyDescent="0.3">
      <c r="A11" t="str">
        <f>Employee_dataset[[#This Row],[Employee_ID]]</f>
        <v>EMP1009</v>
      </c>
      <c r="B11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11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11" t="b">
        <f>_xlfn.LET(
     _xlpm.d, Employee_dataset[[#This Row],[Join_Date]],
     IF(
        ISNUMBER(_xlpm.d),TRUE,FALSE
       )
    )</f>
        <v>1</v>
      </c>
      <c r="E11" t="b">
        <f>IF(ISERROR(_xlfn.NUMBERVALUE(Employee_dataset[[#This Row],[Salary]])),FALSE,TRUE)</f>
        <v>1</v>
      </c>
      <c r="F11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11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12" spans="1:10" x14ac:dyDescent="0.3">
      <c r="A12" t="str">
        <f>Employee_dataset[[#This Row],[Employee_ID]]</f>
        <v>EMP1010</v>
      </c>
      <c r="B12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12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12" t="b">
        <f>_xlfn.LET(
     _xlpm.d, Employee_dataset[[#This Row],[Join_Date]],
     IF(
        ISNUMBER(_xlpm.d),TRUE,FALSE
       )
    )</f>
        <v>1</v>
      </c>
      <c r="E12" t="b">
        <f>IF(ISERROR(_xlfn.NUMBERVALUE(Employee_dataset[[#This Row],[Salary]])),FALSE,TRUE)</f>
        <v>1</v>
      </c>
      <c r="F12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12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13" spans="1:10" x14ac:dyDescent="0.3">
      <c r="A13" t="str">
        <f>Employee_dataset[[#This Row],[Employee_ID]]</f>
        <v>EMP1011</v>
      </c>
      <c r="B13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13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13" t="b">
        <f>_xlfn.LET(
     _xlpm.d, Employee_dataset[[#This Row],[Join_Date]],
     IF(
        ISNUMBER(_xlpm.d),TRUE,FALSE
       )
    )</f>
        <v>1</v>
      </c>
      <c r="E13" t="b">
        <f>IF(ISERROR(_xlfn.NUMBERVALUE(Employee_dataset[[#This Row],[Salary]])),FALSE,TRUE)</f>
        <v>1</v>
      </c>
      <c r="F13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13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14" spans="1:10" x14ac:dyDescent="0.3">
      <c r="A14" t="str">
        <f>Employee_dataset[[#This Row],[Employee_ID]]</f>
        <v>EMP1012</v>
      </c>
      <c r="B14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14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14" t="b">
        <f>_xlfn.LET(
     _xlpm.d, Employee_dataset[[#This Row],[Join_Date]],
     IF(
        ISNUMBER(_xlpm.d),TRUE,FALSE
       )
    )</f>
        <v>1</v>
      </c>
      <c r="E14" t="b">
        <f>IF(ISERROR(_xlfn.NUMBERVALUE(Employee_dataset[[#This Row],[Salary]])),FALSE,TRUE)</f>
        <v>1</v>
      </c>
      <c r="F14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14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15" spans="1:10" x14ac:dyDescent="0.3">
      <c r="A15" t="str">
        <f>Employee_dataset[[#This Row],[Employee_ID]]</f>
        <v>EMP1013</v>
      </c>
      <c r="B15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15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15" t="b">
        <f>_xlfn.LET(
     _xlpm.d, Employee_dataset[[#This Row],[Join_Date]],
     IF(
        ISNUMBER(_xlpm.d),TRUE,FALSE
       )
    )</f>
        <v>1</v>
      </c>
      <c r="E15" t="b">
        <f>IF(ISERROR(_xlfn.NUMBERVALUE(Employee_dataset[[#This Row],[Salary]])),FALSE,TRUE)</f>
        <v>1</v>
      </c>
      <c r="F15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15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16" spans="1:10" x14ac:dyDescent="0.3">
      <c r="A16" t="str">
        <f>Employee_dataset[[#This Row],[Employee_ID]]</f>
        <v>EMP1014</v>
      </c>
      <c r="B16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16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16" t="b">
        <f>_xlfn.LET(
     _xlpm.d, Employee_dataset[[#This Row],[Join_Date]],
     IF(
        ISNUMBER(_xlpm.d),TRUE,FALSE
       )
    )</f>
        <v>1</v>
      </c>
      <c r="E16" t="b">
        <f>IF(ISERROR(_xlfn.NUMBERVALUE(Employee_dataset[[#This Row],[Salary]])),FALSE,TRUE)</f>
        <v>1</v>
      </c>
      <c r="F16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16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17" spans="1:7" x14ac:dyDescent="0.3">
      <c r="A17" t="str">
        <f>Employee_dataset[[#This Row],[Employee_ID]]</f>
        <v>EMP1015</v>
      </c>
      <c r="B17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17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17" t="b">
        <f>_xlfn.LET(
     _xlpm.d, Employee_dataset[[#This Row],[Join_Date]],
     IF(
        ISNUMBER(_xlpm.d),TRUE,FALSE
       )
    )</f>
        <v>1</v>
      </c>
      <c r="E17" t="b">
        <f>IF(ISERROR(_xlfn.NUMBERVALUE(Employee_dataset[[#This Row],[Salary]])),FALSE,TRUE)</f>
        <v>1</v>
      </c>
      <c r="F17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17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18" spans="1:7" x14ac:dyDescent="0.3">
      <c r="A18" t="str">
        <f>Employee_dataset[[#This Row],[Employee_ID]]</f>
        <v>EMP1016</v>
      </c>
      <c r="B18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18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18" t="b">
        <f>_xlfn.LET(
     _xlpm.d, Employee_dataset[[#This Row],[Join_Date]],
     IF(
        ISNUMBER(_xlpm.d),TRUE,FALSE
       )
    )</f>
        <v>1</v>
      </c>
      <c r="E18" t="b">
        <f>IF(ISERROR(_xlfn.NUMBERVALUE(Employee_dataset[[#This Row],[Salary]])),FALSE,TRUE)</f>
        <v>1</v>
      </c>
      <c r="F18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18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19" spans="1:7" x14ac:dyDescent="0.3">
      <c r="A19" t="str">
        <f>Employee_dataset[[#This Row],[Employee_ID]]</f>
        <v>EMP1017</v>
      </c>
      <c r="B19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19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19" t="b">
        <f>_xlfn.LET(
     _xlpm.d, Employee_dataset[[#This Row],[Join_Date]],
     IF(
        ISNUMBER(_xlpm.d),TRUE,FALSE
       )
    )</f>
        <v>1</v>
      </c>
      <c r="E19" t="b">
        <f>IF(ISERROR(_xlfn.NUMBERVALUE(Employee_dataset[[#This Row],[Salary]])),FALSE,TRUE)</f>
        <v>1</v>
      </c>
      <c r="F19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19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20" spans="1:7" x14ac:dyDescent="0.3">
      <c r="A20" t="str">
        <f>Employee_dataset[[#This Row],[Employee_ID]]</f>
        <v>EMP1018</v>
      </c>
      <c r="B20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20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20" t="b">
        <f>_xlfn.LET(
     _xlpm.d, Employee_dataset[[#This Row],[Join_Date]],
     IF(
        ISNUMBER(_xlpm.d),TRUE,FALSE
       )
    )</f>
        <v>1</v>
      </c>
      <c r="E20" t="b">
        <f>IF(ISERROR(_xlfn.NUMBERVALUE(Employee_dataset[[#This Row],[Salary]])),FALSE,TRUE)</f>
        <v>1</v>
      </c>
      <c r="F20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20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21" spans="1:7" x14ac:dyDescent="0.3">
      <c r="A21" t="str">
        <f>Employee_dataset[[#This Row],[Employee_ID]]</f>
        <v>EMP1019</v>
      </c>
      <c r="B21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21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21" t="b">
        <f>_xlfn.LET(
     _xlpm.d, Employee_dataset[[#This Row],[Join_Date]],
     IF(
        ISNUMBER(_xlpm.d),TRUE,FALSE
       )
    )</f>
        <v>1</v>
      </c>
      <c r="E21" t="b">
        <f>IF(ISERROR(_xlfn.NUMBERVALUE(Employee_dataset[[#This Row],[Salary]])),FALSE,TRUE)</f>
        <v>1</v>
      </c>
      <c r="F21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21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22" spans="1:7" x14ac:dyDescent="0.3">
      <c r="A22" t="str">
        <f>Employee_dataset[[#This Row],[Employee_ID]]</f>
        <v>EMP1020</v>
      </c>
      <c r="B22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22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22" t="b">
        <f>_xlfn.LET(
     _xlpm.d, Employee_dataset[[#This Row],[Join_Date]],
     IF(
        ISNUMBER(_xlpm.d),TRUE,FALSE
       )
    )</f>
        <v>1</v>
      </c>
      <c r="E22" t="b">
        <f>IF(ISERROR(_xlfn.NUMBERVALUE(Employee_dataset[[#This Row],[Salary]])),FALSE,TRUE)</f>
        <v>1</v>
      </c>
      <c r="F22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22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23" spans="1:7" x14ac:dyDescent="0.3">
      <c r="A23" t="str">
        <f>Employee_dataset[[#This Row],[Employee_ID]]</f>
        <v>EMP1021</v>
      </c>
      <c r="B23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23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23" t="b">
        <f>_xlfn.LET(
     _xlpm.d, Employee_dataset[[#This Row],[Join_Date]],
     IF(
        ISNUMBER(_xlpm.d),TRUE,FALSE
       )
    )</f>
        <v>1</v>
      </c>
      <c r="E23" t="b">
        <f>IF(ISERROR(_xlfn.NUMBERVALUE(Employee_dataset[[#This Row],[Salary]])),FALSE,TRUE)</f>
        <v>1</v>
      </c>
      <c r="F23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23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24" spans="1:7" x14ac:dyDescent="0.3">
      <c r="A24" t="str">
        <f>Employee_dataset[[#This Row],[Employee_ID]]</f>
        <v>EMP1022</v>
      </c>
      <c r="B24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24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24" t="b">
        <f>_xlfn.LET(
     _xlpm.d, Employee_dataset[[#This Row],[Join_Date]],
     IF(
        ISNUMBER(_xlpm.d),TRUE,FALSE
       )
    )</f>
        <v>1</v>
      </c>
      <c r="E24" t="b">
        <f>IF(ISERROR(_xlfn.NUMBERVALUE(Employee_dataset[[#This Row],[Salary]])),FALSE,TRUE)</f>
        <v>1</v>
      </c>
      <c r="F24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24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25" spans="1:7" x14ac:dyDescent="0.3">
      <c r="A25" t="str">
        <f>Employee_dataset[[#This Row],[Employee_ID]]</f>
        <v>EMP1023</v>
      </c>
      <c r="B25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25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25" t="b">
        <f>_xlfn.LET(
     _xlpm.d, Employee_dataset[[#This Row],[Join_Date]],
     IF(
        ISNUMBER(_xlpm.d),TRUE,FALSE
       )
    )</f>
        <v>1</v>
      </c>
      <c r="E25" t="b">
        <f>IF(ISERROR(_xlfn.NUMBERVALUE(Employee_dataset[[#This Row],[Salary]])),FALSE,TRUE)</f>
        <v>1</v>
      </c>
      <c r="F25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25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26" spans="1:7" x14ac:dyDescent="0.3">
      <c r="A26" t="str">
        <f>Employee_dataset[[#This Row],[Employee_ID]]</f>
        <v>EMP1024</v>
      </c>
      <c r="B26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26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26" t="b">
        <f>_xlfn.LET(
     _xlpm.d, Employee_dataset[[#This Row],[Join_Date]],
     IF(
        ISNUMBER(_xlpm.d),TRUE,FALSE
       )
    )</f>
        <v>1</v>
      </c>
      <c r="E26" t="b">
        <f>IF(ISERROR(_xlfn.NUMBERVALUE(Employee_dataset[[#This Row],[Salary]])),FALSE,TRUE)</f>
        <v>1</v>
      </c>
      <c r="F26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26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27" spans="1:7" x14ac:dyDescent="0.3">
      <c r="A27" t="str">
        <f>Employee_dataset[[#This Row],[Employee_ID]]</f>
        <v>EMP1025</v>
      </c>
      <c r="B27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27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27" t="b">
        <f>_xlfn.LET(
     _xlpm.d, Employee_dataset[[#This Row],[Join_Date]],
     IF(
        ISNUMBER(_xlpm.d),TRUE,FALSE
       )
    )</f>
        <v>1</v>
      </c>
      <c r="E27" t="b">
        <f>IF(ISERROR(_xlfn.NUMBERVALUE(Employee_dataset[[#This Row],[Salary]])),FALSE,TRUE)</f>
        <v>1</v>
      </c>
      <c r="F27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27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28" spans="1:7" x14ac:dyDescent="0.3">
      <c r="A28" t="str">
        <f>Employee_dataset[[#This Row],[Employee_ID]]</f>
        <v>EMP1026</v>
      </c>
      <c r="B28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28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28" t="b">
        <f>_xlfn.LET(
     _xlpm.d, Employee_dataset[[#This Row],[Join_Date]],
     IF(
        ISNUMBER(_xlpm.d),TRUE,FALSE
       )
    )</f>
        <v>1</v>
      </c>
      <c r="E28" t="b">
        <f>IF(ISERROR(_xlfn.NUMBERVALUE(Employee_dataset[[#This Row],[Salary]])),FALSE,TRUE)</f>
        <v>1</v>
      </c>
      <c r="F28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28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29" spans="1:7" x14ac:dyDescent="0.3">
      <c r="A29" t="str">
        <f>Employee_dataset[[#This Row],[Employee_ID]]</f>
        <v>EMP1027</v>
      </c>
      <c r="B29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29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29" t="b">
        <f>_xlfn.LET(
     _xlpm.d, Employee_dataset[[#This Row],[Join_Date]],
     IF(
        ISNUMBER(_xlpm.d),TRUE,FALSE
       )
    )</f>
        <v>1</v>
      </c>
      <c r="E29" t="b">
        <f>IF(ISERROR(_xlfn.NUMBERVALUE(Employee_dataset[[#This Row],[Salary]])),FALSE,TRUE)</f>
        <v>1</v>
      </c>
      <c r="F29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29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30" spans="1:7" x14ac:dyDescent="0.3">
      <c r="A30" t="str">
        <f>Employee_dataset[[#This Row],[Employee_ID]]</f>
        <v>EMP1028</v>
      </c>
      <c r="B30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30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30" t="b">
        <f>_xlfn.LET(
     _xlpm.d, Employee_dataset[[#This Row],[Join_Date]],
     IF(
        ISNUMBER(_xlpm.d),TRUE,FALSE
       )
    )</f>
        <v>1</v>
      </c>
      <c r="E30" t="b">
        <f>IF(ISERROR(_xlfn.NUMBERVALUE(Employee_dataset[[#This Row],[Salary]])),FALSE,TRUE)</f>
        <v>1</v>
      </c>
      <c r="F30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30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31" spans="1:7" x14ac:dyDescent="0.3">
      <c r="A31" t="str">
        <f>Employee_dataset[[#This Row],[Employee_ID]]</f>
        <v>EMP1029</v>
      </c>
      <c r="B31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31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31" t="b">
        <f>_xlfn.LET(
     _xlpm.d, Employee_dataset[[#This Row],[Join_Date]],
     IF(
        ISNUMBER(_xlpm.d),TRUE,FALSE
       )
    )</f>
        <v>1</v>
      </c>
      <c r="E31" t="b">
        <f>IF(ISERROR(_xlfn.NUMBERVALUE(Employee_dataset[[#This Row],[Salary]])),FALSE,TRUE)</f>
        <v>1</v>
      </c>
      <c r="F31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31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32" spans="1:7" x14ac:dyDescent="0.3">
      <c r="A32" t="str">
        <f>Employee_dataset[[#This Row],[Employee_ID]]</f>
        <v>EMP1030</v>
      </c>
      <c r="B32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32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32" t="b">
        <f>_xlfn.LET(
     _xlpm.d, Employee_dataset[[#This Row],[Join_Date]],
     IF(
        ISNUMBER(_xlpm.d),TRUE,FALSE
       )
    )</f>
        <v>1</v>
      </c>
      <c r="E32" t="b">
        <f>IF(ISERROR(_xlfn.NUMBERVALUE(Employee_dataset[[#This Row],[Salary]])),FALSE,TRUE)</f>
        <v>1</v>
      </c>
      <c r="F32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32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33" spans="1:7" x14ac:dyDescent="0.3">
      <c r="A33" t="str">
        <f>Employee_dataset[[#This Row],[Employee_ID]]</f>
        <v>EMP1031</v>
      </c>
      <c r="B33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33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33" t="b">
        <f>_xlfn.LET(
     _xlpm.d, Employee_dataset[[#This Row],[Join_Date]],
     IF(
        ISNUMBER(_xlpm.d),TRUE,FALSE
       )
    )</f>
        <v>1</v>
      </c>
      <c r="E33" t="b">
        <f>IF(ISERROR(_xlfn.NUMBERVALUE(Employee_dataset[[#This Row],[Salary]])),FALSE,TRUE)</f>
        <v>1</v>
      </c>
      <c r="F33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33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34" spans="1:7" x14ac:dyDescent="0.3">
      <c r="A34" t="str">
        <f>Employee_dataset[[#This Row],[Employee_ID]]</f>
        <v>EMP1032</v>
      </c>
      <c r="B34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34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34" t="b">
        <f>_xlfn.LET(
     _xlpm.d, Employee_dataset[[#This Row],[Join_Date]],
     IF(
        ISNUMBER(_xlpm.d),TRUE,FALSE
       )
    )</f>
        <v>1</v>
      </c>
      <c r="E34" t="b">
        <f>IF(ISERROR(_xlfn.NUMBERVALUE(Employee_dataset[[#This Row],[Salary]])),FALSE,TRUE)</f>
        <v>1</v>
      </c>
      <c r="F34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34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35" spans="1:7" x14ac:dyDescent="0.3">
      <c r="A35" t="str">
        <f>Employee_dataset[[#This Row],[Employee_ID]]</f>
        <v>EMP1033</v>
      </c>
      <c r="B35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35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35" t="b">
        <f>_xlfn.LET(
     _xlpm.d, Employee_dataset[[#This Row],[Join_Date]],
     IF(
        ISNUMBER(_xlpm.d),TRUE,FALSE
       )
    )</f>
        <v>1</v>
      </c>
      <c r="E35" t="b">
        <f>IF(ISERROR(_xlfn.NUMBERVALUE(Employee_dataset[[#This Row],[Salary]])),FALSE,TRUE)</f>
        <v>1</v>
      </c>
      <c r="F35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35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36" spans="1:7" x14ac:dyDescent="0.3">
      <c r="A36" t="str">
        <f>Employee_dataset[[#This Row],[Employee_ID]]</f>
        <v>EMP1034</v>
      </c>
      <c r="B36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36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36" t="b">
        <f>_xlfn.LET(
     _xlpm.d, Employee_dataset[[#This Row],[Join_Date]],
     IF(
        ISNUMBER(_xlpm.d),TRUE,FALSE
       )
    )</f>
        <v>1</v>
      </c>
      <c r="E36" t="b">
        <f>IF(ISERROR(_xlfn.NUMBERVALUE(Employee_dataset[[#This Row],[Salary]])),FALSE,TRUE)</f>
        <v>1</v>
      </c>
      <c r="F36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36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37" spans="1:7" x14ac:dyDescent="0.3">
      <c r="A37" t="str">
        <f>Employee_dataset[[#This Row],[Employee_ID]]</f>
        <v>EMP1035</v>
      </c>
      <c r="B37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37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37" t="b">
        <f>_xlfn.LET(
     _xlpm.d, Employee_dataset[[#This Row],[Join_Date]],
     IF(
        ISNUMBER(_xlpm.d),TRUE,FALSE
       )
    )</f>
        <v>1</v>
      </c>
      <c r="E37" t="b">
        <f>IF(ISERROR(_xlfn.NUMBERVALUE(Employee_dataset[[#This Row],[Salary]])),FALSE,TRUE)</f>
        <v>1</v>
      </c>
      <c r="F37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37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38" spans="1:7" x14ac:dyDescent="0.3">
      <c r="A38" t="str">
        <f>Employee_dataset[[#This Row],[Employee_ID]]</f>
        <v>EMP1036</v>
      </c>
      <c r="B38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38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38" t="b">
        <f>_xlfn.LET(
     _xlpm.d, Employee_dataset[[#This Row],[Join_Date]],
     IF(
        ISNUMBER(_xlpm.d),TRUE,FALSE
       )
    )</f>
        <v>1</v>
      </c>
      <c r="E38" t="b">
        <f>IF(ISERROR(_xlfn.NUMBERVALUE(Employee_dataset[[#This Row],[Salary]])),FALSE,TRUE)</f>
        <v>1</v>
      </c>
      <c r="F38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38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39" spans="1:7" x14ac:dyDescent="0.3">
      <c r="A39" t="str">
        <f>Employee_dataset[[#This Row],[Employee_ID]]</f>
        <v>EMP1037</v>
      </c>
      <c r="B39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39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39" t="b">
        <f>_xlfn.LET(
     _xlpm.d, Employee_dataset[[#This Row],[Join_Date]],
     IF(
        ISNUMBER(_xlpm.d),TRUE,FALSE
       )
    )</f>
        <v>1</v>
      </c>
      <c r="E39" t="b">
        <f>IF(ISERROR(_xlfn.NUMBERVALUE(Employee_dataset[[#This Row],[Salary]])),FALSE,TRUE)</f>
        <v>1</v>
      </c>
      <c r="F39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39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40" spans="1:7" x14ac:dyDescent="0.3">
      <c r="A40" t="str">
        <f>Employee_dataset[[#This Row],[Employee_ID]]</f>
        <v>EMP1038</v>
      </c>
      <c r="B40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40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40" t="b">
        <f>_xlfn.LET(
     _xlpm.d, Employee_dataset[[#This Row],[Join_Date]],
     IF(
        ISNUMBER(_xlpm.d),TRUE,FALSE
       )
    )</f>
        <v>1</v>
      </c>
      <c r="E40" t="b">
        <f>IF(ISERROR(_xlfn.NUMBERVALUE(Employee_dataset[[#This Row],[Salary]])),FALSE,TRUE)</f>
        <v>1</v>
      </c>
      <c r="F40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40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41" spans="1:7" x14ac:dyDescent="0.3">
      <c r="A41" t="str">
        <f>Employee_dataset[[#This Row],[Employee_ID]]</f>
        <v>EMP1039</v>
      </c>
      <c r="B41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41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41" t="b">
        <f>_xlfn.LET(
     _xlpm.d, Employee_dataset[[#This Row],[Join_Date]],
     IF(
        ISNUMBER(_xlpm.d),TRUE,FALSE
       )
    )</f>
        <v>1</v>
      </c>
      <c r="E41" t="b">
        <f>IF(ISERROR(_xlfn.NUMBERVALUE(Employee_dataset[[#This Row],[Salary]])),FALSE,TRUE)</f>
        <v>1</v>
      </c>
      <c r="F41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41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42" spans="1:7" x14ac:dyDescent="0.3">
      <c r="A42" t="str">
        <f>Employee_dataset[[#This Row],[Employee_ID]]</f>
        <v>EMP1040</v>
      </c>
      <c r="B42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42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42" t="b">
        <f>_xlfn.LET(
     _xlpm.d, Employee_dataset[[#This Row],[Join_Date]],
     IF(
        ISNUMBER(_xlpm.d),TRUE,FALSE
       )
    )</f>
        <v>1</v>
      </c>
      <c r="E42" t="b">
        <f>IF(ISERROR(_xlfn.NUMBERVALUE(Employee_dataset[[#This Row],[Salary]])),FALSE,TRUE)</f>
        <v>1</v>
      </c>
      <c r="F42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42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43" spans="1:7" x14ac:dyDescent="0.3">
      <c r="A43" t="str">
        <f>Employee_dataset[[#This Row],[Employee_ID]]</f>
        <v>EMP1041</v>
      </c>
      <c r="B43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43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43" t="b">
        <f>_xlfn.LET(
     _xlpm.d, Employee_dataset[[#This Row],[Join_Date]],
     IF(
        ISNUMBER(_xlpm.d),TRUE,FALSE
       )
    )</f>
        <v>1</v>
      </c>
      <c r="E43" t="b">
        <f>IF(ISERROR(_xlfn.NUMBERVALUE(Employee_dataset[[#This Row],[Salary]])),FALSE,TRUE)</f>
        <v>1</v>
      </c>
      <c r="F43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43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44" spans="1:7" x14ac:dyDescent="0.3">
      <c r="A44" t="str">
        <f>Employee_dataset[[#This Row],[Employee_ID]]</f>
        <v>EMP1042</v>
      </c>
      <c r="B44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44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44" t="b">
        <f>_xlfn.LET(
     _xlpm.d, Employee_dataset[[#This Row],[Join_Date]],
     IF(
        ISNUMBER(_xlpm.d),TRUE,FALSE
       )
    )</f>
        <v>1</v>
      </c>
      <c r="E44" t="b">
        <f>IF(ISERROR(_xlfn.NUMBERVALUE(Employee_dataset[[#This Row],[Salary]])),FALSE,TRUE)</f>
        <v>1</v>
      </c>
      <c r="F44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44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45" spans="1:7" x14ac:dyDescent="0.3">
      <c r="A45" t="str">
        <f>Employee_dataset[[#This Row],[Employee_ID]]</f>
        <v>EMP1043</v>
      </c>
      <c r="B45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45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0</v>
      </c>
      <c r="D45" t="b">
        <f>_xlfn.LET(
     _xlpm.d, Employee_dataset[[#This Row],[Join_Date]],
     IF(
        ISNUMBER(_xlpm.d),TRUE,FALSE
       )
    )</f>
        <v>1</v>
      </c>
      <c r="E45" t="b">
        <f>IF(ISERROR(_xlfn.NUMBERVALUE(Employee_dataset[[#This Row],[Salary]])),FALSE,TRUE)</f>
        <v>1</v>
      </c>
      <c r="F45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>Phone</v>
      </c>
      <c r="G45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46" spans="1:7" x14ac:dyDescent="0.3">
      <c r="A46" t="str">
        <f>Employee_dataset[[#This Row],[Employee_ID]]</f>
        <v>EMP1044</v>
      </c>
      <c r="B46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46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46" t="b">
        <f>_xlfn.LET(
     _xlpm.d, Employee_dataset[[#This Row],[Join_Date]],
     IF(
        ISNUMBER(_xlpm.d),TRUE,FALSE
       )
    )</f>
        <v>1</v>
      </c>
      <c r="E46" t="b">
        <f>IF(ISERROR(_xlfn.NUMBERVALUE(Employee_dataset[[#This Row],[Salary]])),FALSE,TRUE)</f>
        <v>1</v>
      </c>
      <c r="F46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46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47" spans="1:7" x14ac:dyDescent="0.3">
      <c r="A47" t="str">
        <f>Employee_dataset[[#This Row],[Employee_ID]]</f>
        <v>EMP1045</v>
      </c>
      <c r="B47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47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0</v>
      </c>
      <c r="D47" t="b">
        <f>_xlfn.LET(
     _xlpm.d, Employee_dataset[[#This Row],[Join_Date]],
     IF(
        ISNUMBER(_xlpm.d),TRUE,FALSE
       )
    )</f>
        <v>1</v>
      </c>
      <c r="E47" t="b">
        <f>IF(ISERROR(_xlfn.NUMBERVALUE(Employee_dataset[[#This Row],[Salary]])),FALSE,TRUE)</f>
        <v>1</v>
      </c>
      <c r="F47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>Phone</v>
      </c>
      <c r="G47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48" spans="1:7" x14ac:dyDescent="0.3">
      <c r="A48" t="str">
        <f>Employee_dataset[[#This Row],[Employee_ID]]</f>
        <v>EMP1046</v>
      </c>
      <c r="B48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48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48" t="b">
        <f>_xlfn.LET(
     _xlpm.d, Employee_dataset[[#This Row],[Join_Date]],
     IF(
        ISNUMBER(_xlpm.d),TRUE,FALSE
       )
    )</f>
        <v>1</v>
      </c>
      <c r="E48" t="b">
        <f>IF(ISERROR(_xlfn.NUMBERVALUE(Employee_dataset[[#This Row],[Salary]])),FALSE,TRUE)</f>
        <v>1</v>
      </c>
      <c r="F48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48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49" spans="1:7" x14ac:dyDescent="0.3">
      <c r="A49" t="str">
        <f>Employee_dataset[[#This Row],[Employee_ID]]</f>
        <v>EMP1047</v>
      </c>
      <c r="B49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49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0</v>
      </c>
      <c r="D49" t="b">
        <f>_xlfn.LET(
     _xlpm.d, Employee_dataset[[#This Row],[Join_Date]],
     IF(
        ISNUMBER(_xlpm.d),TRUE,FALSE
       )
    )</f>
        <v>1</v>
      </c>
      <c r="E49" t="b">
        <f>IF(ISERROR(_xlfn.NUMBERVALUE(Employee_dataset[[#This Row],[Salary]])),FALSE,TRUE)</f>
        <v>1</v>
      </c>
      <c r="F49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>Phone</v>
      </c>
      <c r="G49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50" spans="1:7" x14ac:dyDescent="0.3">
      <c r="A50" t="str">
        <f>Employee_dataset[[#This Row],[Employee_ID]]</f>
        <v>EMP1048</v>
      </c>
      <c r="B50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50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50" t="b">
        <f>_xlfn.LET(
     _xlpm.d, Employee_dataset[[#This Row],[Join_Date]],
     IF(
        ISNUMBER(_xlpm.d),TRUE,FALSE
       )
    )</f>
        <v>1</v>
      </c>
      <c r="E50" t="b">
        <f>IF(ISERROR(_xlfn.NUMBERVALUE(Employee_dataset[[#This Row],[Salary]])),FALSE,TRUE)</f>
        <v>1</v>
      </c>
      <c r="F50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50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51" spans="1:7" x14ac:dyDescent="0.3">
      <c r="A51" t="str">
        <f>Employee_dataset[[#This Row],[Employee_ID]]</f>
        <v>EMP1049</v>
      </c>
      <c r="B51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51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51" t="b">
        <f>_xlfn.LET(
     _xlpm.d, Employee_dataset[[#This Row],[Join_Date]],
     IF(
        ISNUMBER(_xlpm.d),TRUE,FALSE
       )
    )</f>
        <v>1</v>
      </c>
      <c r="E51" t="b">
        <f>IF(ISERROR(_xlfn.NUMBERVALUE(Employee_dataset[[#This Row],[Salary]])),FALSE,TRUE)</f>
        <v>1</v>
      </c>
      <c r="F51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51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52" spans="1:7" x14ac:dyDescent="0.3">
      <c r="A52" t="str">
        <f>Employee_dataset[[#This Row],[Employee_ID]]</f>
        <v>EMP1050</v>
      </c>
      <c r="B52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52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52" t="b">
        <f>_xlfn.LET(
     _xlpm.d, Employee_dataset[[#This Row],[Join_Date]],
     IF(
        ISNUMBER(_xlpm.d),TRUE,FALSE
       )
    )</f>
        <v>1</v>
      </c>
      <c r="E52" t="b">
        <f>IF(ISERROR(_xlfn.NUMBERVALUE(Employee_dataset[[#This Row],[Salary]])),FALSE,TRUE)</f>
        <v>1</v>
      </c>
      <c r="F52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52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53" spans="1:7" x14ac:dyDescent="0.3">
      <c r="A53" t="str">
        <f>Employee_dataset[[#This Row],[Employee_ID]]</f>
        <v>EMP1051</v>
      </c>
      <c r="B53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53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53" t="b">
        <f>_xlfn.LET(
     _xlpm.d, Employee_dataset[[#This Row],[Join_Date]],
     IF(
        ISNUMBER(_xlpm.d),TRUE,FALSE
       )
    )</f>
        <v>1</v>
      </c>
      <c r="E53" t="b">
        <f>IF(ISERROR(_xlfn.NUMBERVALUE(Employee_dataset[[#This Row],[Salary]])),FALSE,TRUE)</f>
        <v>1</v>
      </c>
      <c r="F53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53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54" spans="1:7" x14ac:dyDescent="0.3">
      <c r="A54" t="str">
        <f>Employee_dataset[[#This Row],[Employee_ID]]</f>
        <v>EMP1052</v>
      </c>
      <c r="B54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54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54" t="b">
        <f>_xlfn.LET(
     _xlpm.d, Employee_dataset[[#This Row],[Join_Date]],
     IF(
        ISNUMBER(_xlpm.d),TRUE,FALSE
       )
    )</f>
        <v>1</v>
      </c>
      <c r="E54" t="b">
        <f>IF(ISERROR(_xlfn.NUMBERVALUE(Employee_dataset[[#This Row],[Salary]])),FALSE,TRUE)</f>
        <v>1</v>
      </c>
      <c r="F54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54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55" spans="1:7" x14ac:dyDescent="0.3">
      <c r="A55" t="str">
        <f>Employee_dataset[[#This Row],[Employee_ID]]</f>
        <v>EMP1053</v>
      </c>
      <c r="B55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55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55" t="b">
        <f>_xlfn.LET(
     _xlpm.d, Employee_dataset[[#This Row],[Join_Date]],
     IF(
        ISNUMBER(_xlpm.d),TRUE,FALSE
       )
    )</f>
        <v>1</v>
      </c>
      <c r="E55" t="b">
        <f>IF(ISERROR(_xlfn.NUMBERVALUE(Employee_dataset[[#This Row],[Salary]])),FALSE,TRUE)</f>
        <v>1</v>
      </c>
      <c r="F55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55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56" spans="1:7" x14ac:dyDescent="0.3">
      <c r="A56" t="str">
        <f>Employee_dataset[[#This Row],[Employee_ID]]</f>
        <v>EMP1054</v>
      </c>
      <c r="B56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56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56" t="b">
        <f>_xlfn.LET(
     _xlpm.d, Employee_dataset[[#This Row],[Join_Date]],
     IF(
        ISNUMBER(_xlpm.d),TRUE,FALSE
       )
    )</f>
        <v>1</v>
      </c>
      <c r="E56" t="b">
        <f>IF(ISERROR(_xlfn.NUMBERVALUE(Employee_dataset[[#This Row],[Salary]])),FALSE,TRUE)</f>
        <v>1</v>
      </c>
      <c r="F56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56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57" spans="1:7" x14ac:dyDescent="0.3">
      <c r="A57" t="str">
        <f>Employee_dataset[[#This Row],[Employee_ID]]</f>
        <v>EMP1055</v>
      </c>
      <c r="B57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57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57" t="b">
        <f>_xlfn.LET(
     _xlpm.d, Employee_dataset[[#This Row],[Join_Date]],
     IF(
        ISNUMBER(_xlpm.d),TRUE,FALSE
       )
    )</f>
        <v>1</v>
      </c>
      <c r="E57" t="b">
        <f>IF(ISERROR(_xlfn.NUMBERVALUE(Employee_dataset[[#This Row],[Salary]])),FALSE,TRUE)</f>
        <v>1</v>
      </c>
      <c r="F57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57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58" spans="1:7" x14ac:dyDescent="0.3">
      <c r="A58" t="str">
        <f>Employee_dataset[[#This Row],[Employee_ID]]</f>
        <v>EMP1056</v>
      </c>
      <c r="B58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58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58" t="b">
        <f>_xlfn.LET(
     _xlpm.d, Employee_dataset[[#This Row],[Join_Date]],
     IF(
        ISNUMBER(_xlpm.d),TRUE,FALSE
       )
    )</f>
        <v>1</v>
      </c>
      <c r="E58" t="b">
        <f>IF(ISERROR(_xlfn.NUMBERVALUE(Employee_dataset[[#This Row],[Salary]])),FALSE,TRUE)</f>
        <v>1</v>
      </c>
      <c r="F58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58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59" spans="1:7" x14ac:dyDescent="0.3">
      <c r="A59" t="str">
        <f>Employee_dataset[[#This Row],[Employee_ID]]</f>
        <v>EMP1057</v>
      </c>
      <c r="B59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59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59" t="b">
        <f>_xlfn.LET(
     _xlpm.d, Employee_dataset[[#This Row],[Join_Date]],
     IF(
        ISNUMBER(_xlpm.d),TRUE,FALSE
       )
    )</f>
        <v>1</v>
      </c>
      <c r="E59" t="b">
        <f>IF(ISERROR(_xlfn.NUMBERVALUE(Employee_dataset[[#This Row],[Salary]])),FALSE,TRUE)</f>
        <v>1</v>
      </c>
      <c r="F59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59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60" spans="1:7" x14ac:dyDescent="0.3">
      <c r="A60" t="str">
        <f>Employee_dataset[[#This Row],[Employee_ID]]</f>
        <v>EMP1058</v>
      </c>
      <c r="B60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60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0</v>
      </c>
      <c r="D60" t="b">
        <f>_xlfn.LET(
     _xlpm.d, Employee_dataset[[#This Row],[Join_Date]],
     IF(
        ISNUMBER(_xlpm.d),TRUE,FALSE
       )
    )</f>
        <v>1</v>
      </c>
      <c r="E60" t="b">
        <f>IF(ISERROR(_xlfn.NUMBERVALUE(Employee_dataset[[#This Row],[Salary]])),FALSE,TRUE)</f>
        <v>1</v>
      </c>
      <c r="F60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>Phone</v>
      </c>
      <c r="G60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61" spans="1:7" x14ac:dyDescent="0.3">
      <c r="A61" t="str">
        <f>Employee_dataset[[#This Row],[Employee_ID]]</f>
        <v>EMP1059</v>
      </c>
      <c r="B61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61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61" t="b">
        <f>_xlfn.LET(
     _xlpm.d, Employee_dataset[[#This Row],[Join_Date]],
     IF(
        ISNUMBER(_xlpm.d),TRUE,FALSE
       )
    )</f>
        <v>1</v>
      </c>
      <c r="E61" t="b">
        <f>IF(ISERROR(_xlfn.NUMBERVALUE(Employee_dataset[[#This Row],[Salary]])),FALSE,TRUE)</f>
        <v>1</v>
      </c>
      <c r="F61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61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62" spans="1:7" x14ac:dyDescent="0.3">
      <c r="A62" t="str">
        <f>Employee_dataset[[#This Row],[Employee_ID]]</f>
        <v>EMP1060</v>
      </c>
      <c r="B62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62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62" t="b">
        <f>_xlfn.LET(
     _xlpm.d, Employee_dataset[[#This Row],[Join_Date]],
     IF(
        ISNUMBER(_xlpm.d),TRUE,FALSE
       )
    )</f>
        <v>1</v>
      </c>
      <c r="E62" t="b">
        <f>IF(ISERROR(_xlfn.NUMBERVALUE(Employee_dataset[[#This Row],[Salary]])),FALSE,TRUE)</f>
        <v>1</v>
      </c>
      <c r="F62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62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63" spans="1:7" x14ac:dyDescent="0.3">
      <c r="A63" t="str">
        <f>Employee_dataset[[#This Row],[Employee_ID]]</f>
        <v>EMP1061</v>
      </c>
      <c r="B63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63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63" t="b">
        <f>_xlfn.LET(
     _xlpm.d, Employee_dataset[[#This Row],[Join_Date]],
     IF(
        ISNUMBER(_xlpm.d),TRUE,FALSE
       )
    )</f>
        <v>1</v>
      </c>
      <c r="E63" t="b">
        <f>IF(ISERROR(_xlfn.NUMBERVALUE(Employee_dataset[[#This Row],[Salary]])),FALSE,TRUE)</f>
        <v>1</v>
      </c>
      <c r="F63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63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64" spans="1:7" x14ac:dyDescent="0.3">
      <c r="A64" t="str">
        <f>Employee_dataset[[#This Row],[Employee_ID]]</f>
        <v>EMP1062</v>
      </c>
      <c r="B64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64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64" t="b">
        <f>_xlfn.LET(
     _xlpm.d, Employee_dataset[[#This Row],[Join_Date]],
     IF(
        ISNUMBER(_xlpm.d),TRUE,FALSE
       )
    )</f>
        <v>1</v>
      </c>
      <c r="E64" t="b">
        <f>IF(ISERROR(_xlfn.NUMBERVALUE(Employee_dataset[[#This Row],[Salary]])),FALSE,TRUE)</f>
        <v>1</v>
      </c>
      <c r="F64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64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65" spans="1:7" x14ac:dyDescent="0.3">
      <c r="A65" t="str">
        <f>Employee_dataset[[#This Row],[Employee_ID]]</f>
        <v>EMP1063</v>
      </c>
      <c r="B65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65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65" t="b">
        <f>_xlfn.LET(
     _xlpm.d, Employee_dataset[[#This Row],[Join_Date]],
     IF(
        ISNUMBER(_xlpm.d),TRUE,FALSE
       )
    )</f>
        <v>1</v>
      </c>
      <c r="E65" t="b">
        <f>IF(ISERROR(_xlfn.NUMBERVALUE(Employee_dataset[[#This Row],[Salary]])),FALSE,TRUE)</f>
        <v>1</v>
      </c>
      <c r="F65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65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66" spans="1:7" x14ac:dyDescent="0.3">
      <c r="A66" t="str">
        <f>Employee_dataset[[#This Row],[Employee_ID]]</f>
        <v>EMP1064</v>
      </c>
      <c r="B66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66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66" t="b">
        <f>_xlfn.LET(
     _xlpm.d, Employee_dataset[[#This Row],[Join_Date]],
     IF(
        ISNUMBER(_xlpm.d),TRUE,FALSE
       )
    )</f>
        <v>1</v>
      </c>
      <c r="E66" t="b">
        <f>IF(ISERROR(_xlfn.NUMBERVALUE(Employee_dataset[[#This Row],[Salary]])),FALSE,TRUE)</f>
        <v>1</v>
      </c>
      <c r="F66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66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67" spans="1:7" x14ac:dyDescent="0.3">
      <c r="A67" t="str">
        <f>Employee_dataset[[#This Row],[Employee_ID]]</f>
        <v>EMP1065</v>
      </c>
      <c r="B67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67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67" t="b">
        <f>_xlfn.LET(
     _xlpm.d, Employee_dataset[[#This Row],[Join_Date]],
     IF(
        ISNUMBER(_xlpm.d),TRUE,FALSE
       )
    )</f>
        <v>1</v>
      </c>
      <c r="E67" t="b">
        <f>IF(ISERROR(_xlfn.NUMBERVALUE(Employee_dataset[[#This Row],[Salary]])),FALSE,TRUE)</f>
        <v>1</v>
      </c>
      <c r="F67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67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68" spans="1:7" x14ac:dyDescent="0.3">
      <c r="A68" t="str">
        <f>Employee_dataset[[#This Row],[Employee_ID]]</f>
        <v>EMP1066</v>
      </c>
      <c r="B68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68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68" t="b">
        <f>_xlfn.LET(
     _xlpm.d, Employee_dataset[[#This Row],[Join_Date]],
     IF(
        ISNUMBER(_xlpm.d),TRUE,FALSE
       )
    )</f>
        <v>1</v>
      </c>
      <c r="E68" t="b">
        <f>IF(ISERROR(_xlfn.NUMBERVALUE(Employee_dataset[[#This Row],[Salary]])),FALSE,TRUE)</f>
        <v>1</v>
      </c>
      <c r="F68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68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69" spans="1:7" x14ac:dyDescent="0.3">
      <c r="A69" t="str">
        <f>Employee_dataset[[#This Row],[Employee_ID]]</f>
        <v>EMP1067</v>
      </c>
      <c r="B69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69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69" t="b">
        <f>_xlfn.LET(
     _xlpm.d, Employee_dataset[[#This Row],[Join_Date]],
     IF(
        ISNUMBER(_xlpm.d),TRUE,FALSE
       )
    )</f>
        <v>1</v>
      </c>
      <c r="E69" t="b">
        <f>IF(ISERROR(_xlfn.NUMBERVALUE(Employee_dataset[[#This Row],[Salary]])),FALSE,TRUE)</f>
        <v>1</v>
      </c>
      <c r="F69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69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70" spans="1:7" x14ac:dyDescent="0.3">
      <c r="A70" t="str">
        <f>Employee_dataset[[#This Row],[Employee_ID]]</f>
        <v>EMP1068</v>
      </c>
      <c r="B70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70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0</v>
      </c>
      <c r="D70" t="b">
        <f>_xlfn.LET(
     _xlpm.d, Employee_dataset[[#This Row],[Join_Date]],
     IF(
        ISNUMBER(_xlpm.d),TRUE,FALSE
       )
    )</f>
        <v>1</v>
      </c>
      <c r="E70" t="b">
        <f>IF(ISERROR(_xlfn.NUMBERVALUE(Employee_dataset[[#This Row],[Salary]])),FALSE,TRUE)</f>
        <v>1</v>
      </c>
      <c r="F70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>Phone</v>
      </c>
      <c r="G70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71" spans="1:7" x14ac:dyDescent="0.3">
      <c r="A71" t="str">
        <f>Employee_dataset[[#This Row],[Employee_ID]]</f>
        <v>EMP1069</v>
      </c>
      <c r="B71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71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71" t="b">
        <f>_xlfn.LET(
     _xlpm.d, Employee_dataset[[#This Row],[Join_Date]],
     IF(
        ISNUMBER(_xlpm.d),TRUE,FALSE
       )
    )</f>
        <v>1</v>
      </c>
      <c r="E71" t="b">
        <f>IF(ISERROR(_xlfn.NUMBERVALUE(Employee_dataset[[#This Row],[Salary]])),FALSE,TRUE)</f>
        <v>1</v>
      </c>
      <c r="F71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71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72" spans="1:7" x14ac:dyDescent="0.3">
      <c r="A72" t="str">
        <f>Employee_dataset[[#This Row],[Employee_ID]]</f>
        <v>EMP1070</v>
      </c>
      <c r="B72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72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72" t="b">
        <f>_xlfn.LET(
     _xlpm.d, Employee_dataset[[#This Row],[Join_Date]],
     IF(
        ISNUMBER(_xlpm.d),TRUE,FALSE
       )
    )</f>
        <v>1</v>
      </c>
      <c r="E72" t="b">
        <f>IF(ISERROR(_xlfn.NUMBERVALUE(Employee_dataset[[#This Row],[Salary]])),FALSE,TRUE)</f>
        <v>1</v>
      </c>
      <c r="F72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72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73" spans="1:7" x14ac:dyDescent="0.3">
      <c r="A73" t="str">
        <f>Employee_dataset[[#This Row],[Employee_ID]]</f>
        <v>EMP1071</v>
      </c>
      <c r="B73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73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73" t="b">
        <f>_xlfn.LET(
     _xlpm.d, Employee_dataset[[#This Row],[Join_Date]],
     IF(
        ISNUMBER(_xlpm.d),TRUE,FALSE
       )
    )</f>
        <v>1</v>
      </c>
      <c r="E73" t="b">
        <f>IF(ISERROR(_xlfn.NUMBERVALUE(Employee_dataset[[#This Row],[Salary]])),FALSE,TRUE)</f>
        <v>1</v>
      </c>
      <c r="F73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73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74" spans="1:7" x14ac:dyDescent="0.3">
      <c r="A74" t="str">
        <f>Employee_dataset[[#This Row],[Employee_ID]]</f>
        <v>EMP1072</v>
      </c>
      <c r="B74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74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74" t="b">
        <f>_xlfn.LET(
     _xlpm.d, Employee_dataset[[#This Row],[Join_Date]],
     IF(
        ISNUMBER(_xlpm.d),TRUE,FALSE
       )
    )</f>
        <v>1</v>
      </c>
      <c r="E74" t="b">
        <f>IF(ISERROR(_xlfn.NUMBERVALUE(Employee_dataset[[#This Row],[Salary]])),FALSE,TRUE)</f>
        <v>1</v>
      </c>
      <c r="F74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74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75" spans="1:7" x14ac:dyDescent="0.3">
      <c r="A75" t="str">
        <f>Employee_dataset[[#This Row],[Employee_ID]]</f>
        <v>EMP1073</v>
      </c>
      <c r="B75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75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75" t="b">
        <f>_xlfn.LET(
     _xlpm.d, Employee_dataset[[#This Row],[Join_Date]],
     IF(
        ISNUMBER(_xlpm.d),TRUE,FALSE
       )
    )</f>
        <v>1</v>
      </c>
      <c r="E75" t="b">
        <f>IF(ISERROR(_xlfn.NUMBERVALUE(Employee_dataset[[#This Row],[Salary]])),FALSE,TRUE)</f>
        <v>1</v>
      </c>
      <c r="F75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75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76" spans="1:7" x14ac:dyDescent="0.3">
      <c r="A76" t="str">
        <f>Employee_dataset[[#This Row],[Employee_ID]]</f>
        <v>EMP1074</v>
      </c>
      <c r="B76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76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76" t="b">
        <f>_xlfn.LET(
     _xlpm.d, Employee_dataset[[#This Row],[Join_Date]],
     IF(
        ISNUMBER(_xlpm.d),TRUE,FALSE
       )
    )</f>
        <v>1</v>
      </c>
      <c r="E76" t="b">
        <f>IF(ISERROR(_xlfn.NUMBERVALUE(Employee_dataset[[#This Row],[Salary]])),FALSE,TRUE)</f>
        <v>1</v>
      </c>
      <c r="F76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76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77" spans="1:7" x14ac:dyDescent="0.3">
      <c r="A77" t="str">
        <f>Employee_dataset[[#This Row],[Employee_ID]]</f>
        <v>EMP1075</v>
      </c>
      <c r="B77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77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77" t="b">
        <f>_xlfn.LET(
     _xlpm.d, Employee_dataset[[#This Row],[Join_Date]],
     IF(
        ISNUMBER(_xlpm.d),TRUE,FALSE
       )
    )</f>
        <v>1</v>
      </c>
      <c r="E77" t="b">
        <f>IF(ISERROR(_xlfn.NUMBERVALUE(Employee_dataset[[#This Row],[Salary]])),FALSE,TRUE)</f>
        <v>1</v>
      </c>
      <c r="F77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77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78" spans="1:7" x14ac:dyDescent="0.3">
      <c r="A78" t="str">
        <f>Employee_dataset[[#This Row],[Employee_ID]]</f>
        <v>EMP1076</v>
      </c>
      <c r="B78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78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78" t="b">
        <f>_xlfn.LET(
     _xlpm.d, Employee_dataset[[#This Row],[Join_Date]],
     IF(
        ISNUMBER(_xlpm.d),TRUE,FALSE
       )
    )</f>
        <v>1</v>
      </c>
      <c r="E78" t="b">
        <f>IF(ISERROR(_xlfn.NUMBERVALUE(Employee_dataset[[#This Row],[Salary]])),FALSE,TRUE)</f>
        <v>1</v>
      </c>
      <c r="F78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78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79" spans="1:7" x14ac:dyDescent="0.3">
      <c r="A79" t="str">
        <f>Employee_dataset[[#This Row],[Employee_ID]]</f>
        <v>EMP1077</v>
      </c>
      <c r="B79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79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79" t="b">
        <f>_xlfn.LET(
     _xlpm.d, Employee_dataset[[#This Row],[Join_Date]],
     IF(
        ISNUMBER(_xlpm.d),TRUE,FALSE
       )
    )</f>
        <v>1</v>
      </c>
      <c r="E79" t="b">
        <f>IF(ISERROR(_xlfn.NUMBERVALUE(Employee_dataset[[#This Row],[Salary]])),FALSE,TRUE)</f>
        <v>1</v>
      </c>
      <c r="F79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79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80" spans="1:7" x14ac:dyDescent="0.3">
      <c r="A80" t="str">
        <f>Employee_dataset[[#This Row],[Employee_ID]]</f>
        <v>EMP1078</v>
      </c>
      <c r="B80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80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80" t="b">
        <f>_xlfn.LET(
     _xlpm.d, Employee_dataset[[#This Row],[Join_Date]],
     IF(
        ISNUMBER(_xlpm.d),TRUE,FALSE
       )
    )</f>
        <v>1</v>
      </c>
      <c r="E80" t="b">
        <f>IF(ISERROR(_xlfn.NUMBERVALUE(Employee_dataset[[#This Row],[Salary]])),FALSE,TRUE)</f>
        <v>1</v>
      </c>
      <c r="F80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80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81" spans="1:7" x14ac:dyDescent="0.3">
      <c r="A81" t="str">
        <f>Employee_dataset[[#This Row],[Employee_ID]]</f>
        <v>EMP1079</v>
      </c>
      <c r="B81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81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81" t="b">
        <f>_xlfn.LET(
     _xlpm.d, Employee_dataset[[#This Row],[Join_Date]],
     IF(
        ISNUMBER(_xlpm.d),TRUE,FALSE
       )
    )</f>
        <v>1</v>
      </c>
      <c r="E81" t="b">
        <f>IF(ISERROR(_xlfn.NUMBERVALUE(Employee_dataset[[#This Row],[Salary]])),FALSE,TRUE)</f>
        <v>1</v>
      </c>
      <c r="F81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81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82" spans="1:7" x14ac:dyDescent="0.3">
      <c r="A82" t="str">
        <f>Employee_dataset[[#This Row],[Employee_ID]]</f>
        <v>EMP1080</v>
      </c>
      <c r="B82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82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82" t="b">
        <f>_xlfn.LET(
     _xlpm.d, Employee_dataset[[#This Row],[Join_Date]],
     IF(
        ISNUMBER(_xlpm.d),TRUE,FALSE
       )
    )</f>
        <v>1</v>
      </c>
      <c r="E82" t="b">
        <f>IF(ISERROR(_xlfn.NUMBERVALUE(Employee_dataset[[#This Row],[Salary]])),FALSE,TRUE)</f>
        <v>1</v>
      </c>
      <c r="F82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82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83" spans="1:7" x14ac:dyDescent="0.3">
      <c r="A83" t="str">
        <f>Employee_dataset[[#This Row],[Employee_ID]]</f>
        <v>EMP1081</v>
      </c>
      <c r="B83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83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83" t="b">
        <f>_xlfn.LET(
     _xlpm.d, Employee_dataset[[#This Row],[Join_Date]],
     IF(
        ISNUMBER(_xlpm.d),TRUE,FALSE
       )
    )</f>
        <v>1</v>
      </c>
      <c r="E83" t="b">
        <f>IF(ISERROR(_xlfn.NUMBERVALUE(Employee_dataset[[#This Row],[Salary]])),FALSE,TRUE)</f>
        <v>1</v>
      </c>
      <c r="F83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83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84" spans="1:7" x14ac:dyDescent="0.3">
      <c r="A84" t="str">
        <f>Employee_dataset[[#This Row],[Employee_ID]]</f>
        <v>EMP1082</v>
      </c>
      <c r="B84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84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84" t="b">
        <f>_xlfn.LET(
     _xlpm.d, Employee_dataset[[#This Row],[Join_Date]],
     IF(
        ISNUMBER(_xlpm.d),TRUE,FALSE
       )
    )</f>
        <v>1</v>
      </c>
      <c r="E84" t="b">
        <f>IF(ISERROR(_xlfn.NUMBERVALUE(Employee_dataset[[#This Row],[Salary]])),FALSE,TRUE)</f>
        <v>1</v>
      </c>
      <c r="F84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84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85" spans="1:7" x14ac:dyDescent="0.3">
      <c r="A85" t="str">
        <f>Employee_dataset[[#This Row],[Employee_ID]]</f>
        <v>EMP1083</v>
      </c>
      <c r="B85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85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85" t="b">
        <f>_xlfn.LET(
     _xlpm.d, Employee_dataset[[#This Row],[Join_Date]],
     IF(
        ISNUMBER(_xlpm.d),TRUE,FALSE
       )
    )</f>
        <v>1</v>
      </c>
      <c r="E85" t="b">
        <f>IF(ISERROR(_xlfn.NUMBERVALUE(Employee_dataset[[#This Row],[Salary]])),FALSE,TRUE)</f>
        <v>1</v>
      </c>
      <c r="F85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85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86" spans="1:7" x14ac:dyDescent="0.3">
      <c r="A86" t="str">
        <f>Employee_dataset[[#This Row],[Employee_ID]]</f>
        <v>EMP1084</v>
      </c>
      <c r="B86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86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0</v>
      </c>
      <c r="D86" t="b">
        <f>_xlfn.LET(
     _xlpm.d, Employee_dataset[[#This Row],[Join_Date]],
     IF(
        ISNUMBER(_xlpm.d),TRUE,FALSE
       )
    )</f>
        <v>1</v>
      </c>
      <c r="E86" t="b">
        <f>IF(ISERROR(_xlfn.NUMBERVALUE(Employee_dataset[[#This Row],[Salary]])),FALSE,TRUE)</f>
        <v>1</v>
      </c>
      <c r="F86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>Phone</v>
      </c>
      <c r="G86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87" spans="1:7" x14ac:dyDescent="0.3">
      <c r="A87" t="str">
        <f>Employee_dataset[[#This Row],[Employee_ID]]</f>
        <v>EMP1085</v>
      </c>
      <c r="B87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87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87" t="b">
        <f>_xlfn.LET(
     _xlpm.d, Employee_dataset[[#This Row],[Join_Date]],
     IF(
        ISNUMBER(_xlpm.d),TRUE,FALSE
       )
    )</f>
        <v>1</v>
      </c>
      <c r="E87" t="b">
        <f>IF(ISERROR(_xlfn.NUMBERVALUE(Employee_dataset[[#This Row],[Salary]])),FALSE,TRUE)</f>
        <v>1</v>
      </c>
      <c r="F87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87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88" spans="1:7" x14ac:dyDescent="0.3">
      <c r="A88" t="str">
        <f>Employee_dataset[[#This Row],[Employee_ID]]</f>
        <v>EMP1086</v>
      </c>
      <c r="B88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88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88" t="b">
        <f>_xlfn.LET(
     _xlpm.d, Employee_dataset[[#This Row],[Join_Date]],
     IF(
        ISNUMBER(_xlpm.d),TRUE,FALSE
       )
    )</f>
        <v>1</v>
      </c>
      <c r="E88" t="b">
        <f>IF(ISERROR(_xlfn.NUMBERVALUE(Employee_dataset[[#This Row],[Salary]])),FALSE,TRUE)</f>
        <v>1</v>
      </c>
      <c r="F88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88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89" spans="1:7" x14ac:dyDescent="0.3">
      <c r="A89" t="str">
        <f>Employee_dataset[[#This Row],[Employee_ID]]</f>
        <v>EMP1087</v>
      </c>
      <c r="B89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89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89" t="b">
        <f>_xlfn.LET(
     _xlpm.d, Employee_dataset[[#This Row],[Join_Date]],
     IF(
        ISNUMBER(_xlpm.d),TRUE,FALSE
       )
    )</f>
        <v>1</v>
      </c>
      <c r="E89" t="b">
        <f>IF(ISERROR(_xlfn.NUMBERVALUE(Employee_dataset[[#This Row],[Salary]])),FALSE,TRUE)</f>
        <v>1</v>
      </c>
      <c r="F89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89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90" spans="1:7" x14ac:dyDescent="0.3">
      <c r="A90" t="str">
        <f>Employee_dataset[[#This Row],[Employee_ID]]</f>
        <v>EMP1088</v>
      </c>
      <c r="B90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90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90" t="b">
        <f>_xlfn.LET(
     _xlpm.d, Employee_dataset[[#This Row],[Join_Date]],
     IF(
        ISNUMBER(_xlpm.d),TRUE,FALSE
       )
    )</f>
        <v>1</v>
      </c>
      <c r="E90" t="b">
        <f>IF(ISERROR(_xlfn.NUMBERVALUE(Employee_dataset[[#This Row],[Salary]])),FALSE,TRUE)</f>
        <v>1</v>
      </c>
      <c r="F90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90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91" spans="1:7" x14ac:dyDescent="0.3">
      <c r="A91" t="str">
        <f>Employee_dataset[[#This Row],[Employee_ID]]</f>
        <v>EMP1089</v>
      </c>
      <c r="B91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91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91" t="b">
        <f>_xlfn.LET(
     _xlpm.d, Employee_dataset[[#This Row],[Join_Date]],
     IF(
        ISNUMBER(_xlpm.d),TRUE,FALSE
       )
    )</f>
        <v>1</v>
      </c>
      <c r="E91" t="b">
        <f>IF(ISERROR(_xlfn.NUMBERVALUE(Employee_dataset[[#This Row],[Salary]])),FALSE,TRUE)</f>
        <v>1</v>
      </c>
      <c r="F91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91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92" spans="1:7" x14ac:dyDescent="0.3">
      <c r="A92" t="str">
        <f>Employee_dataset[[#This Row],[Employee_ID]]</f>
        <v>EMP1090</v>
      </c>
      <c r="B92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92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92" t="b">
        <f>_xlfn.LET(
     _xlpm.d, Employee_dataset[[#This Row],[Join_Date]],
     IF(
        ISNUMBER(_xlpm.d),TRUE,FALSE
       )
    )</f>
        <v>1</v>
      </c>
      <c r="E92" t="b">
        <f>IF(ISERROR(_xlfn.NUMBERVALUE(Employee_dataset[[#This Row],[Salary]])),FALSE,TRUE)</f>
        <v>1</v>
      </c>
      <c r="F92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92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93" spans="1:7" x14ac:dyDescent="0.3">
      <c r="A93" t="str">
        <f>Employee_dataset[[#This Row],[Employee_ID]]</f>
        <v>EMP1091</v>
      </c>
      <c r="B93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93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93" t="b">
        <f>_xlfn.LET(
     _xlpm.d, Employee_dataset[[#This Row],[Join_Date]],
     IF(
        ISNUMBER(_xlpm.d),TRUE,FALSE
       )
    )</f>
        <v>1</v>
      </c>
      <c r="E93" t="b">
        <f>IF(ISERROR(_xlfn.NUMBERVALUE(Employee_dataset[[#This Row],[Salary]])),FALSE,TRUE)</f>
        <v>1</v>
      </c>
      <c r="F93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93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94" spans="1:7" x14ac:dyDescent="0.3">
      <c r="A94" t="str">
        <f>Employee_dataset[[#This Row],[Employee_ID]]</f>
        <v>EMP1092</v>
      </c>
      <c r="B94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94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94" t="b">
        <f>_xlfn.LET(
     _xlpm.d, Employee_dataset[[#This Row],[Join_Date]],
     IF(
        ISNUMBER(_xlpm.d),TRUE,FALSE
       )
    )</f>
        <v>1</v>
      </c>
      <c r="E94" t="b">
        <f>IF(ISERROR(_xlfn.NUMBERVALUE(Employee_dataset[[#This Row],[Salary]])),FALSE,TRUE)</f>
        <v>1</v>
      </c>
      <c r="F94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94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95" spans="1:7" x14ac:dyDescent="0.3">
      <c r="A95" t="str">
        <f>Employee_dataset[[#This Row],[Employee_ID]]</f>
        <v>EMP1093</v>
      </c>
      <c r="B95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95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95" t="b">
        <f>_xlfn.LET(
     _xlpm.d, Employee_dataset[[#This Row],[Join_Date]],
     IF(
        ISNUMBER(_xlpm.d),TRUE,FALSE
       )
    )</f>
        <v>1</v>
      </c>
      <c r="E95" t="b">
        <f>IF(ISERROR(_xlfn.NUMBERVALUE(Employee_dataset[[#This Row],[Salary]])),FALSE,TRUE)</f>
        <v>1</v>
      </c>
      <c r="F95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95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96" spans="1:7" x14ac:dyDescent="0.3">
      <c r="A96" t="str">
        <f>Employee_dataset[[#This Row],[Employee_ID]]</f>
        <v>EMP1094</v>
      </c>
      <c r="B96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96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96" t="b">
        <f>_xlfn.LET(
     _xlpm.d, Employee_dataset[[#This Row],[Join_Date]],
     IF(
        ISNUMBER(_xlpm.d),TRUE,FALSE
       )
    )</f>
        <v>1</v>
      </c>
      <c r="E96" t="b">
        <f>IF(ISERROR(_xlfn.NUMBERVALUE(Employee_dataset[[#This Row],[Salary]])),FALSE,TRUE)</f>
        <v>1</v>
      </c>
      <c r="F96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96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97" spans="1:7" x14ac:dyDescent="0.3">
      <c r="A97" t="str">
        <f>Employee_dataset[[#This Row],[Employee_ID]]</f>
        <v>EMP1095</v>
      </c>
      <c r="B97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97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97" t="b">
        <f>_xlfn.LET(
     _xlpm.d, Employee_dataset[[#This Row],[Join_Date]],
     IF(
        ISNUMBER(_xlpm.d),TRUE,FALSE
       )
    )</f>
        <v>1</v>
      </c>
      <c r="E97" t="b">
        <f>IF(ISERROR(_xlfn.NUMBERVALUE(Employee_dataset[[#This Row],[Salary]])),FALSE,TRUE)</f>
        <v>1</v>
      </c>
      <c r="F97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97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98" spans="1:7" x14ac:dyDescent="0.3">
      <c r="A98" t="str">
        <f>Employee_dataset[[#This Row],[Employee_ID]]</f>
        <v>EMP1096</v>
      </c>
      <c r="B98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98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98" t="b">
        <f>_xlfn.LET(
     _xlpm.d, Employee_dataset[[#This Row],[Join_Date]],
     IF(
        ISNUMBER(_xlpm.d),TRUE,FALSE
       )
    )</f>
        <v>1</v>
      </c>
      <c r="E98" t="b">
        <f>IF(ISERROR(_xlfn.NUMBERVALUE(Employee_dataset[[#This Row],[Salary]])),FALSE,TRUE)</f>
        <v>1</v>
      </c>
      <c r="F98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98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99" spans="1:7" x14ac:dyDescent="0.3">
      <c r="A99" t="str">
        <f>Employee_dataset[[#This Row],[Employee_ID]]</f>
        <v>EMP1097</v>
      </c>
      <c r="B99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99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99" t="b">
        <f>_xlfn.LET(
     _xlpm.d, Employee_dataset[[#This Row],[Join_Date]],
     IF(
        ISNUMBER(_xlpm.d),TRUE,FALSE
       )
    )</f>
        <v>1</v>
      </c>
      <c r="E99" t="b">
        <f>IF(ISERROR(_xlfn.NUMBERVALUE(Employee_dataset[[#This Row],[Salary]])),FALSE,TRUE)</f>
        <v>1</v>
      </c>
      <c r="F99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99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100" spans="1:7" x14ac:dyDescent="0.3">
      <c r="A100" t="str">
        <f>Employee_dataset[[#This Row],[Employee_ID]]</f>
        <v>EMP1098</v>
      </c>
      <c r="B100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100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100" t="b">
        <f>_xlfn.LET(
     _xlpm.d, Employee_dataset[[#This Row],[Join_Date]],
     IF(
        ISNUMBER(_xlpm.d),TRUE,FALSE
       )
    )</f>
        <v>1</v>
      </c>
      <c r="E100" t="b">
        <f>IF(ISERROR(_xlfn.NUMBERVALUE(Employee_dataset[[#This Row],[Salary]])),FALSE,TRUE)</f>
        <v>1</v>
      </c>
      <c r="F100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100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101" spans="1:7" x14ac:dyDescent="0.3">
      <c r="A101" t="str">
        <f>Employee_dataset[[#This Row],[Employee_ID]]</f>
        <v>EMP1099</v>
      </c>
      <c r="B101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101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101" t="b">
        <f>_xlfn.LET(
     _xlpm.d, Employee_dataset[[#This Row],[Join_Date]],
     IF(
        ISNUMBER(_xlpm.d),TRUE,FALSE
       )
    )</f>
        <v>1</v>
      </c>
      <c r="E101" t="b">
        <f>IF(ISERROR(_xlfn.NUMBERVALUE(Employee_dataset[[#This Row],[Salary]])),FALSE,TRUE)</f>
        <v>0</v>
      </c>
      <c r="F101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>Salary</v>
      </c>
      <c r="G101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102" spans="1:7" x14ac:dyDescent="0.3">
      <c r="A102" t="str">
        <f>Employee_dataset[[#This Row],[Employee_ID]]</f>
        <v>EMP1100</v>
      </c>
      <c r="B102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102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0</v>
      </c>
      <c r="D102" t="b">
        <f>_xlfn.LET(
     _xlpm.d, Employee_dataset[[#This Row],[Join_Date]],
     IF(
        ISNUMBER(_xlpm.d),TRUE,FALSE
       )
    )</f>
        <v>1</v>
      </c>
      <c r="E102" t="b">
        <f>IF(ISERROR(_xlfn.NUMBERVALUE(Employee_dataset[[#This Row],[Salary]])),FALSE,TRUE)</f>
        <v>1</v>
      </c>
      <c r="F102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>Phone</v>
      </c>
      <c r="G102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103" spans="1:7" x14ac:dyDescent="0.3">
      <c r="A103" t="str">
        <f>Employee_dataset[[#This Row],[Employee_ID]]</f>
        <v>EMP1101</v>
      </c>
      <c r="B103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103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103" t="b">
        <f>_xlfn.LET(
     _xlpm.d, Employee_dataset[[#This Row],[Join_Date]],
     IF(
        ISNUMBER(_xlpm.d),TRUE,FALSE
       )
    )</f>
        <v>1</v>
      </c>
      <c r="E103" t="b">
        <f>IF(ISERROR(_xlfn.NUMBERVALUE(Employee_dataset[[#This Row],[Salary]])),FALSE,TRUE)</f>
        <v>1</v>
      </c>
      <c r="F103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103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104" spans="1:7" x14ac:dyDescent="0.3">
      <c r="A104" t="str">
        <f>Employee_dataset[[#This Row],[Employee_ID]]</f>
        <v>EMP1102</v>
      </c>
      <c r="B104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104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104" t="b">
        <f>_xlfn.LET(
     _xlpm.d, Employee_dataset[[#This Row],[Join_Date]],
     IF(
        ISNUMBER(_xlpm.d),TRUE,FALSE
       )
    )</f>
        <v>1</v>
      </c>
      <c r="E104" t="b">
        <f>IF(ISERROR(_xlfn.NUMBERVALUE(Employee_dataset[[#This Row],[Salary]])),FALSE,TRUE)</f>
        <v>1</v>
      </c>
      <c r="F104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104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105" spans="1:7" x14ac:dyDescent="0.3">
      <c r="A105" t="str">
        <f>Employee_dataset[[#This Row],[Employee_ID]]</f>
        <v>EMP1103</v>
      </c>
      <c r="B105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105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105" t="b">
        <f>_xlfn.LET(
     _xlpm.d, Employee_dataset[[#This Row],[Join_Date]],
     IF(
        ISNUMBER(_xlpm.d),TRUE,FALSE
       )
    )</f>
        <v>1</v>
      </c>
      <c r="E105" t="b">
        <f>IF(ISERROR(_xlfn.NUMBERVALUE(Employee_dataset[[#This Row],[Salary]])),FALSE,TRUE)</f>
        <v>1</v>
      </c>
      <c r="F105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105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106" spans="1:7" x14ac:dyDescent="0.3">
      <c r="A106" t="str">
        <f>Employee_dataset[[#This Row],[Employee_ID]]</f>
        <v>EMP1104</v>
      </c>
      <c r="B106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106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106" t="b">
        <f>_xlfn.LET(
     _xlpm.d, Employee_dataset[[#This Row],[Join_Date]],
     IF(
        ISNUMBER(_xlpm.d),TRUE,FALSE
       )
    )</f>
        <v>1</v>
      </c>
      <c r="E106" t="b">
        <f>IF(ISERROR(_xlfn.NUMBERVALUE(Employee_dataset[[#This Row],[Salary]])),FALSE,TRUE)</f>
        <v>1</v>
      </c>
      <c r="F106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106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107" spans="1:7" x14ac:dyDescent="0.3">
      <c r="A107" t="str">
        <f>Employee_dataset[[#This Row],[Employee_ID]]</f>
        <v>EMP1105</v>
      </c>
      <c r="B107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107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0</v>
      </c>
      <c r="D107" t="b">
        <f>_xlfn.LET(
     _xlpm.d, Employee_dataset[[#This Row],[Join_Date]],
     IF(
        ISNUMBER(_xlpm.d),TRUE,FALSE
       )
    )</f>
        <v>1</v>
      </c>
      <c r="E107" t="b">
        <f>IF(ISERROR(_xlfn.NUMBERVALUE(Employee_dataset[[#This Row],[Salary]])),FALSE,TRUE)</f>
        <v>1</v>
      </c>
      <c r="F107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>Phone</v>
      </c>
      <c r="G107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108" spans="1:7" x14ac:dyDescent="0.3">
      <c r="A108" t="str">
        <f>Employee_dataset[[#This Row],[Employee_ID]]</f>
        <v>EMP1106</v>
      </c>
      <c r="B108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108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108" t="b">
        <f>_xlfn.LET(
     _xlpm.d, Employee_dataset[[#This Row],[Join_Date]],
     IF(
        ISNUMBER(_xlpm.d),TRUE,FALSE
       )
    )</f>
        <v>1</v>
      </c>
      <c r="E108" t="b">
        <f>IF(ISERROR(_xlfn.NUMBERVALUE(Employee_dataset[[#This Row],[Salary]])),FALSE,TRUE)</f>
        <v>1</v>
      </c>
      <c r="F108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108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109" spans="1:7" x14ac:dyDescent="0.3">
      <c r="A109" t="str">
        <f>Employee_dataset[[#This Row],[Employee_ID]]</f>
        <v>EMP1107</v>
      </c>
      <c r="B109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109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0</v>
      </c>
      <c r="D109" t="b">
        <f>_xlfn.LET(
     _xlpm.d, Employee_dataset[[#This Row],[Join_Date]],
     IF(
        ISNUMBER(_xlpm.d),TRUE,FALSE
       )
    )</f>
        <v>1</v>
      </c>
      <c r="E109" t="b">
        <f>IF(ISERROR(_xlfn.NUMBERVALUE(Employee_dataset[[#This Row],[Salary]])),FALSE,TRUE)</f>
        <v>1</v>
      </c>
      <c r="F109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>Phone</v>
      </c>
      <c r="G109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110" spans="1:7" x14ac:dyDescent="0.3">
      <c r="A110" t="str">
        <f>Employee_dataset[[#This Row],[Employee_ID]]</f>
        <v>EMP1108</v>
      </c>
      <c r="B110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110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110" t="b">
        <f>_xlfn.LET(
     _xlpm.d, Employee_dataset[[#This Row],[Join_Date]],
     IF(
        ISNUMBER(_xlpm.d),TRUE,FALSE
       )
    )</f>
        <v>1</v>
      </c>
      <c r="E110" t="b">
        <f>IF(ISERROR(_xlfn.NUMBERVALUE(Employee_dataset[[#This Row],[Salary]])),FALSE,TRUE)</f>
        <v>1</v>
      </c>
      <c r="F110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110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111" spans="1:7" x14ac:dyDescent="0.3">
      <c r="A111" t="str">
        <f>Employee_dataset[[#This Row],[Employee_ID]]</f>
        <v>EMP1109</v>
      </c>
      <c r="B111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111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111" t="b">
        <f>_xlfn.LET(
     _xlpm.d, Employee_dataset[[#This Row],[Join_Date]],
     IF(
        ISNUMBER(_xlpm.d),TRUE,FALSE
       )
    )</f>
        <v>1</v>
      </c>
      <c r="E111" t="b">
        <f>IF(ISERROR(_xlfn.NUMBERVALUE(Employee_dataset[[#This Row],[Salary]])),FALSE,TRUE)</f>
        <v>1</v>
      </c>
      <c r="F111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111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112" spans="1:7" x14ac:dyDescent="0.3">
      <c r="A112" t="str">
        <f>Employee_dataset[[#This Row],[Employee_ID]]</f>
        <v>EMP1110</v>
      </c>
      <c r="B112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112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112" t="b">
        <f>_xlfn.LET(
     _xlpm.d, Employee_dataset[[#This Row],[Join_Date]],
     IF(
        ISNUMBER(_xlpm.d),TRUE,FALSE
       )
    )</f>
        <v>1</v>
      </c>
      <c r="E112" t="b">
        <f>IF(ISERROR(_xlfn.NUMBERVALUE(Employee_dataset[[#This Row],[Salary]])),FALSE,TRUE)</f>
        <v>1</v>
      </c>
      <c r="F112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112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113" spans="1:7" x14ac:dyDescent="0.3">
      <c r="A113" t="str">
        <f>Employee_dataset[[#This Row],[Employee_ID]]</f>
        <v>EMP1111</v>
      </c>
      <c r="B113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113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113" t="b">
        <f>_xlfn.LET(
     _xlpm.d, Employee_dataset[[#This Row],[Join_Date]],
     IF(
        ISNUMBER(_xlpm.d),TRUE,FALSE
       )
    )</f>
        <v>1</v>
      </c>
      <c r="E113" t="b">
        <f>IF(ISERROR(_xlfn.NUMBERVALUE(Employee_dataset[[#This Row],[Salary]])),FALSE,TRUE)</f>
        <v>1</v>
      </c>
      <c r="F113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113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114" spans="1:7" x14ac:dyDescent="0.3">
      <c r="A114" t="str">
        <f>Employee_dataset[[#This Row],[Employee_ID]]</f>
        <v>EMP1112</v>
      </c>
      <c r="B114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114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0</v>
      </c>
      <c r="D114" t="b">
        <f>_xlfn.LET(
     _xlpm.d, Employee_dataset[[#This Row],[Join_Date]],
     IF(
        ISNUMBER(_xlpm.d),TRUE,FALSE
       )
    )</f>
        <v>1</v>
      </c>
      <c r="E114" t="b">
        <f>IF(ISERROR(_xlfn.NUMBERVALUE(Employee_dataset[[#This Row],[Salary]])),FALSE,TRUE)</f>
        <v>1</v>
      </c>
      <c r="F114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>Phone</v>
      </c>
      <c r="G114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115" spans="1:7" x14ac:dyDescent="0.3">
      <c r="A115" t="str">
        <f>Employee_dataset[[#This Row],[Employee_ID]]</f>
        <v>EMP1113</v>
      </c>
      <c r="B115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115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115" t="b">
        <f>_xlfn.LET(
     _xlpm.d, Employee_dataset[[#This Row],[Join_Date]],
     IF(
        ISNUMBER(_xlpm.d),TRUE,FALSE
       )
    )</f>
        <v>1</v>
      </c>
      <c r="E115" t="b">
        <f>IF(ISERROR(_xlfn.NUMBERVALUE(Employee_dataset[[#This Row],[Salary]])),FALSE,TRUE)</f>
        <v>1</v>
      </c>
      <c r="F115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115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116" spans="1:7" x14ac:dyDescent="0.3">
      <c r="A116" t="str">
        <f>Employee_dataset[[#This Row],[Employee_ID]]</f>
        <v>EMP1114</v>
      </c>
      <c r="B116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116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116" t="b">
        <f>_xlfn.LET(
     _xlpm.d, Employee_dataset[[#This Row],[Join_Date]],
     IF(
        ISNUMBER(_xlpm.d),TRUE,FALSE
       )
    )</f>
        <v>1</v>
      </c>
      <c r="E116" t="b">
        <f>IF(ISERROR(_xlfn.NUMBERVALUE(Employee_dataset[[#This Row],[Salary]])),FALSE,TRUE)</f>
        <v>1</v>
      </c>
      <c r="F116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116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117" spans="1:7" x14ac:dyDescent="0.3">
      <c r="A117" t="str">
        <f>Employee_dataset[[#This Row],[Employee_ID]]</f>
        <v>EMP1115</v>
      </c>
      <c r="B117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117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117" t="b">
        <f>_xlfn.LET(
     _xlpm.d, Employee_dataset[[#This Row],[Join_Date]],
     IF(
        ISNUMBER(_xlpm.d),TRUE,FALSE
       )
    )</f>
        <v>1</v>
      </c>
      <c r="E117" t="b">
        <f>IF(ISERROR(_xlfn.NUMBERVALUE(Employee_dataset[[#This Row],[Salary]])),FALSE,TRUE)</f>
        <v>1</v>
      </c>
      <c r="F117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117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118" spans="1:7" x14ac:dyDescent="0.3">
      <c r="A118" t="str">
        <f>Employee_dataset[[#This Row],[Employee_ID]]</f>
        <v>EMP1116</v>
      </c>
      <c r="B118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118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118" t="b">
        <f>_xlfn.LET(
     _xlpm.d, Employee_dataset[[#This Row],[Join_Date]],
     IF(
        ISNUMBER(_xlpm.d),TRUE,FALSE
       )
    )</f>
        <v>1</v>
      </c>
      <c r="E118" t="b">
        <f>IF(ISERROR(_xlfn.NUMBERVALUE(Employee_dataset[[#This Row],[Salary]])),FALSE,TRUE)</f>
        <v>1</v>
      </c>
      <c r="F118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118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119" spans="1:7" x14ac:dyDescent="0.3">
      <c r="A119" t="str">
        <f>Employee_dataset[[#This Row],[Employee_ID]]</f>
        <v>EMP1117</v>
      </c>
      <c r="B119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119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119" t="b">
        <f>_xlfn.LET(
     _xlpm.d, Employee_dataset[[#This Row],[Join_Date]],
     IF(
        ISNUMBER(_xlpm.d),TRUE,FALSE
       )
    )</f>
        <v>1</v>
      </c>
      <c r="E119" t="b">
        <f>IF(ISERROR(_xlfn.NUMBERVALUE(Employee_dataset[[#This Row],[Salary]])),FALSE,TRUE)</f>
        <v>1</v>
      </c>
      <c r="F119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119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120" spans="1:7" x14ac:dyDescent="0.3">
      <c r="A120" t="str">
        <f>Employee_dataset[[#This Row],[Employee_ID]]</f>
        <v>EMP1118</v>
      </c>
      <c r="B120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120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120" t="b">
        <f>_xlfn.LET(
     _xlpm.d, Employee_dataset[[#This Row],[Join_Date]],
     IF(
        ISNUMBER(_xlpm.d),TRUE,FALSE
       )
    )</f>
        <v>1</v>
      </c>
      <c r="E120" t="b">
        <f>IF(ISERROR(_xlfn.NUMBERVALUE(Employee_dataset[[#This Row],[Salary]])),FALSE,TRUE)</f>
        <v>1</v>
      </c>
      <c r="F120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120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121" spans="1:7" x14ac:dyDescent="0.3">
      <c r="A121" t="str">
        <f>Employee_dataset[[#This Row],[Employee_ID]]</f>
        <v>EMP1119</v>
      </c>
      <c r="B121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121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0</v>
      </c>
      <c r="D121" t="b">
        <f>_xlfn.LET(
     _xlpm.d, Employee_dataset[[#This Row],[Join_Date]],
     IF(
        ISNUMBER(_xlpm.d),TRUE,FALSE
       )
    )</f>
        <v>1</v>
      </c>
      <c r="E121" t="b">
        <f>IF(ISERROR(_xlfn.NUMBERVALUE(Employee_dataset[[#This Row],[Salary]])),FALSE,TRUE)</f>
        <v>1</v>
      </c>
      <c r="F121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>Phone</v>
      </c>
      <c r="G121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122" spans="1:7" x14ac:dyDescent="0.3">
      <c r="A122" t="str">
        <f>Employee_dataset[[#This Row],[Employee_ID]]</f>
        <v>EMP1120</v>
      </c>
      <c r="B122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122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122" t="b">
        <f>_xlfn.LET(
     _xlpm.d, Employee_dataset[[#This Row],[Join_Date]],
     IF(
        ISNUMBER(_xlpm.d),TRUE,FALSE
       )
    )</f>
        <v>1</v>
      </c>
      <c r="E122" t="b">
        <f>IF(ISERROR(_xlfn.NUMBERVALUE(Employee_dataset[[#This Row],[Salary]])),FALSE,TRUE)</f>
        <v>1</v>
      </c>
      <c r="F122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122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123" spans="1:7" x14ac:dyDescent="0.3">
      <c r="A123" t="str">
        <f>Employee_dataset[[#This Row],[Employee_ID]]</f>
        <v>EMP1121</v>
      </c>
      <c r="B123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123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123" t="b">
        <f>_xlfn.LET(
     _xlpm.d, Employee_dataset[[#This Row],[Join_Date]],
     IF(
        ISNUMBER(_xlpm.d),TRUE,FALSE
       )
    )</f>
        <v>1</v>
      </c>
      <c r="E123" t="b">
        <f>IF(ISERROR(_xlfn.NUMBERVALUE(Employee_dataset[[#This Row],[Salary]])),FALSE,TRUE)</f>
        <v>1</v>
      </c>
      <c r="F123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123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124" spans="1:7" x14ac:dyDescent="0.3">
      <c r="A124" t="str">
        <f>Employee_dataset[[#This Row],[Employee_ID]]</f>
        <v>EMP1122</v>
      </c>
      <c r="B124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124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124" t="b">
        <f>_xlfn.LET(
     _xlpm.d, Employee_dataset[[#This Row],[Join_Date]],
     IF(
        ISNUMBER(_xlpm.d),TRUE,FALSE
       )
    )</f>
        <v>1</v>
      </c>
      <c r="E124" t="b">
        <f>IF(ISERROR(_xlfn.NUMBERVALUE(Employee_dataset[[#This Row],[Salary]])),FALSE,TRUE)</f>
        <v>1</v>
      </c>
      <c r="F124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124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125" spans="1:7" x14ac:dyDescent="0.3">
      <c r="A125" t="str">
        <f>Employee_dataset[[#This Row],[Employee_ID]]</f>
        <v>EMP1123</v>
      </c>
      <c r="B125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125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125" t="b">
        <f>_xlfn.LET(
     _xlpm.d, Employee_dataset[[#This Row],[Join_Date]],
     IF(
        ISNUMBER(_xlpm.d),TRUE,FALSE
       )
    )</f>
        <v>1</v>
      </c>
      <c r="E125" t="b">
        <f>IF(ISERROR(_xlfn.NUMBERVALUE(Employee_dataset[[#This Row],[Salary]])),FALSE,TRUE)</f>
        <v>1</v>
      </c>
      <c r="F125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125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126" spans="1:7" x14ac:dyDescent="0.3">
      <c r="A126" t="str">
        <f>Employee_dataset[[#This Row],[Employee_ID]]</f>
        <v>EMP1124</v>
      </c>
      <c r="B126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126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126" t="b">
        <f>_xlfn.LET(
     _xlpm.d, Employee_dataset[[#This Row],[Join_Date]],
     IF(
        ISNUMBER(_xlpm.d),TRUE,FALSE
       )
    )</f>
        <v>1</v>
      </c>
      <c r="E126" t="b">
        <f>IF(ISERROR(_xlfn.NUMBERVALUE(Employee_dataset[[#This Row],[Salary]])),FALSE,TRUE)</f>
        <v>1</v>
      </c>
      <c r="F126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126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127" spans="1:7" x14ac:dyDescent="0.3">
      <c r="A127" t="str">
        <f>Employee_dataset[[#This Row],[Employee_ID]]</f>
        <v>EMP1125</v>
      </c>
      <c r="B127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127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0</v>
      </c>
      <c r="D127" t="b">
        <f>_xlfn.LET(
     _xlpm.d, Employee_dataset[[#This Row],[Join_Date]],
     IF(
        ISNUMBER(_xlpm.d),TRUE,FALSE
       )
    )</f>
        <v>1</v>
      </c>
      <c r="E127" t="b">
        <f>IF(ISERROR(_xlfn.NUMBERVALUE(Employee_dataset[[#This Row],[Salary]])),FALSE,TRUE)</f>
        <v>1</v>
      </c>
      <c r="F127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>Phone</v>
      </c>
      <c r="G127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128" spans="1:7" x14ac:dyDescent="0.3">
      <c r="A128" t="str">
        <f>Employee_dataset[[#This Row],[Employee_ID]]</f>
        <v>EMP1126</v>
      </c>
      <c r="B128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128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128" t="b">
        <f>_xlfn.LET(
     _xlpm.d, Employee_dataset[[#This Row],[Join_Date]],
     IF(
        ISNUMBER(_xlpm.d),TRUE,FALSE
       )
    )</f>
        <v>1</v>
      </c>
      <c r="E128" t="b">
        <f>IF(ISERROR(_xlfn.NUMBERVALUE(Employee_dataset[[#This Row],[Salary]])),FALSE,TRUE)</f>
        <v>1</v>
      </c>
      <c r="F128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128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129" spans="1:7" x14ac:dyDescent="0.3">
      <c r="A129" t="str">
        <f>Employee_dataset[[#This Row],[Employee_ID]]</f>
        <v>EMP1127</v>
      </c>
      <c r="B129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129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129" t="b">
        <f>_xlfn.LET(
     _xlpm.d, Employee_dataset[[#This Row],[Join_Date]],
     IF(
        ISNUMBER(_xlpm.d),TRUE,FALSE
       )
    )</f>
        <v>1</v>
      </c>
      <c r="E129" t="b">
        <f>IF(ISERROR(_xlfn.NUMBERVALUE(Employee_dataset[[#This Row],[Salary]])),FALSE,TRUE)</f>
        <v>1</v>
      </c>
      <c r="F129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129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130" spans="1:7" x14ac:dyDescent="0.3">
      <c r="A130" t="str">
        <f>Employee_dataset[[#This Row],[Employee_ID]]</f>
        <v>EMP1128</v>
      </c>
      <c r="B130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130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130" t="b">
        <f>_xlfn.LET(
     _xlpm.d, Employee_dataset[[#This Row],[Join_Date]],
     IF(
        ISNUMBER(_xlpm.d),TRUE,FALSE
       )
    )</f>
        <v>1</v>
      </c>
      <c r="E130" t="b">
        <f>IF(ISERROR(_xlfn.NUMBERVALUE(Employee_dataset[[#This Row],[Salary]])),FALSE,TRUE)</f>
        <v>1</v>
      </c>
      <c r="F130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130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131" spans="1:7" x14ac:dyDescent="0.3">
      <c r="A131" t="str">
        <f>Employee_dataset[[#This Row],[Employee_ID]]</f>
        <v>EMP1129</v>
      </c>
      <c r="B131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131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131" t="b">
        <f>_xlfn.LET(
     _xlpm.d, Employee_dataset[[#This Row],[Join_Date]],
     IF(
        ISNUMBER(_xlpm.d),TRUE,FALSE
       )
    )</f>
        <v>1</v>
      </c>
      <c r="E131" t="b">
        <f>IF(ISERROR(_xlfn.NUMBERVALUE(Employee_dataset[[#This Row],[Salary]])),FALSE,TRUE)</f>
        <v>1</v>
      </c>
      <c r="F131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131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132" spans="1:7" x14ac:dyDescent="0.3">
      <c r="A132" t="str">
        <f>Employee_dataset[[#This Row],[Employee_ID]]</f>
        <v>EMP1130</v>
      </c>
      <c r="B132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132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132" t="b">
        <f>_xlfn.LET(
     _xlpm.d, Employee_dataset[[#This Row],[Join_Date]],
     IF(
        ISNUMBER(_xlpm.d),TRUE,FALSE
       )
    )</f>
        <v>1</v>
      </c>
      <c r="E132" t="b">
        <f>IF(ISERROR(_xlfn.NUMBERVALUE(Employee_dataset[[#This Row],[Salary]])),FALSE,TRUE)</f>
        <v>1</v>
      </c>
      <c r="F132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132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133" spans="1:7" x14ac:dyDescent="0.3">
      <c r="A133" t="str">
        <f>Employee_dataset[[#This Row],[Employee_ID]]</f>
        <v>EMP1131</v>
      </c>
      <c r="B133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133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133" t="b">
        <f>_xlfn.LET(
     _xlpm.d, Employee_dataset[[#This Row],[Join_Date]],
     IF(
        ISNUMBER(_xlpm.d),TRUE,FALSE
       )
    )</f>
        <v>1</v>
      </c>
      <c r="E133" t="b">
        <f>IF(ISERROR(_xlfn.NUMBERVALUE(Employee_dataset[[#This Row],[Salary]])),FALSE,TRUE)</f>
        <v>1</v>
      </c>
      <c r="F133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133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134" spans="1:7" x14ac:dyDescent="0.3">
      <c r="A134" t="str">
        <f>Employee_dataset[[#This Row],[Employee_ID]]</f>
        <v>EMP1132</v>
      </c>
      <c r="B134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134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0</v>
      </c>
      <c r="D134" t="b">
        <f>_xlfn.LET(
     _xlpm.d, Employee_dataset[[#This Row],[Join_Date]],
     IF(
        ISNUMBER(_xlpm.d),TRUE,FALSE
       )
    )</f>
        <v>1</v>
      </c>
      <c r="E134" t="b">
        <f>IF(ISERROR(_xlfn.NUMBERVALUE(Employee_dataset[[#This Row],[Salary]])),FALSE,TRUE)</f>
        <v>1</v>
      </c>
      <c r="F134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>Phone</v>
      </c>
      <c r="G134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135" spans="1:7" x14ac:dyDescent="0.3">
      <c r="A135" t="str">
        <f>Employee_dataset[[#This Row],[Employee_ID]]</f>
        <v>EMP1133</v>
      </c>
      <c r="B135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135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0</v>
      </c>
      <c r="D135" t="b">
        <f>_xlfn.LET(
     _xlpm.d, Employee_dataset[[#This Row],[Join_Date]],
     IF(
        ISNUMBER(_xlpm.d),TRUE,FALSE
       )
    )</f>
        <v>1</v>
      </c>
      <c r="E135" t="b">
        <f>IF(ISERROR(_xlfn.NUMBERVALUE(Employee_dataset[[#This Row],[Salary]])),FALSE,TRUE)</f>
        <v>1</v>
      </c>
      <c r="F135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>Phone</v>
      </c>
      <c r="G135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136" spans="1:7" x14ac:dyDescent="0.3">
      <c r="A136" t="str">
        <f>Employee_dataset[[#This Row],[Employee_ID]]</f>
        <v>EMP1134</v>
      </c>
      <c r="B136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136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136" t="b">
        <f>_xlfn.LET(
     _xlpm.d, Employee_dataset[[#This Row],[Join_Date]],
     IF(
        ISNUMBER(_xlpm.d),TRUE,FALSE
       )
    )</f>
        <v>1</v>
      </c>
      <c r="E136" t="b">
        <f>IF(ISERROR(_xlfn.NUMBERVALUE(Employee_dataset[[#This Row],[Salary]])),FALSE,TRUE)</f>
        <v>1</v>
      </c>
      <c r="F136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136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137" spans="1:7" x14ac:dyDescent="0.3">
      <c r="A137" t="str">
        <f>Employee_dataset[[#This Row],[Employee_ID]]</f>
        <v>EMP1135</v>
      </c>
      <c r="B137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137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137" t="b">
        <f>_xlfn.LET(
     _xlpm.d, Employee_dataset[[#This Row],[Join_Date]],
     IF(
        ISNUMBER(_xlpm.d),TRUE,FALSE
       )
    )</f>
        <v>1</v>
      </c>
      <c r="E137" t="b">
        <f>IF(ISERROR(_xlfn.NUMBERVALUE(Employee_dataset[[#This Row],[Salary]])),FALSE,TRUE)</f>
        <v>1</v>
      </c>
      <c r="F137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137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138" spans="1:7" x14ac:dyDescent="0.3">
      <c r="A138" t="str">
        <f>Employee_dataset[[#This Row],[Employee_ID]]</f>
        <v>EMP1136</v>
      </c>
      <c r="B138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138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138" t="b">
        <f>_xlfn.LET(
     _xlpm.d, Employee_dataset[[#This Row],[Join_Date]],
     IF(
        ISNUMBER(_xlpm.d),TRUE,FALSE
       )
    )</f>
        <v>1</v>
      </c>
      <c r="E138" t="b">
        <f>IF(ISERROR(_xlfn.NUMBERVALUE(Employee_dataset[[#This Row],[Salary]])),FALSE,TRUE)</f>
        <v>1</v>
      </c>
      <c r="F138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138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139" spans="1:7" x14ac:dyDescent="0.3">
      <c r="A139" t="str">
        <f>Employee_dataset[[#This Row],[Employee_ID]]</f>
        <v>EMP1137</v>
      </c>
      <c r="B139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139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139" t="b">
        <f>_xlfn.LET(
     _xlpm.d, Employee_dataset[[#This Row],[Join_Date]],
     IF(
        ISNUMBER(_xlpm.d),TRUE,FALSE
       )
    )</f>
        <v>1</v>
      </c>
      <c r="E139" t="b">
        <f>IF(ISERROR(_xlfn.NUMBERVALUE(Employee_dataset[[#This Row],[Salary]])),FALSE,TRUE)</f>
        <v>1</v>
      </c>
      <c r="F139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139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140" spans="1:7" x14ac:dyDescent="0.3">
      <c r="A140" t="str">
        <f>Employee_dataset[[#This Row],[Employee_ID]]</f>
        <v>EMP1138</v>
      </c>
      <c r="B140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140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140" t="b">
        <f>_xlfn.LET(
     _xlpm.d, Employee_dataset[[#This Row],[Join_Date]],
     IF(
        ISNUMBER(_xlpm.d),TRUE,FALSE
       )
    )</f>
        <v>1</v>
      </c>
      <c r="E140" t="b">
        <f>IF(ISERROR(_xlfn.NUMBERVALUE(Employee_dataset[[#This Row],[Salary]])),FALSE,TRUE)</f>
        <v>1</v>
      </c>
      <c r="F140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140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141" spans="1:7" x14ac:dyDescent="0.3">
      <c r="A141" t="str">
        <f>Employee_dataset[[#This Row],[Employee_ID]]</f>
        <v>EMP1139</v>
      </c>
      <c r="B141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141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141" t="b">
        <f>_xlfn.LET(
     _xlpm.d, Employee_dataset[[#This Row],[Join_Date]],
     IF(
        ISNUMBER(_xlpm.d),TRUE,FALSE
       )
    )</f>
        <v>1</v>
      </c>
      <c r="E141" t="b">
        <f>IF(ISERROR(_xlfn.NUMBERVALUE(Employee_dataset[[#This Row],[Salary]])),FALSE,TRUE)</f>
        <v>1</v>
      </c>
      <c r="F141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141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142" spans="1:7" x14ac:dyDescent="0.3">
      <c r="A142" t="str">
        <f>Employee_dataset[[#This Row],[Employee_ID]]</f>
        <v>EMP1140</v>
      </c>
      <c r="B142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142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142" t="b">
        <f>_xlfn.LET(
     _xlpm.d, Employee_dataset[[#This Row],[Join_Date]],
     IF(
        ISNUMBER(_xlpm.d),TRUE,FALSE
       )
    )</f>
        <v>1</v>
      </c>
      <c r="E142" t="b">
        <f>IF(ISERROR(_xlfn.NUMBERVALUE(Employee_dataset[[#This Row],[Salary]])),FALSE,TRUE)</f>
        <v>1</v>
      </c>
      <c r="F142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142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143" spans="1:7" x14ac:dyDescent="0.3">
      <c r="A143" t="str">
        <f>Employee_dataset[[#This Row],[Employee_ID]]</f>
        <v>EMP1141</v>
      </c>
      <c r="B143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143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143" t="b">
        <f>_xlfn.LET(
     _xlpm.d, Employee_dataset[[#This Row],[Join_Date]],
     IF(
        ISNUMBER(_xlpm.d),TRUE,FALSE
       )
    )</f>
        <v>1</v>
      </c>
      <c r="E143" t="b">
        <f>IF(ISERROR(_xlfn.NUMBERVALUE(Employee_dataset[[#This Row],[Salary]])),FALSE,TRUE)</f>
        <v>1</v>
      </c>
      <c r="F143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143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144" spans="1:7" x14ac:dyDescent="0.3">
      <c r="A144" t="str">
        <f>Employee_dataset[[#This Row],[Employee_ID]]</f>
        <v>EMP1142</v>
      </c>
      <c r="B144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144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144" t="b">
        <f>_xlfn.LET(
     _xlpm.d, Employee_dataset[[#This Row],[Join_Date]],
     IF(
        ISNUMBER(_xlpm.d),TRUE,FALSE
       )
    )</f>
        <v>1</v>
      </c>
      <c r="E144" t="b">
        <f>IF(ISERROR(_xlfn.NUMBERVALUE(Employee_dataset[[#This Row],[Salary]])),FALSE,TRUE)</f>
        <v>1</v>
      </c>
      <c r="F144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144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145" spans="1:7" x14ac:dyDescent="0.3">
      <c r="A145" t="str">
        <f>Employee_dataset[[#This Row],[Employee_ID]]</f>
        <v>EMP1143</v>
      </c>
      <c r="B145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145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145" t="b">
        <f>_xlfn.LET(
     _xlpm.d, Employee_dataset[[#This Row],[Join_Date]],
     IF(
        ISNUMBER(_xlpm.d),TRUE,FALSE
       )
    )</f>
        <v>1</v>
      </c>
      <c r="E145" t="b">
        <f>IF(ISERROR(_xlfn.NUMBERVALUE(Employee_dataset[[#This Row],[Salary]])),FALSE,TRUE)</f>
        <v>1</v>
      </c>
      <c r="F145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145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146" spans="1:7" x14ac:dyDescent="0.3">
      <c r="A146" t="str">
        <f>Employee_dataset[[#This Row],[Employee_ID]]</f>
        <v>EMP1144</v>
      </c>
      <c r="B146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146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146" t="b">
        <f>_xlfn.LET(
     _xlpm.d, Employee_dataset[[#This Row],[Join_Date]],
     IF(
        ISNUMBER(_xlpm.d),TRUE,FALSE
       )
    )</f>
        <v>1</v>
      </c>
      <c r="E146" t="b">
        <f>IF(ISERROR(_xlfn.NUMBERVALUE(Employee_dataset[[#This Row],[Salary]])),FALSE,TRUE)</f>
        <v>1</v>
      </c>
      <c r="F146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146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147" spans="1:7" x14ac:dyDescent="0.3">
      <c r="A147" t="str">
        <f>Employee_dataset[[#This Row],[Employee_ID]]</f>
        <v>EMP1145</v>
      </c>
      <c r="B147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147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147" t="b">
        <f>_xlfn.LET(
     _xlpm.d, Employee_dataset[[#This Row],[Join_Date]],
     IF(
        ISNUMBER(_xlpm.d),TRUE,FALSE
       )
    )</f>
        <v>1</v>
      </c>
      <c r="E147" t="b">
        <f>IF(ISERROR(_xlfn.NUMBERVALUE(Employee_dataset[[#This Row],[Salary]])),FALSE,TRUE)</f>
        <v>1</v>
      </c>
      <c r="F147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147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148" spans="1:7" x14ac:dyDescent="0.3">
      <c r="A148" t="str">
        <f>Employee_dataset[[#This Row],[Employee_ID]]</f>
        <v>EMP1146</v>
      </c>
      <c r="B148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148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148" t="b">
        <f>_xlfn.LET(
     _xlpm.d, Employee_dataset[[#This Row],[Join_Date]],
     IF(
        ISNUMBER(_xlpm.d),TRUE,FALSE
       )
    )</f>
        <v>1</v>
      </c>
      <c r="E148" t="b">
        <f>IF(ISERROR(_xlfn.NUMBERVALUE(Employee_dataset[[#This Row],[Salary]])),FALSE,TRUE)</f>
        <v>1</v>
      </c>
      <c r="F148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148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149" spans="1:7" x14ac:dyDescent="0.3">
      <c r="A149" t="str">
        <f>Employee_dataset[[#This Row],[Employee_ID]]</f>
        <v>EMP1147</v>
      </c>
      <c r="B149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149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149" t="b">
        <f>_xlfn.LET(
     _xlpm.d, Employee_dataset[[#This Row],[Join_Date]],
     IF(
        ISNUMBER(_xlpm.d),TRUE,FALSE
       )
    )</f>
        <v>1</v>
      </c>
      <c r="E149" t="b">
        <f>IF(ISERROR(_xlfn.NUMBERVALUE(Employee_dataset[[#This Row],[Salary]])),FALSE,TRUE)</f>
        <v>1</v>
      </c>
      <c r="F149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149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150" spans="1:7" x14ac:dyDescent="0.3">
      <c r="A150" t="str">
        <f>Employee_dataset[[#This Row],[Employee_ID]]</f>
        <v>EMP1148</v>
      </c>
      <c r="B150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150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150" t="b">
        <f>_xlfn.LET(
     _xlpm.d, Employee_dataset[[#This Row],[Join_Date]],
     IF(
        ISNUMBER(_xlpm.d),TRUE,FALSE
       )
    )</f>
        <v>1</v>
      </c>
      <c r="E150" t="b">
        <f>IF(ISERROR(_xlfn.NUMBERVALUE(Employee_dataset[[#This Row],[Salary]])),FALSE,TRUE)</f>
        <v>1</v>
      </c>
      <c r="F150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150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151" spans="1:7" x14ac:dyDescent="0.3">
      <c r="A151" t="str">
        <f>Employee_dataset[[#This Row],[Employee_ID]]</f>
        <v>EMP1149</v>
      </c>
      <c r="B151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151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151" t="b">
        <f>_xlfn.LET(
     _xlpm.d, Employee_dataset[[#This Row],[Join_Date]],
     IF(
        ISNUMBER(_xlpm.d),TRUE,FALSE
       )
    )</f>
        <v>1</v>
      </c>
      <c r="E151" t="b">
        <f>IF(ISERROR(_xlfn.NUMBERVALUE(Employee_dataset[[#This Row],[Salary]])),FALSE,TRUE)</f>
        <v>1</v>
      </c>
      <c r="F151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151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152" spans="1:7" x14ac:dyDescent="0.3">
      <c r="A152" t="str">
        <f>Employee_dataset[[#This Row],[Employee_ID]]</f>
        <v>EMP1150</v>
      </c>
      <c r="B152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152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152" t="b">
        <f>_xlfn.LET(
     _xlpm.d, Employee_dataset[[#This Row],[Join_Date]],
     IF(
        ISNUMBER(_xlpm.d),TRUE,FALSE
       )
    )</f>
        <v>1</v>
      </c>
      <c r="E152" t="b">
        <f>IF(ISERROR(_xlfn.NUMBERVALUE(Employee_dataset[[#This Row],[Salary]])),FALSE,TRUE)</f>
        <v>1</v>
      </c>
      <c r="F152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152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153" spans="1:7" x14ac:dyDescent="0.3">
      <c r="A153" t="str">
        <f>Employee_dataset[[#This Row],[Employee_ID]]</f>
        <v>EMP1151</v>
      </c>
      <c r="B153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153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153" t="b">
        <f>_xlfn.LET(
     _xlpm.d, Employee_dataset[[#This Row],[Join_Date]],
     IF(
        ISNUMBER(_xlpm.d),TRUE,FALSE
       )
    )</f>
        <v>1</v>
      </c>
      <c r="E153" t="b">
        <f>IF(ISERROR(_xlfn.NUMBERVALUE(Employee_dataset[[#This Row],[Salary]])),FALSE,TRUE)</f>
        <v>1</v>
      </c>
      <c r="F153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153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154" spans="1:7" x14ac:dyDescent="0.3">
      <c r="A154" t="str">
        <f>Employee_dataset[[#This Row],[Employee_ID]]</f>
        <v>EMP1152</v>
      </c>
      <c r="B154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154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154" t="b">
        <f>_xlfn.LET(
     _xlpm.d, Employee_dataset[[#This Row],[Join_Date]],
     IF(
        ISNUMBER(_xlpm.d),TRUE,FALSE
       )
    )</f>
        <v>1</v>
      </c>
      <c r="E154" t="b">
        <f>IF(ISERROR(_xlfn.NUMBERVALUE(Employee_dataset[[#This Row],[Salary]])),FALSE,TRUE)</f>
        <v>1</v>
      </c>
      <c r="F154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154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155" spans="1:7" x14ac:dyDescent="0.3">
      <c r="A155" t="str">
        <f>Employee_dataset[[#This Row],[Employee_ID]]</f>
        <v>EMP1153</v>
      </c>
      <c r="B155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155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155" t="b">
        <f>_xlfn.LET(
     _xlpm.d, Employee_dataset[[#This Row],[Join_Date]],
     IF(
        ISNUMBER(_xlpm.d),TRUE,FALSE
       )
    )</f>
        <v>1</v>
      </c>
      <c r="E155" t="b">
        <f>IF(ISERROR(_xlfn.NUMBERVALUE(Employee_dataset[[#This Row],[Salary]])),FALSE,TRUE)</f>
        <v>1</v>
      </c>
      <c r="F155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155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156" spans="1:7" x14ac:dyDescent="0.3">
      <c r="A156" t="str">
        <f>Employee_dataset[[#This Row],[Employee_ID]]</f>
        <v>EMP1154</v>
      </c>
      <c r="B156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156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156" t="b">
        <f>_xlfn.LET(
     _xlpm.d, Employee_dataset[[#This Row],[Join_Date]],
     IF(
        ISNUMBER(_xlpm.d),TRUE,FALSE
       )
    )</f>
        <v>1</v>
      </c>
      <c r="E156" t="b">
        <f>IF(ISERROR(_xlfn.NUMBERVALUE(Employee_dataset[[#This Row],[Salary]])),FALSE,TRUE)</f>
        <v>1</v>
      </c>
      <c r="F156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156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157" spans="1:7" x14ac:dyDescent="0.3">
      <c r="A157" t="str">
        <f>Employee_dataset[[#This Row],[Employee_ID]]</f>
        <v>EMP1155</v>
      </c>
      <c r="B157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157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157" t="b">
        <f>_xlfn.LET(
     _xlpm.d, Employee_dataset[[#This Row],[Join_Date]],
     IF(
        ISNUMBER(_xlpm.d),TRUE,FALSE
       )
    )</f>
        <v>1</v>
      </c>
      <c r="E157" t="b">
        <f>IF(ISERROR(_xlfn.NUMBERVALUE(Employee_dataset[[#This Row],[Salary]])),FALSE,TRUE)</f>
        <v>1</v>
      </c>
      <c r="F157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157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158" spans="1:7" x14ac:dyDescent="0.3">
      <c r="A158" t="str">
        <f>Employee_dataset[[#This Row],[Employee_ID]]</f>
        <v>EMP1156</v>
      </c>
      <c r="B158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158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158" t="b">
        <f>_xlfn.LET(
     _xlpm.d, Employee_dataset[[#This Row],[Join_Date]],
     IF(
        ISNUMBER(_xlpm.d),TRUE,FALSE
       )
    )</f>
        <v>1</v>
      </c>
      <c r="E158" t="b">
        <f>IF(ISERROR(_xlfn.NUMBERVALUE(Employee_dataset[[#This Row],[Salary]])),FALSE,TRUE)</f>
        <v>1</v>
      </c>
      <c r="F158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158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159" spans="1:7" x14ac:dyDescent="0.3">
      <c r="A159" t="str">
        <f>Employee_dataset[[#This Row],[Employee_ID]]</f>
        <v>EMP1157</v>
      </c>
      <c r="B159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159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159" t="b">
        <f>_xlfn.LET(
     _xlpm.d, Employee_dataset[[#This Row],[Join_Date]],
     IF(
        ISNUMBER(_xlpm.d),TRUE,FALSE
       )
    )</f>
        <v>1</v>
      </c>
      <c r="E159" t="b">
        <f>IF(ISERROR(_xlfn.NUMBERVALUE(Employee_dataset[[#This Row],[Salary]])),FALSE,TRUE)</f>
        <v>1</v>
      </c>
      <c r="F159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159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160" spans="1:7" x14ac:dyDescent="0.3">
      <c r="A160" t="str">
        <f>Employee_dataset[[#This Row],[Employee_ID]]</f>
        <v>EMP1158</v>
      </c>
      <c r="B160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160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160" t="b">
        <f>_xlfn.LET(
     _xlpm.d, Employee_dataset[[#This Row],[Join_Date]],
     IF(
        ISNUMBER(_xlpm.d),TRUE,FALSE
       )
    )</f>
        <v>1</v>
      </c>
      <c r="E160" t="b">
        <f>IF(ISERROR(_xlfn.NUMBERVALUE(Employee_dataset[[#This Row],[Salary]])),FALSE,TRUE)</f>
        <v>1</v>
      </c>
      <c r="F160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160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161" spans="1:7" x14ac:dyDescent="0.3">
      <c r="A161" t="str">
        <f>Employee_dataset[[#This Row],[Employee_ID]]</f>
        <v>EMP1159</v>
      </c>
      <c r="B161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161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161" t="b">
        <f>_xlfn.LET(
     _xlpm.d, Employee_dataset[[#This Row],[Join_Date]],
     IF(
        ISNUMBER(_xlpm.d),TRUE,FALSE
       )
    )</f>
        <v>1</v>
      </c>
      <c r="E161" t="b">
        <f>IF(ISERROR(_xlfn.NUMBERVALUE(Employee_dataset[[#This Row],[Salary]])),FALSE,TRUE)</f>
        <v>1</v>
      </c>
      <c r="F161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161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162" spans="1:7" x14ac:dyDescent="0.3">
      <c r="A162" t="str">
        <f>Employee_dataset[[#This Row],[Employee_ID]]</f>
        <v>EMP1160</v>
      </c>
      <c r="B162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162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162" t="b">
        <f>_xlfn.LET(
     _xlpm.d, Employee_dataset[[#This Row],[Join_Date]],
     IF(
        ISNUMBER(_xlpm.d),TRUE,FALSE
       )
    )</f>
        <v>1</v>
      </c>
      <c r="E162" t="b">
        <f>IF(ISERROR(_xlfn.NUMBERVALUE(Employee_dataset[[#This Row],[Salary]])),FALSE,TRUE)</f>
        <v>1</v>
      </c>
      <c r="F162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162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163" spans="1:7" x14ac:dyDescent="0.3">
      <c r="A163" t="str">
        <f>Employee_dataset[[#This Row],[Employee_ID]]</f>
        <v>EMP1161</v>
      </c>
      <c r="B163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163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163" t="b">
        <f>_xlfn.LET(
     _xlpm.d, Employee_dataset[[#This Row],[Join_Date]],
     IF(
        ISNUMBER(_xlpm.d),TRUE,FALSE
       )
    )</f>
        <v>1</v>
      </c>
      <c r="E163" t="b">
        <f>IF(ISERROR(_xlfn.NUMBERVALUE(Employee_dataset[[#This Row],[Salary]])),FALSE,TRUE)</f>
        <v>1</v>
      </c>
      <c r="F163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163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164" spans="1:7" x14ac:dyDescent="0.3">
      <c r="A164" t="str">
        <f>Employee_dataset[[#This Row],[Employee_ID]]</f>
        <v>EMP1162</v>
      </c>
      <c r="B164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164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164" t="b">
        <f>_xlfn.LET(
     _xlpm.d, Employee_dataset[[#This Row],[Join_Date]],
     IF(
        ISNUMBER(_xlpm.d),TRUE,FALSE
       )
    )</f>
        <v>1</v>
      </c>
      <c r="E164" t="b">
        <f>IF(ISERROR(_xlfn.NUMBERVALUE(Employee_dataset[[#This Row],[Salary]])),FALSE,TRUE)</f>
        <v>1</v>
      </c>
      <c r="F164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164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165" spans="1:7" x14ac:dyDescent="0.3">
      <c r="A165" t="str">
        <f>Employee_dataset[[#This Row],[Employee_ID]]</f>
        <v>EMP1163</v>
      </c>
      <c r="B165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165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165" t="b">
        <f>_xlfn.LET(
     _xlpm.d, Employee_dataset[[#This Row],[Join_Date]],
     IF(
        ISNUMBER(_xlpm.d),TRUE,FALSE
       )
    )</f>
        <v>1</v>
      </c>
      <c r="E165" t="b">
        <f>IF(ISERROR(_xlfn.NUMBERVALUE(Employee_dataset[[#This Row],[Salary]])),FALSE,TRUE)</f>
        <v>1</v>
      </c>
      <c r="F165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165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166" spans="1:7" x14ac:dyDescent="0.3">
      <c r="A166" t="str">
        <f>Employee_dataset[[#This Row],[Employee_ID]]</f>
        <v>EMP1164</v>
      </c>
      <c r="B166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166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166" t="b">
        <f>_xlfn.LET(
     _xlpm.d, Employee_dataset[[#This Row],[Join_Date]],
     IF(
        ISNUMBER(_xlpm.d),TRUE,FALSE
       )
    )</f>
        <v>1</v>
      </c>
      <c r="E166" t="b">
        <f>IF(ISERROR(_xlfn.NUMBERVALUE(Employee_dataset[[#This Row],[Salary]])),FALSE,TRUE)</f>
        <v>1</v>
      </c>
      <c r="F166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166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167" spans="1:7" x14ac:dyDescent="0.3">
      <c r="A167" t="str">
        <f>Employee_dataset[[#This Row],[Employee_ID]]</f>
        <v>EMP1165</v>
      </c>
      <c r="B167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167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167" t="b">
        <f>_xlfn.LET(
     _xlpm.d, Employee_dataset[[#This Row],[Join_Date]],
     IF(
        ISNUMBER(_xlpm.d),TRUE,FALSE
       )
    )</f>
        <v>1</v>
      </c>
      <c r="E167" t="b">
        <f>IF(ISERROR(_xlfn.NUMBERVALUE(Employee_dataset[[#This Row],[Salary]])),FALSE,TRUE)</f>
        <v>1</v>
      </c>
      <c r="F167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167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168" spans="1:7" x14ac:dyDescent="0.3">
      <c r="A168" t="str">
        <f>Employee_dataset[[#This Row],[Employee_ID]]</f>
        <v>EMP1166</v>
      </c>
      <c r="B168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168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168" t="b">
        <f>_xlfn.LET(
     _xlpm.d, Employee_dataset[[#This Row],[Join_Date]],
     IF(
        ISNUMBER(_xlpm.d),TRUE,FALSE
       )
    )</f>
        <v>1</v>
      </c>
      <c r="E168" t="b">
        <f>IF(ISERROR(_xlfn.NUMBERVALUE(Employee_dataset[[#This Row],[Salary]])),FALSE,TRUE)</f>
        <v>1</v>
      </c>
      <c r="F168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168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169" spans="1:7" x14ac:dyDescent="0.3">
      <c r="A169" t="str">
        <f>Employee_dataset[[#This Row],[Employee_ID]]</f>
        <v>EMP1167</v>
      </c>
      <c r="B169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169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0</v>
      </c>
      <c r="D169" t="b">
        <f>_xlfn.LET(
     _xlpm.d, Employee_dataset[[#This Row],[Join_Date]],
     IF(
        ISNUMBER(_xlpm.d),TRUE,FALSE
       )
    )</f>
        <v>1</v>
      </c>
      <c r="E169" t="b">
        <f>IF(ISERROR(_xlfn.NUMBERVALUE(Employee_dataset[[#This Row],[Salary]])),FALSE,TRUE)</f>
        <v>1</v>
      </c>
      <c r="F169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>Phone</v>
      </c>
      <c r="G169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170" spans="1:7" x14ac:dyDescent="0.3">
      <c r="A170" t="str">
        <f>Employee_dataset[[#This Row],[Employee_ID]]</f>
        <v>EMP1168</v>
      </c>
      <c r="B170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170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0</v>
      </c>
      <c r="D170" t="b">
        <f>_xlfn.LET(
     _xlpm.d, Employee_dataset[[#This Row],[Join_Date]],
     IF(
        ISNUMBER(_xlpm.d),TRUE,FALSE
       )
    )</f>
        <v>1</v>
      </c>
      <c r="E170" t="b">
        <f>IF(ISERROR(_xlfn.NUMBERVALUE(Employee_dataset[[#This Row],[Salary]])),FALSE,TRUE)</f>
        <v>1</v>
      </c>
      <c r="F170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>Phone</v>
      </c>
      <c r="G170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171" spans="1:7" x14ac:dyDescent="0.3">
      <c r="A171" t="str">
        <f>Employee_dataset[[#This Row],[Employee_ID]]</f>
        <v>EMP1169</v>
      </c>
      <c r="B171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171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171" t="b">
        <f>_xlfn.LET(
     _xlpm.d, Employee_dataset[[#This Row],[Join_Date]],
     IF(
        ISNUMBER(_xlpm.d),TRUE,FALSE
       )
    )</f>
        <v>1</v>
      </c>
      <c r="E171" t="b">
        <f>IF(ISERROR(_xlfn.NUMBERVALUE(Employee_dataset[[#This Row],[Salary]])),FALSE,TRUE)</f>
        <v>1</v>
      </c>
      <c r="F171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171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172" spans="1:7" x14ac:dyDescent="0.3">
      <c r="A172" t="str">
        <f>Employee_dataset[[#This Row],[Employee_ID]]</f>
        <v>EMP1170</v>
      </c>
      <c r="B172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172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172" t="b">
        <f>_xlfn.LET(
     _xlpm.d, Employee_dataset[[#This Row],[Join_Date]],
     IF(
        ISNUMBER(_xlpm.d),TRUE,FALSE
       )
    )</f>
        <v>1</v>
      </c>
      <c r="E172" t="b">
        <f>IF(ISERROR(_xlfn.NUMBERVALUE(Employee_dataset[[#This Row],[Salary]])),FALSE,TRUE)</f>
        <v>1</v>
      </c>
      <c r="F172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172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173" spans="1:7" x14ac:dyDescent="0.3">
      <c r="A173" t="str">
        <f>Employee_dataset[[#This Row],[Employee_ID]]</f>
        <v>EMP1171</v>
      </c>
      <c r="B173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173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173" t="b">
        <f>_xlfn.LET(
     _xlpm.d, Employee_dataset[[#This Row],[Join_Date]],
     IF(
        ISNUMBER(_xlpm.d),TRUE,FALSE
       )
    )</f>
        <v>1</v>
      </c>
      <c r="E173" t="b">
        <f>IF(ISERROR(_xlfn.NUMBERVALUE(Employee_dataset[[#This Row],[Salary]])),FALSE,TRUE)</f>
        <v>1</v>
      </c>
      <c r="F173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173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174" spans="1:7" x14ac:dyDescent="0.3">
      <c r="A174" t="str">
        <f>Employee_dataset[[#This Row],[Employee_ID]]</f>
        <v>EMP1172</v>
      </c>
      <c r="B174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174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0</v>
      </c>
      <c r="D174" t="b">
        <f>_xlfn.LET(
     _xlpm.d, Employee_dataset[[#This Row],[Join_Date]],
     IF(
        ISNUMBER(_xlpm.d),TRUE,FALSE
       )
    )</f>
        <v>1</v>
      </c>
      <c r="E174" t="b">
        <f>IF(ISERROR(_xlfn.NUMBERVALUE(Employee_dataset[[#This Row],[Salary]])),FALSE,TRUE)</f>
        <v>1</v>
      </c>
      <c r="F174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>Phone</v>
      </c>
      <c r="G174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175" spans="1:7" x14ac:dyDescent="0.3">
      <c r="A175" t="str">
        <f>Employee_dataset[[#This Row],[Employee_ID]]</f>
        <v>EMP1173</v>
      </c>
      <c r="B175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175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175" t="b">
        <f>_xlfn.LET(
     _xlpm.d, Employee_dataset[[#This Row],[Join_Date]],
     IF(
        ISNUMBER(_xlpm.d),TRUE,FALSE
       )
    )</f>
        <v>1</v>
      </c>
      <c r="E175" t="b">
        <f>IF(ISERROR(_xlfn.NUMBERVALUE(Employee_dataset[[#This Row],[Salary]])),FALSE,TRUE)</f>
        <v>1</v>
      </c>
      <c r="F175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175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176" spans="1:7" x14ac:dyDescent="0.3">
      <c r="A176" t="str">
        <f>Employee_dataset[[#This Row],[Employee_ID]]</f>
        <v>EMP1174</v>
      </c>
      <c r="B176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176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0</v>
      </c>
      <c r="D176" t="b">
        <f>_xlfn.LET(
     _xlpm.d, Employee_dataset[[#This Row],[Join_Date]],
     IF(
        ISNUMBER(_xlpm.d),TRUE,FALSE
       )
    )</f>
        <v>1</v>
      </c>
      <c r="E176" t="b">
        <f>IF(ISERROR(_xlfn.NUMBERVALUE(Employee_dataset[[#This Row],[Salary]])),FALSE,TRUE)</f>
        <v>1</v>
      </c>
      <c r="F176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>Phone</v>
      </c>
      <c r="G176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177" spans="1:7" x14ac:dyDescent="0.3">
      <c r="A177" t="str">
        <f>Employee_dataset[[#This Row],[Employee_ID]]</f>
        <v>EMP1175</v>
      </c>
      <c r="B177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177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177" t="b">
        <f>_xlfn.LET(
     _xlpm.d, Employee_dataset[[#This Row],[Join_Date]],
     IF(
        ISNUMBER(_xlpm.d),TRUE,FALSE
       )
    )</f>
        <v>1</v>
      </c>
      <c r="E177" t="b">
        <f>IF(ISERROR(_xlfn.NUMBERVALUE(Employee_dataset[[#This Row],[Salary]])),FALSE,TRUE)</f>
        <v>1</v>
      </c>
      <c r="F177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177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178" spans="1:7" x14ac:dyDescent="0.3">
      <c r="A178" t="str">
        <f>Employee_dataset[[#This Row],[Employee_ID]]</f>
        <v>EMP1176</v>
      </c>
      <c r="B178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178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178" t="b">
        <f>_xlfn.LET(
     _xlpm.d, Employee_dataset[[#This Row],[Join_Date]],
     IF(
        ISNUMBER(_xlpm.d),TRUE,FALSE
       )
    )</f>
        <v>1</v>
      </c>
      <c r="E178" t="b">
        <f>IF(ISERROR(_xlfn.NUMBERVALUE(Employee_dataset[[#This Row],[Salary]])),FALSE,TRUE)</f>
        <v>1</v>
      </c>
      <c r="F178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178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179" spans="1:7" x14ac:dyDescent="0.3">
      <c r="A179" t="str">
        <f>Employee_dataset[[#This Row],[Employee_ID]]</f>
        <v>EMP1177</v>
      </c>
      <c r="B179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179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179" t="b">
        <f>_xlfn.LET(
     _xlpm.d, Employee_dataset[[#This Row],[Join_Date]],
     IF(
        ISNUMBER(_xlpm.d),TRUE,FALSE
       )
    )</f>
        <v>1</v>
      </c>
      <c r="E179" t="b">
        <f>IF(ISERROR(_xlfn.NUMBERVALUE(Employee_dataset[[#This Row],[Salary]])),FALSE,TRUE)</f>
        <v>1</v>
      </c>
      <c r="F179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179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180" spans="1:7" x14ac:dyDescent="0.3">
      <c r="A180" t="str">
        <f>Employee_dataset[[#This Row],[Employee_ID]]</f>
        <v>EMP1178</v>
      </c>
      <c r="B180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180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0</v>
      </c>
      <c r="D180" t="b">
        <f>_xlfn.LET(
     _xlpm.d, Employee_dataset[[#This Row],[Join_Date]],
     IF(
        ISNUMBER(_xlpm.d),TRUE,FALSE
       )
    )</f>
        <v>1</v>
      </c>
      <c r="E180" t="b">
        <f>IF(ISERROR(_xlfn.NUMBERVALUE(Employee_dataset[[#This Row],[Salary]])),FALSE,TRUE)</f>
        <v>1</v>
      </c>
      <c r="F180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>Phone</v>
      </c>
      <c r="G180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181" spans="1:7" x14ac:dyDescent="0.3">
      <c r="A181" t="str">
        <f>Employee_dataset[[#This Row],[Employee_ID]]</f>
        <v>EMP1179</v>
      </c>
      <c r="B181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181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181" t="b">
        <f>_xlfn.LET(
     _xlpm.d, Employee_dataset[[#This Row],[Join_Date]],
     IF(
        ISNUMBER(_xlpm.d),TRUE,FALSE
       )
    )</f>
        <v>1</v>
      </c>
      <c r="E181" t="b">
        <f>IF(ISERROR(_xlfn.NUMBERVALUE(Employee_dataset[[#This Row],[Salary]])),FALSE,TRUE)</f>
        <v>1</v>
      </c>
      <c r="F181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181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182" spans="1:7" x14ac:dyDescent="0.3">
      <c r="A182" t="str">
        <f>Employee_dataset[[#This Row],[Employee_ID]]</f>
        <v>EMP1180</v>
      </c>
      <c r="B182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182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182" t="b">
        <f>_xlfn.LET(
     _xlpm.d, Employee_dataset[[#This Row],[Join_Date]],
     IF(
        ISNUMBER(_xlpm.d),TRUE,FALSE
       )
    )</f>
        <v>1</v>
      </c>
      <c r="E182" t="b">
        <f>IF(ISERROR(_xlfn.NUMBERVALUE(Employee_dataset[[#This Row],[Salary]])),FALSE,TRUE)</f>
        <v>1</v>
      </c>
      <c r="F182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182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183" spans="1:7" x14ac:dyDescent="0.3">
      <c r="A183" t="str">
        <f>Employee_dataset[[#This Row],[Employee_ID]]</f>
        <v>EMP1181</v>
      </c>
      <c r="B183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183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183" t="b">
        <f>_xlfn.LET(
     _xlpm.d, Employee_dataset[[#This Row],[Join_Date]],
     IF(
        ISNUMBER(_xlpm.d),TRUE,FALSE
       )
    )</f>
        <v>1</v>
      </c>
      <c r="E183" t="b">
        <f>IF(ISERROR(_xlfn.NUMBERVALUE(Employee_dataset[[#This Row],[Salary]])),FALSE,TRUE)</f>
        <v>1</v>
      </c>
      <c r="F183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183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184" spans="1:7" x14ac:dyDescent="0.3">
      <c r="A184" t="str">
        <f>Employee_dataset[[#This Row],[Employee_ID]]</f>
        <v>EMP1182</v>
      </c>
      <c r="B184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184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184" t="b">
        <f>_xlfn.LET(
     _xlpm.d, Employee_dataset[[#This Row],[Join_Date]],
     IF(
        ISNUMBER(_xlpm.d),TRUE,FALSE
       )
    )</f>
        <v>1</v>
      </c>
      <c r="E184" t="b">
        <f>IF(ISERROR(_xlfn.NUMBERVALUE(Employee_dataset[[#This Row],[Salary]])),FALSE,TRUE)</f>
        <v>1</v>
      </c>
      <c r="F184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184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185" spans="1:7" x14ac:dyDescent="0.3">
      <c r="A185" t="str">
        <f>Employee_dataset[[#This Row],[Employee_ID]]</f>
        <v>EMP1183</v>
      </c>
      <c r="B185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185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185" t="b">
        <f>_xlfn.LET(
     _xlpm.d, Employee_dataset[[#This Row],[Join_Date]],
     IF(
        ISNUMBER(_xlpm.d),TRUE,FALSE
       )
    )</f>
        <v>1</v>
      </c>
      <c r="E185" t="b">
        <f>IF(ISERROR(_xlfn.NUMBERVALUE(Employee_dataset[[#This Row],[Salary]])),FALSE,TRUE)</f>
        <v>1</v>
      </c>
      <c r="F185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185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186" spans="1:7" x14ac:dyDescent="0.3">
      <c r="A186" t="str">
        <f>Employee_dataset[[#This Row],[Employee_ID]]</f>
        <v>EMP1184</v>
      </c>
      <c r="B186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186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0</v>
      </c>
      <c r="D186" t="b">
        <f>_xlfn.LET(
     _xlpm.d, Employee_dataset[[#This Row],[Join_Date]],
     IF(
        ISNUMBER(_xlpm.d),TRUE,FALSE
       )
    )</f>
        <v>1</v>
      </c>
      <c r="E186" t="b">
        <f>IF(ISERROR(_xlfn.NUMBERVALUE(Employee_dataset[[#This Row],[Salary]])),FALSE,TRUE)</f>
        <v>1</v>
      </c>
      <c r="F186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>Phone</v>
      </c>
      <c r="G186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187" spans="1:7" x14ac:dyDescent="0.3">
      <c r="A187" t="str">
        <f>Employee_dataset[[#This Row],[Employee_ID]]</f>
        <v>EMP1185</v>
      </c>
      <c r="B187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187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187" t="b">
        <f>_xlfn.LET(
     _xlpm.d, Employee_dataset[[#This Row],[Join_Date]],
     IF(
        ISNUMBER(_xlpm.d),TRUE,FALSE
       )
    )</f>
        <v>1</v>
      </c>
      <c r="E187" t="b">
        <f>IF(ISERROR(_xlfn.NUMBERVALUE(Employee_dataset[[#This Row],[Salary]])),FALSE,TRUE)</f>
        <v>1</v>
      </c>
      <c r="F187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187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188" spans="1:7" x14ac:dyDescent="0.3">
      <c r="A188" t="str">
        <f>Employee_dataset[[#This Row],[Employee_ID]]</f>
        <v>EMP1186</v>
      </c>
      <c r="B188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188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0</v>
      </c>
      <c r="D188" t="b">
        <f>_xlfn.LET(
     _xlpm.d, Employee_dataset[[#This Row],[Join_Date]],
     IF(
        ISNUMBER(_xlpm.d),TRUE,FALSE
       )
    )</f>
        <v>1</v>
      </c>
      <c r="E188" t="b">
        <f>IF(ISERROR(_xlfn.NUMBERVALUE(Employee_dataset[[#This Row],[Salary]])),FALSE,TRUE)</f>
        <v>1</v>
      </c>
      <c r="F188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>Phone</v>
      </c>
      <c r="G188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189" spans="1:7" x14ac:dyDescent="0.3">
      <c r="A189" t="str">
        <f>Employee_dataset[[#This Row],[Employee_ID]]</f>
        <v>EMP1187</v>
      </c>
      <c r="B189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189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189" t="b">
        <f>_xlfn.LET(
     _xlpm.d, Employee_dataset[[#This Row],[Join_Date]],
     IF(
        ISNUMBER(_xlpm.d),TRUE,FALSE
       )
    )</f>
        <v>1</v>
      </c>
      <c r="E189" t="b">
        <f>IF(ISERROR(_xlfn.NUMBERVALUE(Employee_dataset[[#This Row],[Salary]])),FALSE,TRUE)</f>
        <v>1</v>
      </c>
      <c r="F189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189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190" spans="1:7" x14ac:dyDescent="0.3">
      <c r="A190" t="str">
        <f>Employee_dataset[[#This Row],[Employee_ID]]</f>
        <v>EMP1188</v>
      </c>
      <c r="B190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190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190" t="b">
        <f>_xlfn.LET(
     _xlpm.d, Employee_dataset[[#This Row],[Join_Date]],
     IF(
        ISNUMBER(_xlpm.d),TRUE,FALSE
       )
    )</f>
        <v>1</v>
      </c>
      <c r="E190" t="b">
        <f>IF(ISERROR(_xlfn.NUMBERVALUE(Employee_dataset[[#This Row],[Salary]])),FALSE,TRUE)</f>
        <v>1</v>
      </c>
      <c r="F190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190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191" spans="1:7" x14ac:dyDescent="0.3">
      <c r="A191" t="str">
        <f>Employee_dataset[[#This Row],[Employee_ID]]</f>
        <v>EMP1189</v>
      </c>
      <c r="B191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191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191" t="b">
        <f>_xlfn.LET(
     _xlpm.d, Employee_dataset[[#This Row],[Join_Date]],
     IF(
        ISNUMBER(_xlpm.d),TRUE,FALSE
       )
    )</f>
        <v>1</v>
      </c>
      <c r="E191" t="b">
        <f>IF(ISERROR(_xlfn.NUMBERVALUE(Employee_dataset[[#This Row],[Salary]])),FALSE,TRUE)</f>
        <v>1</v>
      </c>
      <c r="F191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191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192" spans="1:7" x14ac:dyDescent="0.3">
      <c r="A192" t="str">
        <f>Employee_dataset[[#This Row],[Employee_ID]]</f>
        <v>EMP1190</v>
      </c>
      <c r="B192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192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192" t="b">
        <f>_xlfn.LET(
     _xlpm.d, Employee_dataset[[#This Row],[Join_Date]],
     IF(
        ISNUMBER(_xlpm.d),TRUE,FALSE
       )
    )</f>
        <v>1</v>
      </c>
      <c r="E192" t="b">
        <f>IF(ISERROR(_xlfn.NUMBERVALUE(Employee_dataset[[#This Row],[Salary]])),FALSE,TRUE)</f>
        <v>1</v>
      </c>
      <c r="F192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192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193" spans="1:7" x14ac:dyDescent="0.3">
      <c r="A193" t="str">
        <f>Employee_dataset[[#This Row],[Employee_ID]]</f>
        <v>EMP1191</v>
      </c>
      <c r="B193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193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193" t="b">
        <f>_xlfn.LET(
     _xlpm.d, Employee_dataset[[#This Row],[Join_Date]],
     IF(
        ISNUMBER(_xlpm.d),TRUE,FALSE
       )
    )</f>
        <v>1</v>
      </c>
      <c r="E193" t="b">
        <f>IF(ISERROR(_xlfn.NUMBERVALUE(Employee_dataset[[#This Row],[Salary]])),FALSE,TRUE)</f>
        <v>1</v>
      </c>
      <c r="F193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193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194" spans="1:7" x14ac:dyDescent="0.3">
      <c r="A194" t="str">
        <f>Employee_dataset[[#This Row],[Employee_ID]]</f>
        <v>EMP1192</v>
      </c>
      <c r="B194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194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194" t="b">
        <f>_xlfn.LET(
     _xlpm.d, Employee_dataset[[#This Row],[Join_Date]],
     IF(
        ISNUMBER(_xlpm.d),TRUE,FALSE
       )
    )</f>
        <v>1</v>
      </c>
      <c r="E194" t="b">
        <f>IF(ISERROR(_xlfn.NUMBERVALUE(Employee_dataset[[#This Row],[Salary]])),FALSE,TRUE)</f>
        <v>1</v>
      </c>
      <c r="F194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194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195" spans="1:7" x14ac:dyDescent="0.3">
      <c r="A195" t="str">
        <f>Employee_dataset[[#This Row],[Employee_ID]]</f>
        <v>EMP1193</v>
      </c>
      <c r="B195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195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195" t="b">
        <f>_xlfn.LET(
     _xlpm.d, Employee_dataset[[#This Row],[Join_Date]],
     IF(
        ISNUMBER(_xlpm.d),TRUE,FALSE
       )
    )</f>
        <v>1</v>
      </c>
      <c r="E195" t="b">
        <f>IF(ISERROR(_xlfn.NUMBERVALUE(Employee_dataset[[#This Row],[Salary]])),FALSE,TRUE)</f>
        <v>1</v>
      </c>
      <c r="F195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195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196" spans="1:7" x14ac:dyDescent="0.3">
      <c r="A196" t="str">
        <f>Employee_dataset[[#This Row],[Employee_ID]]</f>
        <v>EMP1194</v>
      </c>
      <c r="B196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196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196" t="b">
        <f>_xlfn.LET(
     _xlpm.d, Employee_dataset[[#This Row],[Join_Date]],
     IF(
        ISNUMBER(_xlpm.d),TRUE,FALSE
       )
    )</f>
        <v>1</v>
      </c>
      <c r="E196" t="b">
        <f>IF(ISERROR(_xlfn.NUMBERVALUE(Employee_dataset[[#This Row],[Salary]])),FALSE,TRUE)</f>
        <v>1</v>
      </c>
      <c r="F196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196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197" spans="1:7" x14ac:dyDescent="0.3">
      <c r="A197" t="str">
        <f>Employee_dataset[[#This Row],[Employee_ID]]</f>
        <v>EMP1195</v>
      </c>
      <c r="B197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197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197" t="b">
        <f>_xlfn.LET(
     _xlpm.d, Employee_dataset[[#This Row],[Join_Date]],
     IF(
        ISNUMBER(_xlpm.d),TRUE,FALSE
       )
    )</f>
        <v>1</v>
      </c>
      <c r="E197" t="b">
        <f>IF(ISERROR(_xlfn.NUMBERVALUE(Employee_dataset[[#This Row],[Salary]])),FALSE,TRUE)</f>
        <v>1</v>
      </c>
      <c r="F197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197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198" spans="1:7" x14ac:dyDescent="0.3">
      <c r="A198" t="str">
        <f>Employee_dataset[[#This Row],[Employee_ID]]</f>
        <v>EMP1196</v>
      </c>
      <c r="B198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198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198" t="b">
        <f>_xlfn.LET(
     _xlpm.d, Employee_dataset[[#This Row],[Join_Date]],
     IF(
        ISNUMBER(_xlpm.d),TRUE,FALSE
       )
    )</f>
        <v>1</v>
      </c>
      <c r="E198" t="b">
        <f>IF(ISERROR(_xlfn.NUMBERVALUE(Employee_dataset[[#This Row],[Salary]])),FALSE,TRUE)</f>
        <v>1</v>
      </c>
      <c r="F198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198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199" spans="1:7" x14ac:dyDescent="0.3">
      <c r="A199" t="str">
        <f>Employee_dataset[[#This Row],[Employee_ID]]</f>
        <v>EMP1197</v>
      </c>
      <c r="B199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199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199" t="b">
        <f>_xlfn.LET(
     _xlpm.d, Employee_dataset[[#This Row],[Join_Date]],
     IF(
        ISNUMBER(_xlpm.d),TRUE,FALSE
       )
    )</f>
        <v>1</v>
      </c>
      <c r="E199" t="b">
        <f>IF(ISERROR(_xlfn.NUMBERVALUE(Employee_dataset[[#This Row],[Salary]])),FALSE,TRUE)</f>
        <v>1</v>
      </c>
      <c r="F199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199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200" spans="1:7" x14ac:dyDescent="0.3">
      <c r="A200" t="str">
        <f>Employee_dataset[[#This Row],[Employee_ID]]</f>
        <v>EMP1198</v>
      </c>
      <c r="B200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200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0</v>
      </c>
      <c r="D200" t="b">
        <f>_xlfn.LET(
     _xlpm.d, Employee_dataset[[#This Row],[Join_Date]],
     IF(
        ISNUMBER(_xlpm.d),TRUE,FALSE
       )
    )</f>
        <v>1</v>
      </c>
      <c r="E200" t="b">
        <f>IF(ISERROR(_xlfn.NUMBERVALUE(Employee_dataset[[#This Row],[Salary]])),FALSE,TRUE)</f>
        <v>1</v>
      </c>
      <c r="F200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>Phone</v>
      </c>
      <c r="G200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201" spans="1:7" x14ac:dyDescent="0.3">
      <c r="A201" t="str">
        <f>Employee_dataset[[#This Row],[Employee_ID]]</f>
        <v>EMP1199</v>
      </c>
      <c r="B201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201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201" t="b">
        <f>_xlfn.LET(
     _xlpm.d, Employee_dataset[[#This Row],[Join_Date]],
     IF(
        ISNUMBER(_xlpm.d),TRUE,FALSE
       )
    )</f>
        <v>1</v>
      </c>
      <c r="E201" t="b">
        <f>IF(ISERROR(_xlfn.NUMBERVALUE(Employee_dataset[[#This Row],[Salary]])),FALSE,TRUE)</f>
        <v>1</v>
      </c>
      <c r="F201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201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202" spans="1:7" x14ac:dyDescent="0.3">
      <c r="A202" t="str">
        <f>Employee_dataset[[#This Row],[Employee_ID]]</f>
        <v>EMP1200</v>
      </c>
      <c r="B202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202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202" t="b">
        <f>_xlfn.LET(
     _xlpm.d, Employee_dataset[[#This Row],[Join_Date]],
     IF(
        ISNUMBER(_xlpm.d),TRUE,FALSE
       )
    )</f>
        <v>1</v>
      </c>
      <c r="E202" t="b">
        <f>IF(ISERROR(_xlfn.NUMBERVALUE(Employee_dataset[[#This Row],[Salary]])),FALSE,TRUE)</f>
        <v>1</v>
      </c>
      <c r="F202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202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203" spans="1:7" x14ac:dyDescent="0.3">
      <c r="A203" t="str">
        <f>Employee_dataset[[#This Row],[Employee_ID]]</f>
        <v>EMP1201</v>
      </c>
      <c r="B203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203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203" t="b">
        <f>_xlfn.LET(
     _xlpm.d, Employee_dataset[[#This Row],[Join_Date]],
     IF(
        ISNUMBER(_xlpm.d),TRUE,FALSE
       )
    )</f>
        <v>1</v>
      </c>
      <c r="E203" t="b">
        <f>IF(ISERROR(_xlfn.NUMBERVALUE(Employee_dataset[[#This Row],[Salary]])),FALSE,TRUE)</f>
        <v>1</v>
      </c>
      <c r="F203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203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204" spans="1:7" x14ac:dyDescent="0.3">
      <c r="A204" t="str">
        <f>Employee_dataset[[#This Row],[Employee_ID]]</f>
        <v>EMP1202</v>
      </c>
      <c r="B204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204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204" t="b">
        <f>_xlfn.LET(
     _xlpm.d, Employee_dataset[[#This Row],[Join_Date]],
     IF(
        ISNUMBER(_xlpm.d),TRUE,FALSE
       )
    )</f>
        <v>1</v>
      </c>
      <c r="E204" t="b">
        <f>IF(ISERROR(_xlfn.NUMBERVALUE(Employee_dataset[[#This Row],[Salary]])),FALSE,TRUE)</f>
        <v>1</v>
      </c>
      <c r="F204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204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205" spans="1:7" x14ac:dyDescent="0.3">
      <c r="A205" t="str">
        <f>Employee_dataset[[#This Row],[Employee_ID]]</f>
        <v>EMP1203</v>
      </c>
      <c r="B205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205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205" t="b">
        <f>_xlfn.LET(
     _xlpm.d, Employee_dataset[[#This Row],[Join_Date]],
     IF(
        ISNUMBER(_xlpm.d),TRUE,FALSE
       )
    )</f>
        <v>1</v>
      </c>
      <c r="E205" t="b">
        <f>IF(ISERROR(_xlfn.NUMBERVALUE(Employee_dataset[[#This Row],[Salary]])),FALSE,TRUE)</f>
        <v>1</v>
      </c>
      <c r="F205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205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206" spans="1:7" x14ac:dyDescent="0.3">
      <c r="A206" t="str">
        <f>Employee_dataset[[#This Row],[Employee_ID]]</f>
        <v>EMP1204</v>
      </c>
      <c r="B206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206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206" t="b">
        <f>_xlfn.LET(
     _xlpm.d, Employee_dataset[[#This Row],[Join_Date]],
     IF(
        ISNUMBER(_xlpm.d),TRUE,FALSE
       )
    )</f>
        <v>1</v>
      </c>
      <c r="E206" t="b">
        <f>IF(ISERROR(_xlfn.NUMBERVALUE(Employee_dataset[[#This Row],[Salary]])),FALSE,TRUE)</f>
        <v>1</v>
      </c>
      <c r="F206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206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207" spans="1:7" x14ac:dyDescent="0.3">
      <c r="A207" t="str">
        <f>Employee_dataset[[#This Row],[Employee_ID]]</f>
        <v>EMP1205</v>
      </c>
      <c r="B207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207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207" t="b">
        <f>_xlfn.LET(
     _xlpm.d, Employee_dataset[[#This Row],[Join_Date]],
     IF(
        ISNUMBER(_xlpm.d),TRUE,FALSE
       )
    )</f>
        <v>1</v>
      </c>
      <c r="E207" t="b">
        <f>IF(ISERROR(_xlfn.NUMBERVALUE(Employee_dataset[[#This Row],[Salary]])),FALSE,TRUE)</f>
        <v>1</v>
      </c>
      <c r="F207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207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208" spans="1:7" x14ac:dyDescent="0.3">
      <c r="A208" t="str">
        <f>Employee_dataset[[#This Row],[Employee_ID]]</f>
        <v>EMP1206</v>
      </c>
      <c r="B208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208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208" t="b">
        <f>_xlfn.LET(
     _xlpm.d, Employee_dataset[[#This Row],[Join_Date]],
     IF(
        ISNUMBER(_xlpm.d),TRUE,FALSE
       )
    )</f>
        <v>1</v>
      </c>
      <c r="E208" t="b">
        <f>IF(ISERROR(_xlfn.NUMBERVALUE(Employee_dataset[[#This Row],[Salary]])),FALSE,TRUE)</f>
        <v>1</v>
      </c>
      <c r="F208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208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209" spans="1:7" x14ac:dyDescent="0.3">
      <c r="A209" t="str">
        <f>Employee_dataset[[#This Row],[Employee_ID]]</f>
        <v>EMP1207</v>
      </c>
      <c r="B209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209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209" t="b">
        <f>_xlfn.LET(
     _xlpm.d, Employee_dataset[[#This Row],[Join_Date]],
     IF(
        ISNUMBER(_xlpm.d),TRUE,FALSE
       )
    )</f>
        <v>1</v>
      </c>
      <c r="E209" t="b">
        <f>IF(ISERROR(_xlfn.NUMBERVALUE(Employee_dataset[[#This Row],[Salary]])),FALSE,TRUE)</f>
        <v>1</v>
      </c>
      <c r="F209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209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210" spans="1:7" x14ac:dyDescent="0.3">
      <c r="A210" t="str">
        <f>Employee_dataset[[#This Row],[Employee_ID]]</f>
        <v>EMP1208</v>
      </c>
      <c r="B210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210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210" t="b">
        <f>_xlfn.LET(
     _xlpm.d, Employee_dataset[[#This Row],[Join_Date]],
     IF(
        ISNUMBER(_xlpm.d),TRUE,FALSE
       )
    )</f>
        <v>1</v>
      </c>
      <c r="E210" t="b">
        <f>IF(ISERROR(_xlfn.NUMBERVALUE(Employee_dataset[[#This Row],[Salary]])),FALSE,TRUE)</f>
        <v>1</v>
      </c>
      <c r="F210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210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211" spans="1:7" x14ac:dyDescent="0.3">
      <c r="A211" t="str">
        <f>Employee_dataset[[#This Row],[Employee_ID]]</f>
        <v>EMP1209</v>
      </c>
      <c r="B211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211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0</v>
      </c>
      <c r="D211" t="b">
        <f>_xlfn.LET(
     _xlpm.d, Employee_dataset[[#This Row],[Join_Date]],
     IF(
        ISNUMBER(_xlpm.d),TRUE,FALSE
       )
    )</f>
        <v>1</v>
      </c>
      <c r="E211" t="b">
        <f>IF(ISERROR(_xlfn.NUMBERVALUE(Employee_dataset[[#This Row],[Salary]])),FALSE,TRUE)</f>
        <v>1</v>
      </c>
      <c r="F211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>Phone</v>
      </c>
      <c r="G211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212" spans="1:7" x14ac:dyDescent="0.3">
      <c r="A212" t="str">
        <f>Employee_dataset[[#This Row],[Employee_ID]]</f>
        <v>EMP1210</v>
      </c>
      <c r="B212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212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212" t="b">
        <f>_xlfn.LET(
     _xlpm.d, Employee_dataset[[#This Row],[Join_Date]],
     IF(
        ISNUMBER(_xlpm.d),TRUE,FALSE
       )
    )</f>
        <v>1</v>
      </c>
      <c r="E212" t="b">
        <f>IF(ISERROR(_xlfn.NUMBERVALUE(Employee_dataset[[#This Row],[Salary]])),FALSE,TRUE)</f>
        <v>1</v>
      </c>
      <c r="F212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212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213" spans="1:7" x14ac:dyDescent="0.3">
      <c r="A213" t="str">
        <f>Employee_dataset[[#This Row],[Employee_ID]]</f>
        <v>EMP1211</v>
      </c>
      <c r="B213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213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213" t="b">
        <f>_xlfn.LET(
     _xlpm.d, Employee_dataset[[#This Row],[Join_Date]],
     IF(
        ISNUMBER(_xlpm.d),TRUE,FALSE
       )
    )</f>
        <v>1</v>
      </c>
      <c r="E213" t="b">
        <f>IF(ISERROR(_xlfn.NUMBERVALUE(Employee_dataset[[#This Row],[Salary]])),FALSE,TRUE)</f>
        <v>1</v>
      </c>
      <c r="F213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213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214" spans="1:7" x14ac:dyDescent="0.3">
      <c r="A214" t="str">
        <f>Employee_dataset[[#This Row],[Employee_ID]]</f>
        <v>EMP1212</v>
      </c>
      <c r="B214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214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214" t="b">
        <f>_xlfn.LET(
     _xlpm.d, Employee_dataset[[#This Row],[Join_Date]],
     IF(
        ISNUMBER(_xlpm.d),TRUE,FALSE
       )
    )</f>
        <v>1</v>
      </c>
      <c r="E214" t="b">
        <f>IF(ISERROR(_xlfn.NUMBERVALUE(Employee_dataset[[#This Row],[Salary]])),FALSE,TRUE)</f>
        <v>1</v>
      </c>
      <c r="F214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214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215" spans="1:7" x14ac:dyDescent="0.3">
      <c r="A215" t="str">
        <f>Employee_dataset[[#This Row],[Employee_ID]]</f>
        <v>EMP1213</v>
      </c>
      <c r="B215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215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215" t="b">
        <f>_xlfn.LET(
     _xlpm.d, Employee_dataset[[#This Row],[Join_Date]],
     IF(
        ISNUMBER(_xlpm.d),TRUE,FALSE
       )
    )</f>
        <v>1</v>
      </c>
      <c r="E215" t="b">
        <f>IF(ISERROR(_xlfn.NUMBERVALUE(Employee_dataset[[#This Row],[Salary]])),FALSE,TRUE)</f>
        <v>1</v>
      </c>
      <c r="F215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215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216" spans="1:7" x14ac:dyDescent="0.3">
      <c r="A216" t="str">
        <f>Employee_dataset[[#This Row],[Employee_ID]]</f>
        <v>EMP1214</v>
      </c>
      <c r="B216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216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216" t="b">
        <f>_xlfn.LET(
     _xlpm.d, Employee_dataset[[#This Row],[Join_Date]],
     IF(
        ISNUMBER(_xlpm.d),TRUE,FALSE
       )
    )</f>
        <v>1</v>
      </c>
      <c r="E216" t="b">
        <f>IF(ISERROR(_xlfn.NUMBERVALUE(Employee_dataset[[#This Row],[Salary]])),FALSE,TRUE)</f>
        <v>1</v>
      </c>
      <c r="F216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216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217" spans="1:7" x14ac:dyDescent="0.3">
      <c r="A217" t="str">
        <f>Employee_dataset[[#This Row],[Employee_ID]]</f>
        <v>EMP1215</v>
      </c>
      <c r="B217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217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217" t="b">
        <f>_xlfn.LET(
     _xlpm.d, Employee_dataset[[#This Row],[Join_Date]],
     IF(
        ISNUMBER(_xlpm.d),TRUE,FALSE
       )
    )</f>
        <v>1</v>
      </c>
      <c r="E217" t="b">
        <f>IF(ISERROR(_xlfn.NUMBERVALUE(Employee_dataset[[#This Row],[Salary]])),FALSE,TRUE)</f>
        <v>1</v>
      </c>
      <c r="F217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217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218" spans="1:7" x14ac:dyDescent="0.3">
      <c r="A218" t="str">
        <f>Employee_dataset[[#This Row],[Employee_ID]]</f>
        <v>EMP1216</v>
      </c>
      <c r="B218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218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218" t="b">
        <f>_xlfn.LET(
     _xlpm.d, Employee_dataset[[#This Row],[Join_Date]],
     IF(
        ISNUMBER(_xlpm.d),TRUE,FALSE
       )
    )</f>
        <v>1</v>
      </c>
      <c r="E218" t="b">
        <f>IF(ISERROR(_xlfn.NUMBERVALUE(Employee_dataset[[#This Row],[Salary]])),FALSE,TRUE)</f>
        <v>1</v>
      </c>
      <c r="F218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218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219" spans="1:7" x14ac:dyDescent="0.3">
      <c r="A219" t="str">
        <f>Employee_dataset[[#This Row],[Employee_ID]]</f>
        <v>EMP1217</v>
      </c>
      <c r="B219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219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219" t="b">
        <f>_xlfn.LET(
     _xlpm.d, Employee_dataset[[#This Row],[Join_Date]],
     IF(
        ISNUMBER(_xlpm.d),TRUE,FALSE
       )
    )</f>
        <v>1</v>
      </c>
      <c r="E219" t="b">
        <f>IF(ISERROR(_xlfn.NUMBERVALUE(Employee_dataset[[#This Row],[Salary]])),FALSE,TRUE)</f>
        <v>1</v>
      </c>
      <c r="F219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219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220" spans="1:7" x14ac:dyDescent="0.3">
      <c r="A220" t="str">
        <f>Employee_dataset[[#This Row],[Employee_ID]]</f>
        <v>EMP1218</v>
      </c>
      <c r="B220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220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220" t="b">
        <f>_xlfn.LET(
     _xlpm.d, Employee_dataset[[#This Row],[Join_Date]],
     IF(
        ISNUMBER(_xlpm.d),TRUE,FALSE
       )
    )</f>
        <v>1</v>
      </c>
      <c r="E220" t="b">
        <f>IF(ISERROR(_xlfn.NUMBERVALUE(Employee_dataset[[#This Row],[Salary]])),FALSE,TRUE)</f>
        <v>1</v>
      </c>
      <c r="F220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220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221" spans="1:7" x14ac:dyDescent="0.3">
      <c r="A221" t="str">
        <f>Employee_dataset[[#This Row],[Employee_ID]]</f>
        <v>EMP1219</v>
      </c>
      <c r="B221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221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221" t="b">
        <f>_xlfn.LET(
     _xlpm.d, Employee_dataset[[#This Row],[Join_Date]],
     IF(
        ISNUMBER(_xlpm.d),TRUE,FALSE
       )
    )</f>
        <v>1</v>
      </c>
      <c r="E221" t="b">
        <f>IF(ISERROR(_xlfn.NUMBERVALUE(Employee_dataset[[#This Row],[Salary]])),FALSE,TRUE)</f>
        <v>1</v>
      </c>
      <c r="F221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221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222" spans="1:7" x14ac:dyDescent="0.3">
      <c r="A222" t="str">
        <f>Employee_dataset[[#This Row],[Employee_ID]]</f>
        <v>EMP1220</v>
      </c>
      <c r="B222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222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222" t="b">
        <f>_xlfn.LET(
     _xlpm.d, Employee_dataset[[#This Row],[Join_Date]],
     IF(
        ISNUMBER(_xlpm.d),TRUE,FALSE
       )
    )</f>
        <v>1</v>
      </c>
      <c r="E222" t="b">
        <f>IF(ISERROR(_xlfn.NUMBERVALUE(Employee_dataset[[#This Row],[Salary]])),FALSE,TRUE)</f>
        <v>1</v>
      </c>
      <c r="F222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222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223" spans="1:7" x14ac:dyDescent="0.3">
      <c r="A223" t="str">
        <f>Employee_dataset[[#This Row],[Employee_ID]]</f>
        <v>EMP1221</v>
      </c>
      <c r="B223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223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223" t="b">
        <f>_xlfn.LET(
     _xlpm.d, Employee_dataset[[#This Row],[Join_Date]],
     IF(
        ISNUMBER(_xlpm.d),TRUE,FALSE
       )
    )</f>
        <v>1</v>
      </c>
      <c r="E223" t="b">
        <f>IF(ISERROR(_xlfn.NUMBERVALUE(Employee_dataset[[#This Row],[Salary]])),FALSE,TRUE)</f>
        <v>1</v>
      </c>
      <c r="F223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223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224" spans="1:7" x14ac:dyDescent="0.3">
      <c r="A224" t="str">
        <f>Employee_dataset[[#This Row],[Employee_ID]]</f>
        <v>EMP1222</v>
      </c>
      <c r="B224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224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224" t="b">
        <f>_xlfn.LET(
     _xlpm.d, Employee_dataset[[#This Row],[Join_Date]],
     IF(
        ISNUMBER(_xlpm.d),TRUE,FALSE
       )
    )</f>
        <v>1</v>
      </c>
      <c r="E224" t="b">
        <f>IF(ISERROR(_xlfn.NUMBERVALUE(Employee_dataset[[#This Row],[Salary]])),FALSE,TRUE)</f>
        <v>1</v>
      </c>
      <c r="F224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224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225" spans="1:7" x14ac:dyDescent="0.3">
      <c r="A225" t="str">
        <f>Employee_dataset[[#This Row],[Employee_ID]]</f>
        <v>EMP1223</v>
      </c>
      <c r="B225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225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225" t="b">
        <f>_xlfn.LET(
     _xlpm.d, Employee_dataset[[#This Row],[Join_Date]],
     IF(
        ISNUMBER(_xlpm.d),TRUE,FALSE
       )
    )</f>
        <v>1</v>
      </c>
      <c r="E225" t="b">
        <f>IF(ISERROR(_xlfn.NUMBERVALUE(Employee_dataset[[#This Row],[Salary]])),FALSE,TRUE)</f>
        <v>1</v>
      </c>
      <c r="F225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225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226" spans="1:7" x14ac:dyDescent="0.3">
      <c r="A226" t="str">
        <f>Employee_dataset[[#This Row],[Employee_ID]]</f>
        <v>EMP1224</v>
      </c>
      <c r="B226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226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0</v>
      </c>
      <c r="D226" t="b">
        <f>_xlfn.LET(
     _xlpm.d, Employee_dataset[[#This Row],[Join_Date]],
     IF(
        ISNUMBER(_xlpm.d),TRUE,FALSE
       )
    )</f>
        <v>1</v>
      </c>
      <c r="E226" t="b">
        <f>IF(ISERROR(_xlfn.NUMBERVALUE(Employee_dataset[[#This Row],[Salary]])),FALSE,TRUE)</f>
        <v>1</v>
      </c>
      <c r="F226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>Phone</v>
      </c>
      <c r="G226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227" spans="1:7" x14ac:dyDescent="0.3">
      <c r="A227" t="str">
        <f>Employee_dataset[[#This Row],[Employee_ID]]</f>
        <v>EMP1225</v>
      </c>
      <c r="B227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227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227" t="b">
        <f>_xlfn.LET(
     _xlpm.d, Employee_dataset[[#This Row],[Join_Date]],
     IF(
        ISNUMBER(_xlpm.d),TRUE,FALSE
       )
    )</f>
        <v>1</v>
      </c>
      <c r="E227" t="b">
        <f>IF(ISERROR(_xlfn.NUMBERVALUE(Employee_dataset[[#This Row],[Salary]])),FALSE,TRUE)</f>
        <v>1</v>
      </c>
      <c r="F227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227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228" spans="1:7" x14ac:dyDescent="0.3">
      <c r="A228" t="str">
        <f>Employee_dataset[[#This Row],[Employee_ID]]</f>
        <v>EMP1226</v>
      </c>
      <c r="B228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228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228" t="b">
        <f>_xlfn.LET(
     _xlpm.d, Employee_dataset[[#This Row],[Join_Date]],
     IF(
        ISNUMBER(_xlpm.d),TRUE,FALSE
       )
    )</f>
        <v>1</v>
      </c>
      <c r="E228" t="b">
        <f>IF(ISERROR(_xlfn.NUMBERVALUE(Employee_dataset[[#This Row],[Salary]])),FALSE,TRUE)</f>
        <v>1</v>
      </c>
      <c r="F228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228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229" spans="1:7" x14ac:dyDescent="0.3">
      <c r="A229" t="str">
        <f>Employee_dataset[[#This Row],[Employee_ID]]</f>
        <v>EMP1227</v>
      </c>
      <c r="B229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229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229" t="b">
        <f>_xlfn.LET(
     _xlpm.d, Employee_dataset[[#This Row],[Join_Date]],
     IF(
        ISNUMBER(_xlpm.d),TRUE,FALSE
       )
    )</f>
        <v>1</v>
      </c>
      <c r="E229" t="b">
        <f>IF(ISERROR(_xlfn.NUMBERVALUE(Employee_dataset[[#This Row],[Salary]])),FALSE,TRUE)</f>
        <v>1</v>
      </c>
      <c r="F229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229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230" spans="1:7" x14ac:dyDescent="0.3">
      <c r="A230" t="str">
        <f>Employee_dataset[[#This Row],[Employee_ID]]</f>
        <v>EMP1228</v>
      </c>
      <c r="B230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230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230" t="b">
        <f>_xlfn.LET(
     _xlpm.d, Employee_dataset[[#This Row],[Join_Date]],
     IF(
        ISNUMBER(_xlpm.d),TRUE,FALSE
       )
    )</f>
        <v>1</v>
      </c>
      <c r="E230" t="b">
        <f>IF(ISERROR(_xlfn.NUMBERVALUE(Employee_dataset[[#This Row],[Salary]])),FALSE,TRUE)</f>
        <v>1</v>
      </c>
      <c r="F230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230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231" spans="1:7" x14ac:dyDescent="0.3">
      <c r="A231" t="str">
        <f>Employee_dataset[[#This Row],[Employee_ID]]</f>
        <v>EMP1229</v>
      </c>
      <c r="B231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231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231" t="b">
        <f>_xlfn.LET(
     _xlpm.d, Employee_dataset[[#This Row],[Join_Date]],
     IF(
        ISNUMBER(_xlpm.d),TRUE,FALSE
       )
    )</f>
        <v>1</v>
      </c>
      <c r="E231" t="b">
        <f>IF(ISERROR(_xlfn.NUMBERVALUE(Employee_dataset[[#This Row],[Salary]])),FALSE,TRUE)</f>
        <v>1</v>
      </c>
      <c r="F231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231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232" spans="1:7" x14ac:dyDescent="0.3">
      <c r="A232" t="str">
        <f>Employee_dataset[[#This Row],[Employee_ID]]</f>
        <v>EMP1230</v>
      </c>
      <c r="B232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232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232" t="b">
        <f>_xlfn.LET(
     _xlpm.d, Employee_dataset[[#This Row],[Join_Date]],
     IF(
        ISNUMBER(_xlpm.d),TRUE,FALSE
       )
    )</f>
        <v>1</v>
      </c>
      <c r="E232" t="b">
        <f>IF(ISERROR(_xlfn.NUMBERVALUE(Employee_dataset[[#This Row],[Salary]])),FALSE,TRUE)</f>
        <v>1</v>
      </c>
      <c r="F232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232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233" spans="1:7" x14ac:dyDescent="0.3">
      <c r="A233" t="str">
        <f>Employee_dataset[[#This Row],[Employee_ID]]</f>
        <v>EMP1231</v>
      </c>
      <c r="B233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233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233" t="b">
        <f>_xlfn.LET(
     _xlpm.d, Employee_dataset[[#This Row],[Join_Date]],
     IF(
        ISNUMBER(_xlpm.d),TRUE,FALSE
       )
    )</f>
        <v>1</v>
      </c>
      <c r="E233" t="b">
        <f>IF(ISERROR(_xlfn.NUMBERVALUE(Employee_dataset[[#This Row],[Salary]])),FALSE,TRUE)</f>
        <v>1</v>
      </c>
      <c r="F233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233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234" spans="1:7" x14ac:dyDescent="0.3">
      <c r="A234" t="str">
        <f>Employee_dataset[[#This Row],[Employee_ID]]</f>
        <v>EMP1232</v>
      </c>
      <c r="B234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234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234" t="b">
        <f>_xlfn.LET(
     _xlpm.d, Employee_dataset[[#This Row],[Join_Date]],
     IF(
        ISNUMBER(_xlpm.d),TRUE,FALSE
       )
    )</f>
        <v>1</v>
      </c>
      <c r="E234" t="b">
        <f>IF(ISERROR(_xlfn.NUMBERVALUE(Employee_dataset[[#This Row],[Salary]])),FALSE,TRUE)</f>
        <v>1</v>
      </c>
      <c r="F234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234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235" spans="1:7" x14ac:dyDescent="0.3">
      <c r="A235" t="str">
        <f>Employee_dataset[[#This Row],[Employee_ID]]</f>
        <v>EMP1233</v>
      </c>
      <c r="B235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235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235" t="b">
        <f>_xlfn.LET(
     _xlpm.d, Employee_dataset[[#This Row],[Join_Date]],
     IF(
        ISNUMBER(_xlpm.d),TRUE,FALSE
       )
    )</f>
        <v>1</v>
      </c>
      <c r="E235" t="b">
        <f>IF(ISERROR(_xlfn.NUMBERVALUE(Employee_dataset[[#This Row],[Salary]])),FALSE,TRUE)</f>
        <v>1</v>
      </c>
      <c r="F235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235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236" spans="1:7" x14ac:dyDescent="0.3">
      <c r="A236" t="str">
        <f>Employee_dataset[[#This Row],[Employee_ID]]</f>
        <v>EMP1234</v>
      </c>
      <c r="B236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236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236" t="b">
        <f>_xlfn.LET(
     _xlpm.d, Employee_dataset[[#This Row],[Join_Date]],
     IF(
        ISNUMBER(_xlpm.d),TRUE,FALSE
       )
    )</f>
        <v>1</v>
      </c>
      <c r="E236" t="b">
        <f>IF(ISERROR(_xlfn.NUMBERVALUE(Employee_dataset[[#This Row],[Salary]])),FALSE,TRUE)</f>
        <v>1</v>
      </c>
      <c r="F236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236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237" spans="1:7" x14ac:dyDescent="0.3">
      <c r="A237" t="str">
        <f>Employee_dataset[[#This Row],[Employee_ID]]</f>
        <v>EMP1235</v>
      </c>
      <c r="B237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237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237" t="b">
        <f>_xlfn.LET(
     _xlpm.d, Employee_dataset[[#This Row],[Join_Date]],
     IF(
        ISNUMBER(_xlpm.d),TRUE,FALSE
       )
    )</f>
        <v>1</v>
      </c>
      <c r="E237" t="b">
        <f>IF(ISERROR(_xlfn.NUMBERVALUE(Employee_dataset[[#This Row],[Salary]])),FALSE,TRUE)</f>
        <v>1</v>
      </c>
      <c r="F237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237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238" spans="1:7" x14ac:dyDescent="0.3">
      <c r="A238" t="str">
        <f>Employee_dataset[[#This Row],[Employee_ID]]</f>
        <v>EMP1236</v>
      </c>
      <c r="B238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238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238" t="b">
        <f>_xlfn.LET(
     _xlpm.d, Employee_dataset[[#This Row],[Join_Date]],
     IF(
        ISNUMBER(_xlpm.d),TRUE,FALSE
       )
    )</f>
        <v>1</v>
      </c>
      <c r="E238" t="b">
        <f>IF(ISERROR(_xlfn.NUMBERVALUE(Employee_dataset[[#This Row],[Salary]])),FALSE,TRUE)</f>
        <v>1</v>
      </c>
      <c r="F238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238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239" spans="1:7" x14ac:dyDescent="0.3">
      <c r="A239" t="str">
        <f>Employee_dataset[[#This Row],[Employee_ID]]</f>
        <v>EMP1237</v>
      </c>
      <c r="B239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239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239" t="b">
        <f>_xlfn.LET(
     _xlpm.d, Employee_dataset[[#This Row],[Join_Date]],
     IF(
        ISNUMBER(_xlpm.d),TRUE,FALSE
       )
    )</f>
        <v>1</v>
      </c>
      <c r="E239" t="b">
        <f>IF(ISERROR(_xlfn.NUMBERVALUE(Employee_dataset[[#This Row],[Salary]])),FALSE,TRUE)</f>
        <v>1</v>
      </c>
      <c r="F239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239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240" spans="1:7" x14ac:dyDescent="0.3">
      <c r="A240" t="str">
        <f>Employee_dataset[[#This Row],[Employee_ID]]</f>
        <v>EMP1238</v>
      </c>
      <c r="B240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240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240" t="b">
        <f>_xlfn.LET(
     _xlpm.d, Employee_dataset[[#This Row],[Join_Date]],
     IF(
        ISNUMBER(_xlpm.d),TRUE,FALSE
       )
    )</f>
        <v>1</v>
      </c>
      <c r="E240" t="b">
        <f>IF(ISERROR(_xlfn.NUMBERVALUE(Employee_dataset[[#This Row],[Salary]])),FALSE,TRUE)</f>
        <v>1</v>
      </c>
      <c r="F240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240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241" spans="1:7" x14ac:dyDescent="0.3">
      <c r="A241" t="str">
        <f>Employee_dataset[[#This Row],[Employee_ID]]</f>
        <v>EMP1239</v>
      </c>
      <c r="B241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241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241" t="b">
        <f>_xlfn.LET(
     _xlpm.d, Employee_dataset[[#This Row],[Join_Date]],
     IF(
        ISNUMBER(_xlpm.d),TRUE,FALSE
       )
    )</f>
        <v>1</v>
      </c>
      <c r="E241" t="b">
        <f>IF(ISERROR(_xlfn.NUMBERVALUE(Employee_dataset[[#This Row],[Salary]])),FALSE,TRUE)</f>
        <v>1</v>
      </c>
      <c r="F241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241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242" spans="1:7" x14ac:dyDescent="0.3">
      <c r="A242" t="str">
        <f>Employee_dataset[[#This Row],[Employee_ID]]</f>
        <v>EMP1240</v>
      </c>
      <c r="B242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242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242" t="b">
        <f>_xlfn.LET(
     _xlpm.d, Employee_dataset[[#This Row],[Join_Date]],
     IF(
        ISNUMBER(_xlpm.d),TRUE,FALSE
       )
    )</f>
        <v>1</v>
      </c>
      <c r="E242" t="b">
        <f>IF(ISERROR(_xlfn.NUMBERVALUE(Employee_dataset[[#This Row],[Salary]])),FALSE,TRUE)</f>
        <v>1</v>
      </c>
      <c r="F242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242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243" spans="1:7" x14ac:dyDescent="0.3">
      <c r="A243" t="str">
        <f>Employee_dataset[[#This Row],[Employee_ID]]</f>
        <v>EMP1241</v>
      </c>
      <c r="B243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243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243" t="b">
        <f>_xlfn.LET(
     _xlpm.d, Employee_dataset[[#This Row],[Join_Date]],
     IF(
        ISNUMBER(_xlpm.d),TRUE,FALSE
       )
    )</f>
        <v>1</v>
      </c>
      <c r="E243" t="b">
        <f>IF(ISERROR(_xlfn.NUMBERVALUE(Employee_dataset[[#This Row],[Salary]])),FALSE,TRUE)</f>
        <v>1</v>
      </c>
      <c r="F243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243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244" spans="1:7" x14ac:dyDescent="0.3">
      <c r="A244" t="str">
        <f>Employee_dataset[[#This Row],[Employee_ID]]</f>
        <v>EMP1242</v>
      </c>
      <c r="B244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244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244" t="b">
        <f>_xlfn.LET(
     _xlpm.d, Employee_dataset[[#This Row],[Join_Date]],
     IF(
        ISNUMBER(_xlpm.d),TRUE,FALSE
       )
    )</f>
        <v>1</v>
      </c>
      <c r="E244" t="b">
        <f>IF(ISERROR(_xlfn.NUMBERVALUE(Employee_dataset[[#This Row],[Salary]])),FALSE,TRUE)</f>
        <v>1</v>
      </c>
      <c r="F244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244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245" spans="1:7" x14ac:dyDescent="0.3">
      <c r="A245" t="str">
        <f>Employee_dataset[[#This Row],[Employee_ID]]</f>
        <v>EMP1243</v>
      </c>
      <c r="B245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245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245" t="b">
        <f>_xlfn.LET(
     _xlpm.d, Employee_dataset[[#This Row],[Join_Date]],
     IF(
        ISNUMBER(_xlpm.d),TRUE,FALSE
       )
    )</f>
        <v>1</v>
      </c>
      <c r="E245" t="b">
        <f>IF(ISERROR(_xlfn.NUMBERVALUE(Employee_dataset[[#This Row],[Salary]])),FALSE,TRUE)</f>
        <v>1</v>
      </c>
      <c r="F245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245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246" spans="1:7" x14ac:dyDescent="0.3">
      <c r="A246" t="str">
        <f>Employee_dataset[[#This Row],[Employee_ID]]</f>
        <v>EMP1244</v>
      </c>
      <c r="B246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246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246" t="b">
        <f>_xlfn.LET(
     _xlpm.d, Employee_dataset[[#This Row],[Join_Date]],
     IF(
        ISNUMBER(_xlpm.d),TRUE,FALSE
       )
    )</f>
        <v>1</v>
      </c>
      <c r="E246" t="b">
        <f>IF(ISERROR(_xlfn.NUMBERVALUE(Employee_dataset[[#This Row],[Salary]])),FALSE,TRUE)</f>
        <v>1</v>
      </c>
      <c r="F246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246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247" spans="1:7" x14ac:dyDescent="0.3">
      <c r="A247" t="str">
        <f>Employee_dataset[[#This Row],[Employee_ID]]</f>
        <v>EMP1245</v>
      </c>
      <c r="B247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247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247" t="b">
        <f>_xlfn.LET(
     _xlpm.d, Employee_dataset[[#This Row],[Join_Date]],
     IF(
        ISNUMBER(_xlpm.d),TRUE,FALSE
       )
    )</f>
        <v>1</v>
      </c>
      <c r="E247" t="b">
        <f>IF(ISERROR(_xlfn.NUMBERVALUE(Employee_dataset[[#This Row],[Salary]])),FALSE,TRUE)</f>
        <v>1</v>
      </c>
      <c r="F247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247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248" spans="1:7" x14ac:dyDescent="0.3">
      <c r="A248" t="str">
        <f>Employee_dataset[[#This Row],[Employee_ID]]</f>
        <v>EMP1246</v>
      </c>
      <c r="B248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248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248" t="b">
        <f>_xlfn.LET(
     _xlpm.d, Employee_dataset[[#This Row],[Join_Date]],
     IF(
        ISNUMBER(_xlpm.d),TRUE,FALSE
       )
    )</f>
        <v>1</v>
      </c>
      <c r="E248" t="b">
        <f>IF(ISERROR(_xlfn.NUMBERVALUE(Employee_dataset[[#This Row],[Salary]])),FALSE,TRUE)</f>
        <v>1</v>
      </c>
      <c r="F248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248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249" spans="1:7" x14ac:dyDescent="0.3">
      <c r="A249" t="str">
        <f>Employee_dataset[[#This Row],[Employee_ID]]</f>
        <v>EMP1247</v>
      </c>
      <c r="B249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249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249" t="b">
        <f>_xlfn.LET(
     _xlpm.d, Employee_dataset[[#This Row],[Join_Date]],
     IF(
        ISNUMBER(_xlpm.d),TRUE,FALSE
       )
    )</f>
        <v>1</v>
      </c>
      <c r="E249" t="b">
        <f>IF(ISERROR(_xlfn.NUMBERVALUE(Employee_dataset[[#This Row],[Salary]])),FALSE,TRUE)</f>
        <v>1</v>
      </c>
      <c r="F249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249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250" spans="1:7" x14ac:dyDescent="0.3">
      <c r="A250" t="str">
        <f>Employee_dataset[[#This Row],[Employee_ID]]</f>
        <v>EMP1248</v>
      </c>
      <c r="B250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250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250" t="b">
        <f>_xlfn.LET(
     _xlpm.d, Employee_dataset[[#This Row],[Join_Date]],
     IF(
        ISNUMBER(_xlpm.d),TRUE,FALSE
       )
    )</f>
        <v>1</v>
      </c>
      <c r="E250" t="b">
        <f>IF(ISERROR(_xlfn.NUMBERVALUE(Employee_dataset[[#This Row],[Salary]])),FALSE,TRUE)</f>
        <v>1</v>
      </c>
      <c r="F250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250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251" spans="1:7" x14ac:dyDescent="0.3">
      <c r="A251" t="str">
        <f>Employee_dataset[[#This Row],[Employee_ID]]</f>
        <v>EMP1249</v>
      </c>
      <c r="B251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251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251" t="b">
        <f>_xlfn.LET(
     _xlpm.d, Employee_dataset[[#This Row],[Join_Date]],
     IF(
        ISNUMBER(_xlpm.d),TRUE,FALSE
       )
    )</f>
        <v>1</v>
      </c>
      <c r="E251" t="b">
        <f>IF(ISERROR(_xlfn.NUMBERVALUE(Employee_dataset[[#This Row],[Salary]])),FALSE,TRUE)</f>
        <v>1</v>
      </c>
      <c r="F251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251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252" spans="1:7" x14ac:dyDescent="0.3">
      <c r="A252" t="str">
        <f>Employee_dataset[[#This Row],[Employee_ID]]</f>
        <v>EMP1250</v>
      </c>
      <c r="B252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252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0</v>
      </c>
      <c r="D252" t="b">
        <f>_xlfn.LET(
     _xlpm.d, Employee_dataset[[#This Row],[Join_Date]],
     IF(
        ISNUMBER(_xlpm.d),TRUE,FALSE
       )
    )</f>
        <v>1</v>
      </c>
      <c r="E252" t="b">
        <f>IF(ISERROR(_xlfn.NUMBERVALUE(Employee_dataset[[#This Row],[Salary]])),FALSE,TRUE)</f>
        <v>1</v>
      </c>
      <c r="F252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>Phone</v>
      </c>
      <c r="G252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253" spans="1:7" x14ac:dyDescent="0.3">
      <c r="A253" t="str">
        <f>Employee_dataset[[#This Row],[Employee_ID]]</f>
        <v>EMP1251</v>
      </c>
      <c r="B253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253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253" t="b">
        <f>_xlfn.LET(
     _xlpm.d, Employee_dataset[[#This Row],[Join_Date]],
     IF(
        ISNUMBER(_xlpm.d),TRUE,FALSE
       )
    )</f>
        <v>1</v>
      </c>
      <c r="E253" t="b">
        <f>IF(ISERROR(_xlfn.NUMBERVALUE(Employee_dataset[[#This Row],[Salary]])),FALSE,TRUE)</f>
        <v>1</v>
      </c>
      <c r="F253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253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254" spans="1:7" x14ac:dyDescent="0.3">
      <c r="A254" t="str">
        <f>Employee_dataset[[#This Row],[Employee_ID]]</f>
        <v>EMP1252</v>
      </c>
      <c r="B254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254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254" t="b">
        <f>_xlfn.LET(
     _xlpm.d, Employee_dataset[[#This Row],[Join_Date]],
     IF(
        ISNUMBER(_xlpm.d),TRUE,FALSE
       )
    )</f>
        <v>1</v>
      </c>
      <c r="E254" t="b">
        <f>IF(ISERROR(_xlfn.NUMBERVALUE(Employee_dataset[[#This Row],[Salary]])),FALSE,TRUE)</f>
        <v>1</v>
      </c>
      <c r="F254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254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255" spans="1:7" x14ac:dyDescent="0.3">
      <c r="A255" t="str">
        <f>Employee_dataset[[#This Row],[Employee_ID]]</f>
        <v>EMP1253</v>
      </c>
      <c r="B255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255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255" t="b">
        <f>_xlfn.LET(
     _xlpm.d, Employee_dataset[[#This Row],[Join_Date]],
     IF(
        ISNUMBER(_xlpm.d),TRUE,FALSE
       )
    )</f>
        <v>1</v>
      </c>
      <c r="E255" t="b">
        <f>IF(ISERROR(_xlfn.NUMBERVALUE(Employee_dataset[[#This Row],[Salary]])),FALSE,TRUE)</f>
        <v>1</v>
      </c>
      <c r="F255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255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256" spans="1:7" x14ac:dyDescent="0.3">
      <c r="A256" t="str">
        <f>Employee_dataset[[#This Row],[Employee_ID]]</f>
        <v>EMP1254</v>
      </c>
      <c r="B256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256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256" t="b">
        <f>_xlfn.LET(
     _xlpm.d, Employee_dataset[[#This Row],[Join_Date]],
     IF(
        ISNUMBER(_xlpm.d),TRUE,FALSE
       )
    )</f>
        <v>1</v>
      </c>
      <c r="E256" t="b">
        <f>IF(ISERROR(_xlfn.NUMBERVALUE(Employee_dataset[[#This Row],[Salary]])),FALSE,TRUE)</f>
        <v>1</v>
      </c>
      <c r="F256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256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257" spans="1:7" x14ac:dyDescent="0.3">
      <c r="A257" t="str">
        <f>Employee_dataset[[#This Row],[Employee_ID]]</f>
        <v>EMP1255</v>
      </c>
      <c r="B257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257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257" t="b">
        <f>_xlfn.LET(
     _xlpm.d, Employee_dataset[[#This Row],[Join_Date]],
     IF(
        ISNUMBER(_xlpm.d),TRUE,FALSE
       )
    )</f>
        <v>1</v>
      </c>
      <c r="E257" t="b">
        <f>IF(ISERROR(_xlfn.NUMBERVALUE(Employee_dataset[[#This Row],[Salary]])),FALSE,TRUE)</f>
        <v>1</v>
      </c>
      <c r="F257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257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258" spans="1:7" x14ac:dyDescent="0.3">
      <c r="A258" t="str">
        <f>Employee_dataset[[#This Row],[Employee_ID]]</f>
        <v>EMP1256</v>
      </c>
      <c r="B258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258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258" t="b">
        <f>_xlfn.LET(
     _xlpm.d, Employee_dataset[[#This Row],[Join_Date]],
     IF(
        ISNUMBER(_xlpm.d),TRUE,FALSE
       )
    )</f>
        <v>1</v>
      </c>
      <c r="E258" t="b">
        <f>IF(ISERROR(_xlfn.NUMBERVALUE(Employee_dataset[[#This Row],[Salary]])),FALSE,TRUE)</f>
        <v>1</v>
      </c>
      <c r="F258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258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259" spans="1:7" x14ac:dyDescent="0.3">
      <c r="A259" t="str">
        <f>Employee_dataset[[#This Row],[Employee_ID]]</f>
        <v>EMP1257</v>
      </c>
      <c r="B259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259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259" t="b">
        <f>_xlfn.LET(
     _xlpm.d, Employee_dataset[[#This Row],[Join_Date]],
     IF(
        ISNUMBER(_xlpm.d),TRUE,FALSE
       )
    )</f>
        <v>1</v>
      </c>
      <c r="E259" t="b">
        <f>IF(ISERROR(_xlfn.NUMBERVALUE(Employee_dataset[[#This Row],[Salary]])),FALSE,TRUE)</f>
        <v>1</v>
      </c>
      <c r="F259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259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260" spans="1:7" x14ac:dyDescent="0.3">
      <c r="A260" t="str">
        <f>Employee_dataset[[#This Row],[Employee_ID]]</f>
        <v>EMP1258</v>
      </c>
      <c r="B260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260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260" t="b">
        <f>_xlfn.LET(
     _xlpm.d, Employee_dataset[[#This Row],[Join_Date]],
     IF(
        ISNUMBER(_xlpm.d),TRUE,FALSE
       )
    )</f>
        <v>1</v>
      </c>
      <c r="E260" t="b">
        <f>IF(ISERROR(_xlfn.NUMBERVALUE(Employee_dataset[[#This Row],[Salary]])),FALSE,TRUE)</f>
        <v>1</v>
      </c>
      <c r="F260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260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261" spans="1:7" x14ac:dyDescent="0.3">
      <c r="A261" t="str">
        <f>Employee_dataset[[#This Row],[Employee_ID]]</f>
        <v>EMP1259</v>
      </c>
      <c r="B261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261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0</v>
      </c>
      <c r="D261" t="b">
        <f>_xlfn.LET(
     _xlpm.d, Employee_dataset[[#This Row],[Join_Date]],
     IF(
        ISNUMBER(_xlpm.d),TRUE,FALSE
       )
    )</f>
        <v>1</v>
      </c>
      <c r="E261" t="b">
        <f>IF(ISERROR(_xlfn.NUMBERVALUE(Employee_dataset[[#This Row],[Salary]])),FALSE,TRUE)</f>
        <v>1</v>
      </c>
      <c r="F261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>Phone</v>
      </c>
      <c r="G261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262" spans="1:7" x14ac:dyDescent="0.3">
      <c r="A262" t="str">
        <f>Employee_dataset[[#This Row],[Employee_ID]]</f>
        <v>EMP1260</v>
      </c>
      <c r="B262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262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0</v>
      </c>
      <c r="D262" t="b">
        <f>_xlfn.LET(
     _xlpm.d, Employee_dataset[[#This Row],[Join_Date]],
     IF(
        ISNUMBER(_xlpm.d),TRUE,FALSE
       )
    )</f>
        <v>1</v>
      </c>
      <c r="E262" t="b">
        <f>IF(ISERROR(_xlfn.NUMBERVALUE(Employee_dataset[[#This Row],[Salary]])),FALSE,TRUE)</f>
        <v>1</v>
      </c>
      <c r="F262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>Phone</v>
      </c>
      <c r="G262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263" spans="1:7" x14ac:dyDescent="0.3">
      <c r="A263" t="str">
        <f>Employee_dataset[[#This Row],[Employee_ID]]</f>
        <v>EMP1261</v>
      </c>
      <c r="B263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263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263" t="b">
        <f>_xlfn.LET(
     _xlpm.d, Employee_dataset[[#This Row],[Join_Date]],
     IF(
        ISNUMBER(_xlpm.d),TRUE,FALSE
       )
    )</f>
        <v>1</v>
      </c>
      <c r="E263" t="b">
        <f>IF(ISERROR(_xlfn.NUMBERVALUE(Employee_dataset[[#This Row],[Salary]])),FALSE,TRUE)</f>
        <v>1</v>
      </c>
      <c r="F263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263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264" spans="1:7" x14ac:dyDescent="0.3">
      <c r="A264" t="str">
        <f>Employee_dataset[[#This Row],[Employee_ID]]</f>
        <v>EMP1262</v>
      </c>
      <c r="B264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264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264" t="b">
        <f>_xlfn.LET(
     _xlpm.d, Employee_dataset[[#This Row],[Join_Date]],
     IF(
        ISNUMBER(_xlpm.d),TRUE,FALSE
       )
    )</f>
        <v>1</v>
      </c>
      <c r="E264" t="b">
        <f>IF(ISERROR(_xlfn.NUMBERVALUE(Employee_dataset[[#This Row],[Salary]])),FALSE,TRUE)</f>
        <v>1</v>
      </c>
      <c r="F264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264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265" spans="1:7" x14ac:dyDescent="0.3">
      <c r="A265" t="str">
        <f>Employee_dataset[[#This Row],[Employee_ID]]</f>
        <v>EMP1263</v>
      </c>
      <c r="B265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265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265" t="b">
        <f>_xlfn.LET(
     _xlpm.d, Employee_dataset[[#This Row],[Join_Date]],
     IF(
        ISNUMBER(_xlpm.d),TRUE,FALSE
       )
    )</f>
        <v>1</v>
      </c>
      <c r="E265" t="b">
        <f>IF(ISERROR(_xlfn.NUMBERVALUE(Employee_dataset[[#This Row],[Salary]])),FALSE,TRUE)</f>
        <v>1</v>
      </c>
      <c r="F265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265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266" spans="1:7" x14ac:dyDescent="0.3">
      <c r="A266" t="str">
        <f>Employee_dataset[[#This Row],[Employee_ID]]</f>
        <v>EMP1264</v>
      </c>
      <c r="B266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266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266" t="b">
        <f>_xlfn.LET(
     _xlpm.d, Employee_dataset[[#This Row],[Join_Date]],
     IF(
        ISNUMBER(_xlpm.d),TRUE,FALSE
       )
    )</f>
        <v>1</v>
      </c>
      <c r="E266" t="b">
        <f>IF(ISERROR(_xlfn.NUMBERVALUE(Employee_dataset[[#This Row],[Salary]])),FALSE,TRUE)</f>
        <v>1</v>
      </c>
      <c r="F266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266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267" spans="1:7" x14ac:dyDescent="0.3">
      <c r="A267" t="str">
        <f>Employee_dataset[[#This Row],[Employee_ID]]</f>
        <v>EMP1265</v>
      </c>
      <c r="B267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267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267" t="b">
        <f>_xlfn.LET(
     _xlpm.d, Employee_dataset[[#This Row],[Join_Date]],
     IF(
        ISNUMBER(_xlpm.d),TRUE,FALSE
       )
    )</f>
        <v>1</v>
      </c>
      <c r="E267" t="b">
        <f>IF(ISERROR(_xlfn.NUMBERVALUE(Employee_dataset[[#This Row],[Salary]])),FALSE,TRUE)</f>
        <v>1</v>
      </c>
      <c r="F267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267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268" spans="1:7" x14ac:dyDescent="0.3">
      <c r="A268" t="str">
        <f>Employee_dataset[[#This Row],[Employee_ID]]</f>
        <v>EMP1266</v>
      </c>
      <c r="B268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268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268" t="b">
        <f>_xlfn.LET(
     _xlpm.d, Employee_dataset[[#This Row],[Join_Date]],
     IF(
        ISNUMBER(_xlpm.d),TRUE,FALSE
       )
    )</f>
        <v>1</v>
      </c>
      <c r="E268" t="b">
        <f>IF(ISERROR(_xlfn.NUMBERVALUE(Employee_dataset[[#This Row],[Salary]])),FALSE,TRUE)</f>
        <v>1</v>
      </c>
      <c r="F268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268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269" spans="1:7" x14ac:dyDescent="0.3">
      <c r="A269" t="str">
        <f>Employee_dataset[[#This Row],[Employee_ID]]</f>
        <v>EMP1267</v>
      </c>
      <c r="B269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269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269" t="b">
        <f>_xlfn.LET(
     _xlpm.d, Employee_dataset[[#This Row],[Join_Date]],
     IF(
        ISNUMBER(_xlpm.d),TRUE,FALSE
       )
    )</f>
        <v>1</v>
      </c>
      <c r="E269" t="b">
        <f>IF(ISERROR(_xlfn.NUMBERVALUE(Employee_dataset[[#This Row],[Salary]])),FALSE,TRUE)</f>
        <v>1</v>
      </c>
      <c r="F269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269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270" spans="1:7" x14ac:dyDescent="0.3">
      <c r="A270" t="str">
        <f>Employee_dataset[[#This Row],[Employee_ID]]</f>
        <v>EMP1268</v>
      </c>
      <c r="B270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270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0</v>
      </c>
      <c r="D270" t="b">
        <f>_xlfn.LET(
     _xlpm.d, Employee_dataset[[#This Row],[Join_Date]],
     IF(
        ISNUMBER(_xlpm.d),TRUE,FALSE
       )
    )</f>
        <v>1</v>
      </c>
      <c r="E270" t="b">
        <f>IF(ISERROR(_xlfn.NUMBERVALUE(Employee_dataset[[#This Row],[Salary]])),FALSE,TRUE)</f>
        <v>1</v>
      </c>
      <c r="F270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>Phone</v>
      </c>
      <c r="G270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271" spans="1:7" x14ac:dyDescent="0.3">
      <c r="A271" t="str">
        <f>Employee_dataset[[#This Row],[Employee_ID]]</f>
        <v>EMP1269</v>
      </c>
      <c r="B271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271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271" t="b">
        <f>_xlfn.LET(
     _xlpm.d, Employee_dataset[[#This Row],[Join_Date]],
     IF(
        ISNUMBER(_xlpm.d),TRUE,FALSE
       )
    )</f>
        <v>1</v>
      </c>
      <c r="E271" t="b">
        <f>IF(ISERROR(_xlfn.NUMBERVALUE(Employee_dataset[[#This Row],[Salary]])),FALSE,TRUE)</f>
        <v>1</v>
      </c>
      <c r="F271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271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272" spans="1:7" x14ac:dyDescent="0.3">
      <c r="A272" t="str">
        <f>Employee_dataset[[#This Row],[Employee_ID]]</f>
        <v>EMP1270</v>
      </c>
      <c r="B272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272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272" t="b">
        <f>_xlfn.LET(
     _xlpm.d, Employee_dataset[[#This Row],[Join_Date]],
     IF(
        ISNUMBER(_xlpm.d),TRUE,FALSE
       )
    )</f>
        <v>1</v>
      </c>
      <c r="E272" t="b">
        <f>IF(ISERROR(_xlfn.NUMBERVALUE(Employee_dataset[[#This Row],[Salary]])),FALSE,TRUE)</f>
        <v>1</v>
      </c>
      <c r="F272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272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273" spans="1:7" x14ac:dyDescent="0.3">
      <c r="A273" t="str">
        <f>Employee_dataset[[#This Row],[Employee_ID]]</f>
        <v>EMP1271</v>
      </c>
      <c r="B273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273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273" t="b">
        <f>_xlfn.LET(
     _xlpm.d, Employee_dataset[[#This Row],[Join_Date]],
     IF(
        ISNUMBER(_xlpm.d),TRUE,FALSE
       )
    )</f>
        <v>1</v>
      </c>
      <c r="E273" t="b">
        <f>IF(ISERROR(_xlfn.NUMBERVALUE(Employee_dataset[[#This Row],[Salary]])),FALSE,TRUE)</f>
        <v>1</v>
      </c>
      <c r="F273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273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274" spans="1:7" x14ac:dyDescent="0.3">
      <c r="A274" t="str">
        <f>Employee_dataset[[#This Row],[Employee_ID]]</f>
        <v>EMP1272</v>
      </c>
      <c r="B274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274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274" t="b">
        <f>_xlfn.LET(
     _xlpm.d, Employee_dataset[[#This Row],[Join_Date]],
     IF(
        ISNUMBER(_xlpm.d),TRUE,FALSE
       )
    )</f>
        <v>1</v>
      </c>
      <c r="E274" t="b">
        <f>IF(ISERROR(_xlfn.NUMBERVALUE(Employee_dataset[[#This Row],[Salary]])),FALSE,TRUE)</f>
        <v>1</v>
      </c>
      <c r="F274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274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275" spans="1:7" x14ac:dyDescent="0.3">
      <c r="A275" t="str">
        <f>Employee_dataset[[#This Row],[Employee_ID]]</f>
        <v>EMP1273</v>
      </c>
      <c r="B275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275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275" t="b">
        <f>_xlfn.LET(
     _xlpm.d, Employee_dataset[[#This Row],[Join_Date]],
     IF(
        ISNUMBER(_xlpm.d),TRUE,FALSE
       )
    )</f>
        <v>1</v>
      </c>
      <c r="E275" t="b">
        <f>IF(ISERROR(_xlfn.NUMBERVALUE(Employee_dataset[[#This Row],[Salary]])),FALSE,TRUE)</f>
        <v>1</v>
      </c>
      <c r="F275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275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276" spans="1:7" x14ac:dyDescent="0.3">
      <c r="A276" t="str">
        <f>Employee_dataset[[#This Row],[Employee_ID]]</f>
        <v>EMP1274</v>
      </c>
      <c r="B276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276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0</v>
      </c>
      <c r="D276" t="b">
        <f>_xlfn.LET(
     _xlpm.d, Employee_dataset[[#This Row],[Join_Date]],
     IF(
        ISNUMBER(_xlpm.d),TRUE,FALSE
       )
    )</f>
        <v>1</v>
      </c>
      <c r="E276" t="b">
        <f>IF(ISERROR(_xlfn.NUMBERVALUE(Employee_dataset[[#This Row],[Salary]])),FALSE,TRUE)</f>
        <v>1</v>
      </c>
      <c r="F276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>Phone</v>
      </c>
      <c r="G276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277" spans="1:7" x14ac:dyDescent="0.3">
      <c r="A277" t="str">
        <f>Employee_dataset[[#This Row],[Employee_ID]]</f>
        <v>EMP1275</v>
      </c>
      <c r="B277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277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0</v>
      </c>
      <c r="D277" t="b">
        <f>_xlfn.LET(
     _xlpm.d, Employee_dataset[[#This Row],[Join_Date]],
     IF(
        ISNUMBER(_xlpm.d),TRUE,FALSE
       )
    )</f>
        <v>1</v>
      </c>
      <c r="E277" t="b">
        <f>IF(ISERROR(_xlfn.NUMBERVALUE(Employee_dataset[[#This Row],[Salary]])),FALSE,TRUE)</f>
        <v>1</v>
      </c>
      <c r="F277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>Phone</v>
      </c>
      <c r="G277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278" spans="1:7" x14ac:dyDescent="0.3">
      <c r="A278" t="str">
        <f>Employee_dataset[[#This Row],[Employee_ID]]</f>
        <v>EMP1276</v>
      </c>
      <c r="B278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278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278" t="b">
        <f>_xlfn.LET(
     _xlpm.d, Employee_dataset[[#This Row],[Join_Date]],
     IF(
        ISNUMBER(_xlpm.d),TRUE,FALSE
       )
    )</f>
        <v>1</v>
      </c>
      <c r="E278" t="b">
        <f>IF(ISERROR(_xlfn.NUMBERVALUE(Employee_dataset[[#This Row],[Salary]])),FALSE,TRUE)</f>
        <v>1</v>
      </c>
      <c r="F278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278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279" spans="1:7" x14ac:dyDescent="0.3">
      <c r="A279" t="str">
        <f>Employee_dataset[[#This Row],[Employee_ID]]</f>
        <v>EMP1277</v>
      </c>
      <c r="B279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279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279" t="b">
        <f>_xlfn.LET(
     _xlpm.d, Employee_dataset[[#This Row],[Join_Date]],
     IF(
        ISNUMBER(_xlpm.d),TRUE,FALSE
       )
    )</f>
        <v>1</v>
      </c>
      <c r="E279" t="b">
        <f>IF(ISERROR(_xlfn.NUMBERVALUE(Employee_dataset[[#This Row],[Salary]])),FALSE,TRUE)</f>
        <v>1</v>
      </c>
      <c r="F279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279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280" spans="1:7" x14ac:dyDescent="0.3">
      <c r="A280" t="str">
        <f>Employee_dataset[[#This Row],[Employee_ID]]</f>
        <v>EMP1278</v>
      </c>
      <c r="B280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280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280" t="b">
        <f>_xlfn.LET(
     _xlpm.d, Employee_dataset[[#This Row],[Join_Date]],
     IF(
        ISNUMBER(_xlpm.d),TRUE,FALSE
       )
    )</f>
        <v>1</v>
      </c>
      <c r="E280" t="b">
        <f>IF(ISERROR(_xlfn.NUMBERVALUE(Employee_dataset[[#This Row],[Salary]])),FALSE,TRUE)</f>
        <v>1</v>
      </c>
      <c r="F280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280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281" spans="1:7" x14ac:dyDescent="0.3">
      <c r="A281" t="str">
        <f>Employee_dataset[[#This Row],[Employee_ID]]</f>
        <v>EMP1279</v>
      </c>
      <c r="B281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281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281" t="b">
        <f>_xlfn.LET(
     _xlpm.d, Employee_dataset[[#This Row],[Join_Date]],
     IF(
        ISNUMBER(_xlpm.d),TRUE,FALSE
       )
    )</f>
        <v>1</v>
      </c>
      <c r="E281" t="b">
        <f>IF(ISERROR(_xlfn.NUMBERVALUE(Employee_dataset[[#This Row],[Salary]])),FALSE,TRUE)</f>
        <v>1</v>
      </c>
      <c r="F281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281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282" spans="1:7" x14ac:dyDescent="0.3">
      <c r="A282" t="str">
        <f>Employee_dataset[[#This Row],[Employee_ID]]</f>
        <v>EMP1280</v>
      </c>
      <c r="B282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282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282" t="b">
        <f>_xlfn.LET(
     _xlpm.d, Employee_dataset[[#This Row],[Join_Date]],
     IF(
        ISNUMBER(_xlpm.d),TRUE,FALSE
       )
    )</f>
        <v>1</v>
      </c>
      <c r="E282" t="b">
        <f>IF(ISERROR(_xlfn.NUMBERVALUE(Employee_dataset[[#This Row],[Salary]])),FALSE,TRUE)</f>
        <v>1</v>
      </c>
      <c r="F282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282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283" spans="1:7" x14ac:dyDescent="0.3">
      <c r="A283" t="str">
        <f>Employee_dataset[[#This Row],[Employee_ID]]</f>
        <v>EMP1281</v>
      </c>
      <c r="B283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283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283" t="b">
        <f>_xlfn.LET(
     _xlpm.d, Employee_dataset[[#This Row],[Join_Date]],
     IF(
        ISNUMBER(_xlpm.d),TRUE,FALSE
       )
    )</f>
        <v>1</v>
      </c>
      <c r="E283" t="b">
        <f>IF(ISERROR(_xlfn.NUMBERVALUE(Employee_dataset[[#This Row],[Salary]])),FALSE,TRUE)</f>
        <v>1</v>
      </c>
      <c r="F283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283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284" spans="1:7" x14ac:dyDescent="0.3">
      <c r="A284" t="str">
        <f>Employee_dataset[[#This Row],[Employee_ID]]</f>
        <v>EMP1282</v>
      </c>
      <c r="B284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284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284" t="b">
        <f>_xlfn.LET(
     _xlpm.d, Employee_dataset[[#This Row],[Join_Date]],
     IF(
        ISNUMBER(_xlpm.d),TRUE,FALSE
       )
    )</f>
        <v>1</v>
      </c>
      <c r="E284" t="b">
        <f>IF(ISERROR(_xlfn.NUMBERVALUE(Employee_dataset[[#This Row],[Salary]])),FALSE,TRUE)</f>
        <v>1</v>
      </c>
      <c r="F284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284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285" spans="1:7" x14ac:dyDescent="0.3">
      <c r="A285" t="str">
        <f>Employee_dataset[[#This Row],[Employee_ID]]</f>
        <v>EMP1283</v>
      </c>
      <c r="B285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285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285" t="b">
        <f>_xlfn.LET(
     _xlpm.d, Employee_dataset[[#This Row],[Join_Date]],
     IF(
        ISNUMBER(_xlpm.d),TRUE,FALSE
       )
    )</f>
        <v>1</v>
      </c>
      <c r="E285" t="b">
        <f>IF(ISERROR(_xlfn.NUMBERVALUE(Employee_dataset[[#This Row],[Salary]])),FALSE,TRUE)</f>
        <v>1</v>
      </c>
      <c r="F285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285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286" spans="1:7" x14ac:dyDescent="0.3">
      <c r="A286" t="str">
        <f>Employee_dataset[[#This Row],[Employee_ID]]</f>
        <v>EMP1284</v>
      </c>
      <c r="B286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286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286" t="b">
        <f>_xlfn.LET(
     _xlpm.d, Employee_dataset[[#This Row],[Join_Date]],
     IF(
        ISNUMBER(_xlpm.d),TRUE,FALSE
       )
    )</f>
        <v>1</v>
      </c>
      <c r="E286" t="b">
        <f>IF(ISERROR(_xlfn.NUMBERVALUE(Employee_dataset[[#This Row],[Salary]])),FALSE,TRUE)</f>
        <v>1</v>
      </c>
      <c r="F286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286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287" spans="1:7" x14ac:dyDescent="0.3">
      <c r="A287" t="str">
        <f>Employee_dataset[[#This Row],[Employee_ID]]</f>
        <v>EMP1285</v>
      </c>
      <c r="B287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287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287" t="b">
        <f>_xlfn.LET(
     _xlpm.d, Employee_dataset[[#This Row],[Join_Date]],
     IF(
        ISNUMBER(_xlpm.d),TRUE,FALSE
       )
    )</f>
        <v>1</v>
      </c>
      <c r="E287" t="b">
        <f>IF(ISERROR(_xlfn.NUMBERVALUE(Employee_dataset[[#This Row],[Salary]])),FALSE,TRUE)</f>
        <v>1</v>
      </c>
      <c r="F287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287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288" spans="1:7" x14ac:dyDescent="0.3">
      <c r="A288" t="str">
        <f>Employee_dataset[[#This Row],[Employee_ID]]</f>
        <v>EMP1286</v>
      </c>
      <c r="B288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288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288" t="b">
        <f>_xlfn.LET(
     _xlpm.d, Employee_dataset[[#This Row],[Join_Date]],
     IF(
        ISNUMBER(_xlpm.d),TRUE,FALSE
       )
    )</f>
        <v>1</v>
      </c>
      <c r="E288" t="b">
        <f>IF(ISERROR(_xlfn.NUMBERVALUE(Employee_dataset[[#This Row],[Salary]])),FALSE,TRUE)</f>
        <v>1</v>
      </c>
      <c r="F288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288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289" spans="1:7" x14ac:dyDescent="0.3">
      <c r="A289" t="str">
        <f>Employee_dataset[[#This Row],[Employee_ID]]</f>
        <v>EMP1287</v>
      </c>
      <c r="B289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289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289" t="b">
        <f>_xlfn.LET(
     _xlpm.d, Employee_dataset[[#This Row],[Join_Date]],
     IF(
        ISNUMBER(_xlpm.d),TRUE,FALSE
       )
    )</f>
        <v>1</v>
      </c>
      <c r="E289" t="b">
        <f>IF(ISERROR(_xlfn.NUMBERVALUE(Employee_dataset[[#This Row],[Salary]])),FALSE,TRUE)</f>
        <v>1</v>
      </c>
      <c r="F289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289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290" spans="1:7" x14ac:dyDescent="0.3">
      <c r="A290" t="str">
        <f>Employee_dataset[[#This Row],[Employee_ID]]</f>
        <v>EMP1288</v>
      </c>
      <c r="B290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290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290" t="b">
        <f>_xlfn.LET(
     _xlpm.d, Employee_dataset[[#This Row],[Join_Date]],
     IF(
        ISNUMBER(_xlpm.d),TRUE,FALSE
       )
    )</f>
        <v>1</v>
      </c>
      <c r="E290" t="b">
        <f>IF(ISERROR(_xlfn.NUMBERVALUE(Employee_dataset[[#This Row],[Salary]])),FALSE,TRUE)</f>
        <v>1</v>
      </c>
      <c r="F290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290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291" spans="1:7" x14ac:dyDescent="0.3">
      <c r="A291" t="str">
        <f>Employee_dataset[[#This Row],[Employee_ID]]</f>
        <v>EMP1289</v>
      </c>
      <c r="B291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291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291" t="b">
        <f>_xlfn.LET(
     _xlpm.d, Employee_dataset[[#This Row],[Join_Date]],
     IF(
        ISNUMBER(_xlpm.d),TRUE,FALSE
       )
    )</f>
        <v>1</v>
      </c>
      <c r="E291" t="b">
        <f>IF(ISERROR(_xlfn.NUMBERVALUE(Employee_dataset[[#This Row],[Salary]])),FALSE,TRUE)</f>
        <v>0</v>
      </c>
      <c r="F291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>Salary</v>
      </c>
      <c r="G291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292" spans="1:7" x14ac:dyDescent="0.3">
      <c r="A292" t="str">
        <f>Employee_dataset[[#This Row],[Employee_ID]]</f>
        <v>EMP1290</v>
      </c>
      <c r="B292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292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292" t="b">
        <f>_xlfn.LET(
     _xlpm.d, Employee_dataset[[#This Row],[Join_Date]],
     IF(
        ISNUMBER(_xlpm.d),TRUE,FALSE
       )
    )</f>
        <v>1</v>
      </c>
      <c r="E292" t="b">
        <f>IF(ISERROR(_xlfn.NUMBERVALUE(Employee_dataset[[#This Row],[Salary]])),FALSE,TRUE)</f>
        <v>1</v>
      </c>
      <c r="F292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292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293" spans="1:7" x14ac:dyDescent="0.3">
      <c r="A293" t="str">
        <f>Employee_dataset[[#This Row],[Employee_ID]]</f>
        <v>EMP1291</v>
      </c>
      <c r="B293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293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293" t="b">
        <f>_xlfn.LET(
     _xlpm.d, Employee_dataset[[#This Row],[Join_Date]],
     IF(
        ISNUMBER(_xlpm.d),TRUE,FALSE
       )
    )</f>
        <v>1</v>
      </c>
      <c r="E293" t="b">
        <f>IF(ISERROR(_xlfn.NUMBERVALUE(Employee_dataset[[#This Row],[Salary]])),FALSE,TRUE)</f>
        <v>1</v>
      </c>
      <c r="F293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293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294" spans="1:7" x14ac:dyDescent="0.3">
      <c r="A294" t="str">
        <f>Employee_dataset[[#This Row],[Employee_ID]]</f>
        <v>EMP1292</v>
      </c>
      <c r="B294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294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294" t="b">
        <f>_xlfn.LET(
     _xlpm.d, Employee_dataset[[#This Row],[Join_Date]],
     IF(
        ISNUMBER(_xlpm.d),TRUE,FALSE
       )
    )</f>
        <v>1</v>
      </c>
      <c r="E294" t="b">
        <f>IF(ISERROR(_xlfn.NUMBERVALUE(Employee_dataset[[#This Row],[Salary]])),FALSE,TRUE)</f>
        <v>1</v>
      </c>
      <c r="F294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294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295" spans="1:7" x14ac:dyDescent="0.3">
      <c r="A295" t="str">
        <f>Employee_dataset[[#This Row],[Employee_ID]]</f>
        <v>EMP1293</v>
      </c>
      <c r="B295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295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295" t="b">
        <f>_xlfn.LET(
     _xlpm.d, Employee_dataset[[#This Row],[Join_Date]],
     IF(
        ISNUMBER(_xlpm.d),TRUE,FALSE
       )
    )</f>
        <v>1</v>
      </c>
      <c r="E295" t="b">
        <f>IF(ISERROR(_xlfn.NUMBERVALUE(Employee_dataset[[#This Row],[Salary]])),FALSE,TRUE)</f>
        <v>1</v>
      </c>
      <c r="F295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295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296" spans="1:7" x14ac:dyDescent="0.3">
      <c r="A296" t="str">
        <f>Employee_dataset[[#This Row],[Employee_ID]]</f>
        <v>EMP1294</v>
      </c>
      <c r="B296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296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296" t="b">
        <f>_xlfn.LET(
     _xlpm.d, Employee_dataset[[#This Row],[Join_Date]],
     IF(
        ISNUMBER(_xlpm.d),TRUE,FALSE
       )
    )</f>
        <v>1</v>
      </c>
      <c r="E296" t="b">
        <f>IF(ISERROR(_xlfn.NUMBERVALUE(Employee_dataset[[#This Row],[Salary]])),FALSE,TRUE)</f>
        <v>1</v>
      </c>
      <c r="F296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296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297" spans="1:7" x14ac:dyDescent="0.3">
      <c r="A297" t="str">
        <f>Employee_dataset[[#This Row],[Employee_ID]]</f>
        <v>EMP1295</v>
      </c>
      <c r="B297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297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297" t="b">
        <f>_xlfn.LET(
     _xlpm.d, Employee_dataset[[#This Row],[Join_Date]],
     IF(
        ISNUMBER(_xlpm.d),TRUE,FALSE
       )
    )</f>
        <v>1</v>
      </c>
      <c r="E297" t="b">
        <f>IF(ISERROR(_xlfn.NUMBERVALUE(Employee_dataset[[#This Row],[Salary]])),FALSE,TRUE)</f>
        <v>1</v>
      </c>
      <c r="F297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297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298" spans="1:7" x14ac:dyDescent="0.3">
      <c r="A298" t="str">
        <f>Employee_dataset[[#This Row],[Employee_ID]]</f>
        <v>EMP1296</v>
      </c>
      <c r="B298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298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0</v>
      </c>
      <c r="D298" t="b">
        <f>_xlfn.LET(
     _xlpm.d, Employee_dataset[[#This Row],[Join_Date]],
     IF(
        ISNUMBER(_xlpm.d),TRUE,FALSE
       )
    )</f>
        <v>1</v>
      </c>
      <c r="E298" t="b">
        <f>IF(ISERROR(_xlfn.NUMBERVALUE(Employee_dataset[[#This Row],[Salary]])),FALSE,TRUE)</f>
        <v>1</v>
      </c>
      <c r="F298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>Phone</v>
      </c>
      <c r="G298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299" spans="1:7" x14ac:dyDescent="0.3">
      <c r="A299" t="str">
        <f>Employee_dataset[[#This Row],[Employee_ID]]</f>
        <v>EMP1297</v>
      </c>
      <c r="B299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299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299" t="b">
        <f>_xlfn.LET(
     _xlpm.d, Employee_dataset[[#This Row],[Join_Date]],
     IF(
        ISNUMBER(_xlpm.d),TRUE,FALSE
       )
    )</f>
        <v>1</v>
      </c>
      <c r="E299" t="b">
        <f>IF(ISERROR(_xlfn.NUMBERVALUE(Employee_dataset[[#This Row],[Salary]])),FALSE,TRUE)</f>
        <v>1</v>
      </c>
      <c r="F299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299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300" spans="1:7" x14ac:dyDescent="0.3">
      <c r="A300" t="str">
        <f>Employee_dataset[[#This Row],[Employee_ID]]</f>
        <v>EMP1298</v>
      </c>
      <c r="B300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300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300" t="b">
        <f>_xlfn.LET(
     _xlpm.d, Employee_dataset[[#This Row],[Join_Date]],
     IF(
        ISNUMBER(_xlpm.d),TRUE,FALSE
       )
    )</f>
        <v>1</v>
      </c>
      <c r="E300" t="b">
        <f>IF(ISERROR(_xlfn.NUMBERVALUE(Employee_dataset[[#This Row],[Salary]])),FALSE,TRUE)</f>
        <v>1</v>
      </c>
      <c r="F300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300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301" spans="1:7" x14ac:dyDescent="0.3">
      <c r="A301" t="str">
        <f>Employee_dataset[[#This Row],[Employee_ID]]</f>
        <v>EMP1299</v>
      </c>
      <c r="B301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301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0</v>
      </c>
      <c r="D301" t="b">
        <f>_xlfn.LET(
     _xlpm.d, Employee_dataset[[#This Row],[Join_Date]],
     IF(
        ISNUMBER(_xlpm.d),TRUE,FALSE
       )
    )</f>
        <v>1</v>
      </c>
      <c r="E301" t="b">
        <f>IF(ISERROR(_xlfn.NUMBERVALUE(Employee_dataset[[#This Row],[Salary]])),FALSE,TRUE)</f>
        <v>1</v>
      </c>
      <c r="F301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>Phone</v>
      </c>
      <c r="G301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302" spans="1:7" x14ac:dyDescent="0.3">
      <c r="A302" t="str">
        <f>Employee_dataset[[#This Row],[Employee_ID]]</f>
        <v>EMP1300</v>
      </c>
      <c r="B302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302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302" t="b">
        <f>_xlfn.LET(
     _xlpm.d, Employee_dataset[[#This Row],[Join_Date]],
     IF(
        ISNUMBER(_xlpm.d),TRUE,FALSE
       )
    )</f>
        <v>1</v>
      </c>
      <c r="E302" t="b">
        <f>IF(ISERROR(_xlfn.NUMBERVALUE(Employee_dataset[[#This Row],[Salary]])),FALSE,TRUE)</f>
        <v>1</v>
      </c>
      <c r="F302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302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303" spans="1:7" x14ac:dyDescent="0.3">
      <c r="A303" t="str">
        <f>Employee_dataset[[#This Row],[Employee_ID]]</f>
        <v>EMP1301</v>
      </c>
      <c r="B303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303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303" t="b">
        <f>_xlfn.LET(
     _xlpm.d, Employee_dataset[[#This Row],[Join_Date]],
     IF(
        ISNUMBER(_xlpm.d),TRUE,FALSE
       )
    )</f>
        <v>1</v>
      </c>
      <c r="E303" t="b">
        <f>IF(ISERROR(_xlfn.NUMBERVALUE(Employee_dataset[[#This Row],[Salary]])),FALSE,TRUE)</f>
        <v>1</v>
      </c>
      <c r="F303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303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304" spans="1:7" x14ac:dyDescent="0.3">
      <c r="A304" t="str">
        <f>Employee_dataset[[#This Row],[Employee_ID]]</f>
        <v>EMP1302</v>
      </c>
      <c r="B304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304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304" t="b">
        <f>_xlfn.LET(
     _xlpm.d, Employee_dataset[[#This Row],[Join_Date]],
     IF(
        ISNUMBER(_xlpm.d),TRUE,FALSE
       )
    )</f>
        <v>1</v>
      </c>
      <c r="E304" t="b">
        <f>IF(ISERROR(_xlfn.NUMBERVALUE(Employee_dataset[[#This Row],[Salary]])),FALSE,TRUE)</f>
        <v>1</v>
      </c>
      <c r="F304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304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305" spans="1:7" x14ac:dyDescent="0.3">
      <c r="A305" t="str">
        <f>Employee_dataset[[#This Row],[Employee_ID]]</f>
        <v>EMP1303</v>
      </c>
      <c r="B305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305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305" t="b">
        <f>_xlfn.LET(
     _xlpm.d, Employee_dataset[[#This Row],[Join_Date]],
     IF(
        ISNUMBER(_xlpm.d),TRUE,FALSE
       )
    )</f>
        <v>1</v>
      </c>
      <c r="E305" t="b">
        <f>IF(ISERROR(_xlfn.NUMBERVALUE(Employee_dataset[[#This Row],[Salary]])),FALSE,TRUE)</f>
        <v>1</v>
      </c>
      <c r="F305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305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306" spans="1:7" x14ac:dyDescent="0.3">
      <c r="A306" t="str">
        <f>Employee_dataset[[#This Row],[Employee_ID]]</f>
        <v>EMP1304</v>
      </c>
      <c r="B306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306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306" t="b">
        <f>_xlfn.LET(
     _xlpm.d, Employee_dataset[[#This Row],[Join_Date]],
     IF(
        ISNUMBER(_xlpm.d),TRUE,FALSE
       )
    )</f>
        <v>1</v>
      </c>
      <c r="E306" t="b">
        <f>IF(ISERROR(_xlfn.NUMBERVALUE(Employee_dataset[[#This Row],[Salary]])),FALSE,TRUE)</f>
        <v>1</v>
      </c>
      <c r="F306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306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307" spans="1:7" x14ac:dyDescent="0.3">
      <c r="A307" t="str">
        <f>Employee_dataset[[#This Row],[Employee_ID]]</f>
        <v>EMP1305</v>
      </c>
      <c r="B307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307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307" t="b">
        <f>_xlfn.LET(
     _xlpm.d, Employee_dataset[[#This Row],[Join_Date]],
     IF(
        ISNUMBER(_xlpm.d),TRUE,FALSE
       )
    )</f>
        <v>1</v>
      </c>
      <c r="E307" t="b">
        <f>IF(ISERROR(_xlfn.NUMBERVALUE(Employee_dataset[[#This Row],[Salary]])),FALSE,TRUE)</f>
        <v>1</v>
      </c>
      <c r="F307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307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308" spans="1:7" x14ac:dyDescent="0.3">
      <c r="A308" t="str">
        <f>Employee_dataset[[#This Row],[Employee_ID]]</f>
        <v>EMP1306</v>
      </c>
      <c r="B308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308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308" t="b">
        <f>_xlfn.LET(
     _xlpm.d, Employee_dataset[[#This Row],[Join_Date]],
     IF(
        ISNUMBER(_xlpm.d),TRUE,FALSE
       )
    )</f>
        <v>1</v>
      </c>
      <c r="E308" t="b">
        <f>IF(ISERROR(_xlfn.NUMBERVALUE(Employee_dataset[[#This Row],[Salary]])),FALSE,TRUE)</f>
        <v>1</v>
      </c>
      <c r="F308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308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309" spans="1:7" x14ac:dyDescent="0.3">
      <c r="A309" t="str">
        <f>Employee_dataset[[#This Row],[Employee_ID]]</f>
        <v>EMP1307</v>
      </c>
      <c r="B309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309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309" t="b">
        <f>_xlfn.LET(
     _xlpm.d, Employee_dataset[[#This Row],[Join_Date]],
     IF(
        ISNUMBER(_xlpm.d),TRUE,FALSE
       )
    )</f>
        <v>1</v>
      </c>
      <c r="E309" t="b">
        <f>IF(ISERROR(_xlfn.NUMBERVALUE(Employee_dataset[[#This Row],[Salary]])),FALSE,TRUE)</f>
        <v>1</v>
      </c>
      <c r="F309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309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310" spans="1:7" x14ac:dyDescent="0.3">
      <c r="A310" t="str">
        <f>Employee_dataset[[#This Row],[Employee_ID]]</f>
        <v>EMP1308</v>
      </c>
      <c r="B310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310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310" t="b">
        <f>_xlfn.LET(
     _xlpm.d, Employee_dataset[[#This Row],[Join_Date]],
     IF(
        ISNUMBER(_xlpm.d),TRUE,FALSE
       )
    )</f>
        <v>1</v>
      </c>
      <c r="E310" t="b">
        <f>IF(ISERROR(_xlfn.NUMBERVALUE(Employee_dataset[[#This Row],[Salary]])),FALSE,TRUE)</f>
        <v>1</v>
      </c>
      <c r="F310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310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311" spans="1:7" x14ac:dyDescent="0.3">
      <c r="A311" t="str">
        <f>Employee_dataset[[#This Row],[Employee_ID]]</f>
        <v>EMP1309</v>
      </c>
      <c r="B311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311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311" t="b">
        <f>_xlfn.LET(
     _xlpm.d, Employee_dataset[[#This Row],[Join_Date]],
     IF(
        ISNUMBER(_xlpm.d),TRUE,FALSE
       )
    )</f>
        <v>1</v>
      </c>
      <c r="E311" t="b">
        <f>IF(ISERROR(_xlfn.NUMBERVALUE(Employee_dataset[[#This Row],[Salary]])),FALSE,TRUE)</f>
        <v>1</v>
      </c>
      <c r="F311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311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312" spans="1:7" x14ac:dyDescent="0.3">
      <c r="A312" t="str">
        <f>Employee_dataset[[#This Row],[Employee_ID]]</f>
        <v>EMP1310</v>
      </c>
      <c r="B312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312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312" t="b">
        <f>_xlfn.LET(
     _xlpm.d, Employee_dataset[[#This Row],[Join_Date]],
     IF(
        ISNUMBER(_xlpm.d),TRUE,FALSE
       )
    )</f>
        <v>1</v>
      </c>
      <c r="E312" t="b">
        <f>IF(ISERROR(_xlfn.NUMBERVALUE(Employee_dataset[[#This Row],[Salary]])),FALSE,TRUE)</f>
        <v>1</v>
      </c>
      <c r="F312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312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313" spans="1:7" x14ac:dyDescent="0.3">
      <c r="A313" t="str">
        <f>Employee_dataset[[#This Row],[Employee_ID]]</f>
        <v>EMP1311</v>
      </c>
      <c r="B313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313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313" t="b">
        <f>_xlfn.LET(
     _xlpm.d, Employee_dataset[[#This Row],[Join_Date]],
     IF(
        ISNUMBER(_xlpm.d),TRUE,FALSE
       )
    )</f>
        <v>1</v>
      </c>
      <c r="E313" t="b">
        <f>IF(ISERROR(_xlfn.NUMBERVALUE(Employee_dataset[[#This Row],[Salary]])),FALSE,TRUE)</f>
        <v>1</v>
      </c>
      <c r="F313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313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314" spans="1:7" x14ac:dyDescent="0.3">
      <c r="A314" t="str">
        <f>Employee_dataset[[#This Row],[Employee_ID]]</f>
        <v>EMP1312</v>
      </c>
      <c r="B314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314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314" t="b">
        <f>_xlfn.LET(
     _xlpm.d, Employee_dataset[[#This Row],[Join_Date]],
     IF(
        ISNUMBER(_xlpm.d),TRUE,FALSE
       )
    )</f>
        <v>1</v>
      </c>
      <c r="E314" t="b">
        <f>IF(ISERROR(_xlfn.NUMBERVALUE(Employee_dataset[[#This Row],[Salary]])),FALSE,TRUE)</f>
        <v>1</v>
      </c>
      <c r="F314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314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315" spans="1:7" x14ac:dyDescent="0.3">
      <c r="A315" t="str">
        <f>Employee_dataset[[#This Row],[Employee_ID]]</f>
        <v>EMP1313</v>
      </c>
      <c r="B315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315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315" t="b">
        <f>_xlfn.LET(
     _xlpm.d, Employee_dataset[[#This Row],[Join_Date]],
     IF(
        ISNUMBER(_xlpm.d),TRUE,FALSE
       )
    )</f>
        <v>1</v>
      </c>
      <c r="E315" t="b">
        <f>IF(ISERROR(_xlfn.NUMBERVALUE(Employee_dataset[[#This Row],[Salary]])),FALSE,TRUE)</f>
        <v>1</v>
      </c>
      <c r="F315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315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316" spans="1:7" x14ac:dyDescent="0.3">
      <c r="A316" t="str">
        <f>Employee_dataset[[#This Row],[Employee_ID]]</f>
        <v>EMP1314</v>
      </c>
      <c r="B316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316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316" t="b">
        <f>_xlfn.LET(
     _xlpm.d, Employee_dataset[[#This Row],[Join_Date]],
     IF(
        ISNUMBER(_xlpm.d),TRUE,FALSE
       )
    )</f>
        <v>1</v>
      </c>
      <c r="E316" t="b">
        <f>IF(ISERROR(_xlfn.NUMBERVALUE(Employee_dataset[[#This Row],[Salary]])),FALSE,TRUE)</f>
        <v>1</v>
      </c>
      <c r="F316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316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317" spans="1:7" x14ac:dyDescent="0.3">
      <c r="A317" t="str">
        <f>Employee_dataset[[#This Row],[Employee_ID]]</f>
        <v>EMP1315</v>
      </c>
      <c r="B317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317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317" t="b">
        <f>_xlfn.LET(
     _xlpm.d, Employee_dataset[[#This Row],[Join_Date]],
     IF(
        ISNUMBER(_xlpm.d),TRUE,FALSE
       )
    )</f>
        <v>1</v>
      </c>
      <c r="E317" t="b">
        <f>IF(ISERROR(_xlfn.NUMBERVALUE(Employee_dataset[[#This Row],[Salary]])),FALSE,TRUE)</f>
        <v>1</v>
      </c>
      <c r="F317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317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318" spans="1:7" x14ac:dyDescent="0.3">
      <c r="A318" t="str">
        <f>Employee_dataset[[#This Row],[Employee_ID]]</f>
        <v>EMP1316</v>
      </c>
      <c r="B318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318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318" t="b">
        <f>_xlfn.LET(
     _xlpm.d, Employee_dataset[[#This Row],[Join_Date]],
     IF(
        ISNUMBER(_xlpm.d),TRUE,FALSE
       )
    )</f>
        <v>1</v>
      </c>
      <c r="E318" t="b">
        <f>IF(ISERROR(_xlfn.NUMBERVALUE(Employee_dataset[[#This Row],[Salary]])),FALSE,TRUE)</f>
        <v>1</v>
      </c>
      <c r="F318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318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319" spans="1:7" x14ac:dyDescent="0.3">
      <c r="A319" t="str">
        <f>Employee_dataset[[#This Row],[Employee_ID]]</f>
        <v>EMP1317</v>
      </c>
      <c r="B319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319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319" t="b">
        <f>_xlfn.LET(
     _xlpm.d, Employee_dataset[[#This Row],[Join_Date]],
     IF(
        ISNUMBER(_xlpm.d),TRUE,FALSE
       )
    )</f>
        <v>1</v>
      </c>
      <c r="E319" t="b">
        <f>IF(ISERROR(_xlfn.NUMBERVALUE(Employee_dataset[[#This Row],[Salary]])),FALSE,TRUE)</f>
        <v>1</v>
      </c>
      <c r="F319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319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320" spans="1:7" x14ac:dyDescent="0.3">
      <c r="A320" t="str">
        <f>Employee_dataset[[#This Row],[Employee_ID]]</f>
        <v>EMP1318</v>
      </c>
      <c r="B320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320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320" t="b">
        <f>_xlfn.LET(
     _xlpm.d, Employee_dataset[[#This Row],[Join_Date]],
     IF(
        ISNUMBER(_xlpm.d),TRUE,FALSE
       )
    )</f>
        <v>1</v>
      </c>
      <c r="E320" t="b">
        <f>IF(ISERROR(_xlfn.NUMBERVALUE(Employee_dataset[[#This Row],[Salary]])),FALSE,TRUE)</f>
        <v>1</v>
      </c>
      <c r="F320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320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321" spans="1:7" x14ac:dyDescent="0.3">
      <c r="A321" t="str">
        <f>Employee_dataset[[#This Row],[Employee_ID]]</f>
        <v>EMP1319</v>
      </c>
      <c r="B321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321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321" t="b">
        <f>_xlfn.LET(
     _xlpm.d, Employee_dataset[[#This Row],[Join_Date]],
     IF(
        ISNUMBER(_xlpm.d),TRUE,FALSE
       )
    )</f>
        <v>1</v>
      </c>
      <c r="E321" t="b">
        <f>IF(ISERROR(_xlfn.NUMBERVALUE(Employee_dataset[[#This Row],[Salary]])),FALSE,TRUE)</f>
        <v>1</v>
      </c>
      <c r="F321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321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322" spans="1:7" x14ac:dyDescent="0.3">
      <c r="A322" t="str">
        <f>Employee_dataset[[#This Row],[Employee_ID]]</f>
        <v>EMP1320</v>
      </c>
      <c r="B322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322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322" t="b">
        <f>_xlfn.LET(
     _xlpm.d, Employee_dataset[[#This Row],[Join_Date]],
     IF(
        ISNUMBER(_xlpm.d),TRUE,FALSE
       )
    )</f>
        <v>1</v>
      </c>
      <c r="E322" t="b">
        <f>IF(ISERROR(_xlfn.NUMBERVALUE(Employee_dataset[[#This Row],[Salary]])),FALSE,TRUE)</f>
        <v>1</v>
      </c>
      <c r="F322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322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323" spans="1:7" x14ac:dyDescent="0.3">
      <c r="A323" t="str">
        <f>Employee_dataset[[#This Row],[Employee_ID]]</f>
        <v>EMP1321</v>
      </c>
      <c r="B323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323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323" t="b">
        <f>_xlfn.LET(
     _xlpm.d, Employee_dataset[[#This Row],[Join_Date]],
     IF(
        ISNUMBER(_xlpm.d),TRUE,FALSE
       )
    )</f>
        <v>1</v>
      </c>
      <c r="E323" t="b">
        <f>IF(ISERROR(_xlfn.NUMBERVALUE(Employee_dataset[[#This Row],[Salary]])),FALSE,TRUE)</f>
        <v>1</v>
      </c>
      <c r="F323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323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324" spans="1:7" x14ac:dyDescent="0.3">
      <c r="A324" t="str">
        <f>Employee_dataset[[#This Row],[Employee_ID]]</f>
        <v>EMP1322</v>
      </c>
      <c r="B324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324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324" t="b">
        <f>_xlfn.LET(
     _xlpm.d, Employee_dataset[[#This Row],[Join_Date]],
     IF(
        ISNUMBER(_xlpm.d),TRUE,FALSE
       )
    )</f>
        <v>1</v>
      </c>
      <c r="E324" t="b">
        <f>IF(ISERROR(_xlfn.NUMBERVALUE(Employee_dataset[[#This Row],[Salary]])),FALSE,TRUE)</f>
        <v>1</v>
      </c>
      <c r="F324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324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325" spans="1:7" x14ac:dyDescent="0.3">
      <c r="A325" t="str">
        <f>Employee_dataset[[#This Row],[Employee_ID]]</f>
        <v>EMP1323</v>
      </c>
      <c r="B325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325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325" t="b">
        <f>_xlfn.LET(
     _xlpm.d, Employee_dataset[[#This Row],[Join_Date]],
     IF(
        ISNUMBER(_xlpm.d),TRUE,FALSE
       )
    )</f>
        <v>1</v>
      </c>
      <c r="E325" t="b">
        <f>IF(ISERROR(_xlfn.NUMBERVALUE(Employee_dataset[[#This Row],[Salary]])),FALSE,TRUE)</f>
        <v>1</v>
      </c>
      <c r="F325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325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326" spans="1:7" x14ac:dyDescent="0.3">
      <c r="A326" t="str">
        <f>Employee_dataset[[#This Row],[Employee_ID]]</f>
        <v>EMP1324</v>
      </c>
      <c r="B326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326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326" t="b">
        <f>_xlfn.LET(
     _xlpm.d, Employee_dataset[[#This Row],[Join_Date]],
     IF(
        ISNUMBER(_xlpm.d),TRUE,FALSE
       )
    )</f>
        <v>1</v>
      </c>
      <c r="E326" t="b">
        <f>IF(ISERROR(_xlfn.NUMBERVALUE(Employee_dataset[[#This Row],[Salary]])),FALSE,TRUE)</f>
        <v>1</v>
      </c>
      <c r="F326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326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327" spans="1:7" x14ac:dyDescent="0.3">
      <c r="A327" t="str">
        <f>Employee_dataset[[#This Row],[Employee_ID]]</f>
        <v>EMP1325</v>
      </c>
      <c r="B327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327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327" t="b">
        <f>_xlfn.LET(
     _xlpm.d, Employee_dataset[[#This Row],[Join_Date]],
     IF(
        ISNUMBER(_xlpm.d),TRUE,FALSE
       )
    )</f>
        <v>1</v>
      </c>
      <c r="E327" t="b">
        <f>IF(ISERROR(_xlfn.NUMBERVALUE(Employee_dataset[[#This Row],[Salary]])),FALSE,TRUE)</f>
        <v>1</v>
      </c>
      <c r="F327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327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328" spans="1:7" x14ac:dyDescent="0.3">
      <c r="A328" t="str">
        <f>Employee_dataset[[#This Row],[Employee_ID]]</f>
        <v>EMP1326</v>
      </c>
      <c r="B328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328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328" t="b">
        <f>_xlfn.LET(
     _xlpm.d, Employee_dataset[[#This Row],[Join_Date]],
     IF(
        ISNUMBER(_xlpm.d),TRUE,FALSE
       )
    )</f>
        <v>1</v>
      </c>
      <c r="E328" t="b">
        <f>IF(ISERROR(_xlfn.NUMBERVALUE(Employee_dataset[[#This Row],[Salary]])),FALSE,TRUE)</f>
        <v>1</v>
      </c>
      <c r="F328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328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329" spans="1:7" x14ac:dyDescent="0.3">
      <c r="A329" t="str">
        <f>Employee_dataset[[#This Row],[Employee_ID]]</f>
        <v>EMP1327</v>
      </c>
      <c r="B329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329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329" t="b">
        <f>_xlfn.LET(
     _xlpm.d, Employee_dataset[[#This Row],[Join_Date]],
     IF(
        ISNUMBER(_xlpm.d),TRUE,FALSE
       )
    )</f>
        <v>1</v>
      </c>
      <c r="E329" t="b">
        <f>IF(ISERROR(_xlfn.NUMBERVALUE(Employee_dataset[[#This Row],[Salary]])),FALSE,TRUE)</f>
        <v>1</v>
      </c>
      <c r="F329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329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330" spans="1:7" x14ac:dyDescent="0.3">
      <c r="A330" t="str">
        <f>Employee_dataset[[#This Row],[Employee_ID]]</f>
        <v>EMP1328</v>
      </c>
      <c r="B330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330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330" t="b">
        <f>_xlfn.LET(
     _xlpm.d, Employee_dataset[[#This Row],[Join_Date]],
     IF(
        ISNUMBER(_xlpm.d),TRUE,FALSE
       )
    )</f>
        <v>1</v>
      </c>
      <c r="E330" t="b">
        <f>IF(ISERROR(_xlfn.NUMBERVALUE(Employee_dataset[[#This Row],[Salary]])),FALSE,TRUE)</f>
        <v>1</v>
      </c>
      <c r="F330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330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331" spans="1:7" x14ac:dyDescent="0.3">
      <c r="A331" t="str">
        <f>Employee_dataset[[#This Row],[Employee_ID]]</f>
        <v>EMP1329</v>
      </c>
      <c r="B331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331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331" t="b">
        <f>_xlfn.LET(
     _xlpm.d, Employee_dataset[[#This Row],[Join_Date]],
     IF(
        ISNUMBER(_xlpm.d),TRUE,FALSE
       )
    )</f>
        <v>1</v>
      </c>
      <c r="E331" t="b">
        <f>IF(ISERROR(_xlfn.NUMBERVALUE(Employee_dataset[[#This Row],[Salary]])),FALSE,TRUE)</f>
        <v>0</v>
      </c>
      <c r="F331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>Salary</v>
      </c>
      <c r="G331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332" spans="1:7" x14ac:dyDescent="0.3">
      <c r="A332" t="str">
        <f>Employee_dataset[[#This Row],[Employee_ID]]</f>
        <v>EMP1330</v>
      </c>
      <c r="B332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332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332" t="b">
        <f>_xlfn.LET(
     _xlpm.d, Employee_dataset[[#This Row],[Join_Date]],
     IF(
        ISNUMBER(_xlpm.d),TRUE,FALSE
       )
    )</f>
        <v>1</v>
      </c>
      <c r="E332" t="b">
        <f>IF(ISERROR(_xlfn.NUMBERVALUE(Employee_dataset[[#This Row],[Salary]])),FALSE,TRUE)</f>
        <v>1</v>
      </c>
      <c r="F332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332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333" spans="1:7" x14ac:dyDescent="0.3">
      <c r="A333" t="str">
        <f>Employee_dataset[[#This Row],[Employee_ID]]</f>
        <v>EMP1331</v>
      </c>
      <c r="B333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333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333" t="b">
        <f>_xlfn.LET(
     _xlpm.d, Employee_dataset[[#This Row],[Join_Date]],
     IF(
        ISNUMBER(_xlpm.d),TRUE,FALSE
       )
    )</f>
        <v>1</v>
      </c>
      <c r="E333" t="b">
        <f>IF(ISERROR(_xlfn.NUMBERVALUE(Employee_dataset[[#This Row],[Salary]])),FALSE,TRUE)</f>
        <v>1</v>
      </c>
      <c r="F333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333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334" spans="1:7" x14ac:dyDescent="0.3">
      <c r="A334" t="str">
        <f>Employee_dataset[[#This Row],[Employee_ID]]</f>
        <v>EMP1332</v>
      </c>
      <c r="B334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334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334" t="b">
        <f>_xlfn.LET(
     _xlpm.d, Employee_dataset[[#This Row],[Join_Date]],
     IF(
        ISNUMBER(_xlpm.d),TRUE,FALSE
       )
    )</f>
        <v>1</v>
      </c>
      <c r="E334" t="b">
        <f>IF(ISERROR(_xlfn.NUMBERVALUE(Employee_dataset[[#This Row],[Salary]])),FALSE,TRUE)</f>
        <v>1</v>
      </c>
      <c r="F334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334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335" spans="1:7" x14ac:dyDescent="0.3">
      <c r="A335" t="str">
        <f>Employee_dataset[[#This Row],[Employee_ID]]</f>
        <v>EMP1333</v>
      </c>
      <c r="B335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335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335" t="b">
        <f>_xlfn.LET(
     _xlpm.d, Employee_dataset[[#This Row],[Join_Date]],
     IF(
        ISNUMBER(_xlpm.d),TRUE,FALSE
       )
    )</f>
        <v>1</v>
      </c>
      <c r="E335" t="b">
        <f>IF(ISERROR(_xlfn.NUMBERVALUE(Employee_dataset[[#This Row],[Salary]])),FALSE,TRUE)</f>
        <v>1</v>
      </c>
      <c r="F335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335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336" spans="1:7" x14ac:dyDescent="0.3">
      <c r="A336" t="str">
        <f>Employee_dataset[[#This Row],[Employee_ID]]</f>
        <v>EMP1334</v>
      </c>
      <c r="B336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336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336" t="b">
        <f>_xlfn.LET(
     _xlpm.d, Employee_dataset[[#This Row],[Join_Date]],
     IF(
        ISNUMBER(_xlpm.d),TRUE,FALSE
       )
    )</f>
        <v>1</v>
      </c>
      <c r="E336" t="b">
        <f>IF(ISERROR(_xlfn.NUMBERVALUE(Employee_dataset[[#This Row],[Salary]])),FALSE,TRUE)</f>
        <v>1</v>
      </c>
      <c r="F336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336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337" spans="1:7" x14ac:dyDescent="0.3">
      <c r="A337" t="str">
        <f>Employee_dataset[[#This Row],[Employee_ID]]</f>
        <v>EMP1335</v>
      </c>
      <c r="B337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337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337" t="b">
        <f>_xlfn.LET(
     _xlpm.d, Employee_dataset[[#This Row],[Join_Date]],
     IF(
        ISNUMBER(_xlpm.d),TRUE,FALSE
       )
    )</f>
        <v>1</v>
      </c>
      <c r="E337" t="b">
        <f>IF(ISERROR(_xlfn.NUMBERVALUE(Employee_dataset[[#This Row],[Salary]])),FALSE,TRUE)</f>
        <v>1</v>
      </c>
      <c r="F337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337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338" spans="1:7" x14ac:dyDescent="0.3">
      <c r="A338" t="str">
        <f>Employee_dataset[[#This Row],[Employee_ID]]</f>
        <v>EMP1336</v>
      </c>
      <c r="B338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338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338" t="b">
        <f>_xlfn.LET(
     _xlpm.d, Employee_dataset[[#This Row],[Join_Date]],
     IF(
        ISNUMBER(_xlpm.d),TRUE,FALSE
       )
    )</f>
        <v>1</v>
      </c>
      <c r="E338" t="b">
        <f>IF(ISERROR(_xlfn.NUMBERVALUE(Employee_dataset[[#This Row],[Salary]])),FALSE,TRUE)</f>
        <v>1</v>
      </c>
      <c r="F338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338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339" spans="1:7" x14ac:dyDescent="0.3">
      <c r="A339" t="str">
        <f>Employee_dataset[[#This Row],[Employee_ID]]</f>
        <v>EMP1337</v>
      </c>
      <c r="B339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339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339" t="b">
        <f>_xlfn.LET(
     _xlpm.d, Employee_dataset[[#This Row],[Join_Date]],
     IF(
        ISNUMBER(_xlpm.d),TRUE,FALSE
       )
    )</f>
        <v>1</v>
      </c>
      <c r="E339" t="b">
        <f>IF(ISERROR(_xlfn.NUMBERVALUE(Employee_dataset[[#This Row],[Salary]])),FALSE,TRUE)</f>
        <v>1</v>
      </c>
      <c r="F339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339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340" spans="1:7" x14ac:dyDescent="0.3">
      <c r="A340" t="str">
        <f>Employee_dataset[[#This Row],[Employee_ID]]</f>
        <v>EMP1338</v>
      </c>
      <c r="B340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340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340" t="b">
        <f>_xlfn.LET(
     _xlpm.d, Employee_dataset[[#This Row],[Join_Date]],
     IF(
        ISNUMBER(_xlpm.d),TRUE,FALSE
       )
    )</f>
        <v>1</v>
      </c>
      <c r="E340" t="b">
        <f>IF(ISERROR(_xlfn.NUMBERVALUE(Employee_dataset[[#This Row],[Salary]])),FALSE,TRUE)</f>
        <v>1</v>
      </c>
      <c r="F340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340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341" spans="1:7" x14ac:dyDescent="0.3">
      <c r="A341" t="str">
        <f>Employee_dataset[[#This Row],[Employee_ID]]</f>
        <v>EMP1339</v>
      </c>
      <c r="B341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341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341" t="b">
        <f>_xlfn.LET(
     _xlpm.d, Employee_dataset[[#This Row],[Join_Date]],
     IF(
        ISNUMBER(_xlpm.d),TRUE,FALSE
       )
    )</f>
        <v>1</v>
      </c>
      <c r="E341" t="b">
        <f>IF(ISERROR(_xlfn.NUMBERVALUE(Employee_dataset[[#This Row],[Salary]])),FALSE,TRUE)</f>
        <v>1</v>
      </c>
      <c r="F341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341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342" spans="1:7" x14ac:dyDescent="0.3">
      <c r="A342" t="str">
        <f>Employee_dataset[[#This Row],[Employee_ID]]</f>
        <v>EMP1340</v>
      </c>
      <c r="B342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342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342" t="b">
        <f>_xlfn.LET(
     _xlpm.d, Employee_dataset[[#This Row],[Join_Date]],
     IF(
        ISNUMBER(_xlpm.d),TRUE,FALSE
       )
    )</f>
        <v>1</v>
      </c>
      <c r="E342" t="b">
        <f>IF(ISERROR(_xlfn.NUMBERVALUE(Employee_dataset[[#This Row],[Salary]])),FALSE,TRUE)</f>
        <v>1</v>
      </c>
      <c r="F342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342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343" spans="1:7" x14ac:dyDescent="0.3">
      <c r="A343" t="str">
        <f>Employee_dataset[[#This Row],[Employee_ID]]</f>
        <v>EMP1341</v>
      </c>
      <c r="B343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343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343" t="b">
        <f>_xlfn.LET(
     _xlpm.d, Employee_dataset[[#This Row],[Join_Date]],
     IF(
        ISNUMBER(_xlpm.d),TRUE,FALSE
       )
    )</f>
        <v>1</v>
      </c>
      <c r="E343" t="b">
        <f>IF(ISERROR(_xlfn.NUMBERVALUE(Employee_dataset[[#This Row],[Salary]])),FALSE,TRUE)</f>
        <v>1</v>
      </c>
      <c r="F343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343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344" spans="1:7" x14ac:dyDescent="0.3">
      <c r="A344" t="str">
        <f>Employee_dataset[[#This Row],[Employee_ID]]</f>
        <v>EMP1342</v>
      </c>
      <c r="B344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344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344" t="b">
        <f>_xlfn.LET(
     _xlpm.d, Employee_dataset[[#This Row],[Join_Date]],
     IF(
        ISNUMBER(_xlpm.d),TRUE,FALSE
       )
    )</f>
        <v>1</v>
      </c>
      <c r="E344" t="b">
        <f>IF(ISERROR(_xlfn.NUMBERVALUE(Employee_dataset[[#This Row],[Salary]])),FALSE,TRUE)</f>
        <v>1</v>
      </c>
      <c r="F344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344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345" spans="1:7" x14ac:dyDescent="0.3">
      <c r="A345" t="str">
        <f>Employee_dataset[[#This Row],[Employee_ID]]</f>
        <v>EMP1343</v>
      </c>
      <c r="B345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345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345" t="b">
        <f>_xlfn.LET(
     _xlpm.d, Employee_dataset[[#This Row],[Join_Date]],
     IF(
        ISNUMBER(_xlpm.d),TRUE,FALSE
       )
    )</f>
        <v>1</v>
      </c>
      <c r="E345" t="b">
        <f>IF(ISERROR(_xlfn.NUMBERVALUE(Employee_dataset[[#This Row],[Salary]])),FALSE,TRUE)</f>
        <v>1</v>
      </c>
      <c r="F345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345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346" spans="1:7" x14ac:dyDescent="0.3">
      <c r="A346" t="str">
        <f>Employee_dataset[[#This Row],[Employee_ID]]</f>
        <v>EMP1344</v>
      </c>
      <c r="B346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346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346" t="b">
        <f>_xlfn.LET(
     _xlpm.d, Employee_dataset[[#This Row],[Join_Date]],
     IF(
        ISNUMBER(_xlpm.d),TRUE,FALSE
       )
    )</f>
        <v>1</v>
      </c>
      <c r="E346" t="b">
        <f>IF(ISERROR(_xlfn.NUMBERVALUE(Employee_dataset[[#This Row],[Salary]])),FALSE,TRUE)</f>
        <v>0</v>
      </c>
      <c r="F346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>Salary</v>
      </c>
      <c r="G346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347" spans="1:7" x14ac:dyDescent="0.3">
      <c r="A347" t="str">
        <f>Employee_dataset[[#This Row],[Employee_ID]]</f>
        <v>EMP1345</v>
      </c>
      <c r="B347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347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347" t="b">
        <f>_xlfn.LET(
     _xlpm.d, Employee_dataset[[#This Row],[Join_Date]],
     IF(
        ISNUMBER(_xlpm.d),TRUE,FALSE
       )
    )</f>
        <v>1</v>
      </c>
      <c r="E347" t="b">
        <f>IF(ISERROR(_xlfn.NUMBERVALUE(Employee_dataset[[#This Row],[Salary]])),FALSE,TRUE)</f>
        <v>1</v>
      </c>
      <c r="F347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347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348" spans="1:7" x14ac:dyDescent="0.3">
      <c r="A348" t="str">
        <f>Employee_dataset[[#This Row],[Employee_ID]]</f>
        <v>EMP1346</v>
      </c>
      <c r="B348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348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348" t="b">
        <f>_xlfn.LET(
     _xlpm.d, Employee_dataset[[#This Row],[Join_Date]],
     IF(
        ISNUMBER(_xlpm.d),TRUE,FALSE
       )
    )</f>
        <v>1</v>
      </c>
      <c r="E348" t="b">
        <f>IF(ISERROR(_xlfn.NUMBERVALUE(Employee_dataset[[#This Row],[Salary]])),FALSE,TRUE)</f>
        <v>1</v>
      </c>
      <c r="F348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348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349" spans="1:7" x14ac:dyDescent="0.3">
      <c r="A349" t="str">
        <f>Employee_dataset[[#This Row],[Employee_ID]]</f>
        <v>EMP1347</v>
      </c>
      <c r="B349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349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349" t="b">
        <f>_xlfn.LET(
     _xlpm.d, Employee_dataset[[#This Row],[Join_Date]],
     IF(
        ISNUMBER(_xlpm.d),TRUE,FALSE
       )
    )</f>
        <v>1</v>
      </c>
      <c r="E349" t="b">
        <f>IF(ISERROR(_xlfn.NUMBERVALUE(Employee_dataset[[#This Row],[Salary]])),FALSE,TRUE)</f>
        <v>1</v>
      </c>
      <c r="F349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349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350" spans="1:7" x14ac:dyDescent="0.3">
      <c r="A350" t="str">
        <f>Employee_dataset[[#This Row],[Employee_ID]]</f>
        <v>EMP1348</v>
      </c>
      <c r="B350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350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350" t="b">
        <f>_xlfn.LET(
     _xlpm.d, Employee_dataset[[#This Row],[Join_Date]],
     IF(
        ISNUMBER(_xlpm.d),TRUE,FALSE
       )
    )</f>
        <v>1</v>
      </c>
      <c r="E350" t="b">
        <f>IF(ISERROR(_xlfn.NUMBERVALUE(Employee_dataset[[#This Row],[Salary]])),FALSE,TRUE)</f>
        <v>1</v>
      </c>
      <c r="F350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350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351" spans="1:7" x14ac:dyDescent="0.3">
      <c r="A351" t="str">
        <f>Employee_dataset[[#This Row],[Employee_ID]]</f>
        <v>EMP1349</v>
      </c>
      <c r="B351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351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351" t="b">
        <f>_xlfn.LET(
     _xlpm.d, Employee_dataset[[#This Row],[Join_Date]],
     IF(
        ISNUMBER(_xlpm.d),TRUE,FALSE
       )
    )</f>
        <v>1</v>
      </c>
      <c r="E351" t="b">
        <f>IF(ISERROR(_xlfn.NUMBERVALUE(Employee_dataset[[#This Row],[Salary]])),FALSE,TRUE)</f>
        <v>1</v>
      </c>
      <c r="F351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351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352" spans="1:7" x14ac:dyDescent="0.3">
      <c r="A352" t="str">
        <f>Employee_dataset[[#This Row],[Employee_ID]]</f>
        <v>EMP1350</v>
      </c>
      <c r="B352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352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352" t="b">
        <f>_xlfn.LET(
     _xlpm.d, Employee_dataset[[#This Row],[Join_Date]],
     IF(
        ISNUMBER(_xlpm.d),TRUE,FALSE
       )
    )</f>
        <v>1</v>
      </c>
      <c r="E352" t="b">
        <f>IF(ISERROR(_xlfn.NUMBERVALUE(Employee_dataset[[#This Row],[Salary]])),FALSE,TRUE)</f>
        <v>1</v>
      </c>
      <c r="F352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352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353" spans="1:7" x14ac:dyDescent="0.3">
      <c r="A353" t="str">
        <f>Employee_dataset[[#This Row],[Employee_ID]]</f>
        <v>EMP1351</v>
      </c>
      <c r="B353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353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353" t="b">
        <f>_xlfn.LET(
     _xlpm.d, Employee_dataset[[#This Row],[Join_Date]],
     IF(
        ISNUMBER(_xlpm.d),TRUE,FALSE
       )
    )</f>
        <v>1</v>
      </c>
      <c r="E353" t="b">
        <f>IF(ISERROR(_xlfn.NUMBERVALUE(Employee_dataset[[#This Row],[Salary]])),FALSE,TRUE)</f>
        <v>1</v>
      </c>
      <c r="F353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353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354" spans="1:7" x14ac:dyDescent="0.3">
      <c r="A354" t="str">
        <f>Employee_dataset[[#This Row],[Employee_ID]]</f>
        <v>EMP1352</v>
      </c>
      <c r="B354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354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354" t="b">
        <f>_xlfn.LET(
     _xlpm.d, Employee_dataset[[#This Row],[Join_Date]],
     IF(
        ISNUMBER(_xlpm.d),TRUE,FALSE
       )
    )</f>
        <v>1</v>
      </c>
      <c r="E354" t="b">
        <f>IF(ISERROR(_xlfn.NUMBERVALUE(Employee_dataset[[#This Row],[Salary]])),FALSE,TRUE)</f>
        <v>1</v>
      </c>
      <c r="F354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354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355" spans="1:7" x14ac:dyDescent="0.3">
      <c r="A355" t="str">
        <f>Employee_dataset[[#This Row],[Employee_ID]]</f>
        <v>EMP1353</v>
      </c>
      <c r="B355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355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355" t="b">
        <f>_xlfn.LET(
     _xlpm.d, Employee_dataset[[#This Row],[Join_Date]],
     IF(
        ISNUMBER(_xlpm.d),TRUE,FALSE
       )
    )</f>
        <v>1</v>
      </c>
      <c r="E355" t="b">
        <f>IF(ISERROR(_xlfn.NUMBERVALUE(Employee_dataset[[#This Row],[Salary]])),FALSE,TRUE)</f>
        <v>1</v>
      </c>
      <c r="F355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355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356" spans="1:7" x14ac:dyDescent="0.3">
      <c r="A356" t="str">
        <f>Employee_dataset[[#This Row],[Employee_ID]]</f>
        <v>EMP1354</v>
      </c>
      <c r="B356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356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356" t="b">
        <f>_xlfn.LET(
     _xlpm.d, Employee_dataset[[#This Row],[Join_Date]],
     IF(
        ISNUMBER(_xlpm.d),TRUE,FALSE
       )
    )</f>
        <v>1</v>
      </c>
      <c r="E356" t="b">
        <f>IF(ISERROR(_xlfn.NUMBERVALUE(Employee_dataset[[#This Row],[Salary]])),FALSE,TRUE)</f>
        <v>1</v>
      </c>
      <c r="F356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356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357" spans="1:7" x14ac:dyDescent="0.3">
      <c r="A357" t="str">
        <f>Employee_dataset[[#This Row],[Employee_ID]]</f>
        <v>EMP1355</v>
      </c>
      <c r="B357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357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357" t="b">
        <f>_xlfn.LET(
     _xlpm.d, Employee_dataset[[#This Row],[Join_Date]],
     IF(
        ISNUMBER(_xlpm.d),TRUE,FALSE
       )
    )</f>
        <v>1</v>
      </c>
      <c r="E357" t="b">
        <f>IF(ISERROR(_xlfn.NUMBERVALUE(Employee_dataset[[#This Row],[Salary]])),FALSE,TRUE)</f>
        <v>1</v>
      </c>
      <c r="F357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357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358" spans="1:7" x14ac:dyDescent="0.3">
      <c r="A358" t="str">
        <f>Employee_dataset[[#This Row],[Employee_ID]]</f>
        <v>EMP1356</v>
      </c>
      <c r="B358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358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358" t="b">
        <f>_xlfn.LET(
     _xlpm.d, Employee_dataset[[#This Row],[Join_Date]],
     IF(
        ISNUMBER(_xlpm.d),TRUE,FALSE
       )
    )</f>
        <v>1</v>
      </c>
      <c r="E358" t="b">
        <f>IF(ISERROR(_xlfn.NUMBERVALUE(Employee_dataset[[#This Row],[Salary]])),FALSE,TRUE)</f>
        <v>1</v>
      </c>
      <c r="F358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358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359" spans="1:7" x14ac:dyDescent="0.3">
      <c r="A359" t="str">
        <f>Employee_dataset[[#This Row],[Employee_ID]]</f>
        <v>EMP1357</v>
      </c>
      <c r="B359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359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359" t="b">
        <f>_xlfn.LET(
     _xlpm.d, Employee_dataset[[#This Row],[Join_Date]],
     IF(
        ISNUMBER(_xlpm.d),TRUE,FALSE
       )
    )</f>
        <v>1</v>
      </c>
      <c r="E359" t="b">
        <f>IF(ISERROR(_xlfn.NUMBERVALUE(Employee_dataset[[#This Row],[Salary]])),FALSE,TRUE)</f>
        <v>1</v>
      </c>
      <c r="F359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359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360" spans="1:7" x14ac:dyDescent="0.3">
      <c r="A360" t="str">
        <f>Employee_dataset[[#This Row],[Employee_ID]]</f>
        <v>EMP1358</v>
      </c>
      <c r="B360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360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360" t="b">
        <f>_xlfn.LET(
     _xlpm.d, Employee_dataset[[#This Row],[Join_Date]],
     IF(
        ISNUMBER(_xlpm.d),TRUE,FALSE
       )
    )</f>
        <v>1</v>
      </c>
      <c r="E360" t="b">
        <f>IF(ISERROR(_xlfn.NUMBERVALUE(Employee_dataset[[#This Row],[Salary]])),FALSE,TRUE)</f>
        <v>1</v>
      </c>
      <c r="F360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360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361" spans="1:7" x14ac:dyDescent="0.3">
      <c r="A361" t="str">
        <f>Employee_dataset[[#This Row],[Employee_ID]]</f>
        <v>EMP1359</v>
      </c>
      <c r="B361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361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0</v>
      </c>
      <c r="D361" t="b">
        <f>_xlfn.LET(
     _xlpm.d, Employee_dataset[[#This Row],[Join_Date]],
     IF(
        ISNUMBER(_xlpm.d),TRUE,FALSE
       )
    )</f>
        <v>1</v>
      </c>
      <c r="E361" t="b">
        <f>IF(ISERROR(_xlfn.NUMBERVALUE(Employee_dataset[[#This Row],[Salary]])),FALSE,TRUE)</f>
        <v>1</v>
      </c>
      <c r="F361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>Phone</v>
      </c>
      <c r="G361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362" spans="1:7" x14ac:dyDescent="0.3">
      <c r="A362" t="str">
        <f>Employee_dataset[[#This Row],[Employee_ID]]</f>
        <v>EMP1360</v>
      </c>
      <c r="B362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362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362" t="b">
        <f>_xlfn.LET(
     _xlpm.d, Employee_dataset[[#This Row],[Join_Date]],
     IF(
        ISNUMBER(_xlpm.d),TRUE,FALSE
       )
    )</f>
        <v>1</v>
      </c>
      <c r="E362" t="b">
        <f>IF(ISERROR(_xlfn.NUMBERVALUE(Employee_dataset[[#This Row],[Salary]])),FALSE,TRUE)</f>
        <v>1</v>
      </c>
      <c r="F362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362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363" spans="1:7" x14ac:dyDescent="0.3">
      <c r="A363" t="str">
        <f>Employee_dataset[[#This Row],[Employee_ID]]</f>
        <v>EMP1361</v>
      </c>
      <c r="B363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363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363" t="b">
        <f>_xlfn.LET(
     _xlpm.d, Employee_dataset[[#This Row],[Join_Date]],
     IF(
        ISNUMBER(_xlpm.d),TRUE,FALSE
       )
    )</f>
        <v>1</v>
      </c>
      <c r="E363" t="b">
        <f>IF(ISERROR(_xlfn.NUMBERVALUE(Employee_dataset[[#This Row],[Salary]])),FALSE,TRUE)</f>
        <v>1</v>
      </c>
      <c r="F363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363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364" spans="1:7" x14ac:dyDescent="0.3">
      <c r="A364" t="str">
        <f>Employee_dataset[[#This Row],[Employee_ID]]</f>
        <v>EMP1362</v>
      </c>
      <c r="B364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364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364" t="b">
        <f>_xlfn.LET(
     _xlpm.d, Employee_dataset[[#This Row],[Join_Date]],
     IF(
        ISNUMBER(_xlpm.d),TRUE,FALSE
       )
    )</f>
        <v>1</v>
      </c>
      <c r="E364" t="b">
        <f>IF(ISERROR(_xlfn.NUMBERVALUE(Employee_dataset[[#This Row],[Salary]])),FALSE,TRUE)</f>
        <v>1</v>
      </c>
      <c r="F364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364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365" spans="1:7" x14ac:dyDescent="0.3">
      <c r="A365" t="str">
        <f>Employee_dataset[[#This Row],[Employee_ID]]</f>
        <v>EMP1363</v>
      </c>
      <c r="B365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365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365" t="b">
        <f>_xlfn.LET(
     _xlpm.d, Employee_dataset[[#This Row],[Join_Date]],
     IF(
        ISNUMBER(_xlpm.d),TRUE,FALSE
       )
    )</f>
        <v>1</v>
      </c>
      <c r="E365" t="b">
        <f>IF(ISERROR(_xlfn.NUMBERVALUE(Employee_dataset[[#This Row],[Salary]])),FALSE,TRUE)</f>
        <v>1</v>
      </c>
      <c r="F365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365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366" spans="1:7" x14ac:dyDescent="0.3">
      <c r="A366" t="str">
        <f>Employee_dataset[[#This Row],[Employee_ID]]</f>
        <v>EMP1364</v>
      </c>
      <c r="B366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366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366" t="b">
        <f>_xlfn.LET(
     _xlpm.d, Employee_dataset[[#This Row],[Join_Date]],
     IF(
        ISNUMBER(_xlpm.d),TRUE,FALSE
       )
    )</f>
        <v>1</v>
      </c>
      <c r="E366" t="b">
        <f>IF(ISERROR(_xlfn.NUMBERVALUE(Employee_dataset[[#This Row],[Salary]])),FALSE,TRUE)</f>
        <v>1</v>
      </c>
      <c r="F366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366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367" spans="1:7" x14ac:dyDescent="0.3">
      <c r="A367" t="str">
        <f>Employee_dataset[[#This Row],[Employee_ID]]</f>
        <v>EMP1365</v>
      </c>
      <c r="B367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367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367" t="b">
        <f>_xlfn.LET(
     _xlpm.d, Employee_dataset[[#This Row],[Join_Date]],
     IF(
        ISNUMBER(_xlpm.d),TRUE,FALSE
       )
    )</f>
        <v>1</v>
      </c>
      <c r="E367" t="b">
        <f>IF(ISERROR(_xlfn.NUMBERVALUE(Employee_dataset[[#This Row],[Salary]])),FALSE,TRUE)</f>
        <v>1</v>
      </c>
      <c r="F367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367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368" spans="1:7" x14ac:dyDescent="0.3">
      <c r="A368" t="str">
        <f>Employee_dataset[[#This Row],[Employee_ID]]</f>
        <v>EMP1366</v>
      </c>
      <c r="B368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368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368" t="b">
        <f>_xlfn.LET(
     _xlpm.d, Employee_dataset[[#This Row],[Join_Date]],
     IF(
        ISNUMBER(_xlpm.d),TRUE,FALSE
       )
    )</f>
        <v>1</v>
      </c>
      <c r="E368" t="b">
        <f>IF(ISERROR(_xlfn.NUMBERVALUE(Employee_dataset[[#This Row],[Salary]])),FALSE,TRUE)</f>
        <v>1</v>
      </c>
      <c r="F368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368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369" spans="1:7" x14ac:dyDescent="0.3">
      <c r="A369" t="str">
        <f>Employee_dataset[[#This Row],[Employee_ID]]</f>
        <v>EMP1367</v>
      </c>
      <c r="B369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369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0</v>
      </c>
      <c r="D369" t="b">
        <f>_xlfn.LET(
     _xlpm.d, Employee_dataset[[#This Row],[Join_Date]],
     IF(
        ISNUMBER(_xlpm.d),TRUE,FALSE
       )
    )</f>
        <v>1</v>
      </c>
      <c r="E369" t="b">
        <f>IF(ISERROR(_xlfn.NUMBERVALUE(Employee_dataset[[#This Row],[Salary]])),FALSE,TRUE)</f>
        <v>1</v>
      </c>
      <c r="F369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>Phone</v>
      </c>
      <c r="G369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370" spans="1:7" x14ac:dyDescent="0.3">
      <c r="A370" t="str">
        <f>Employee_dataset[[#This Row],[Employee_ID]]</f>
        <v>EMP1368</v>
      </c>
      <c r="B370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370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370" t="b">
        <f>_xlfn.LET(
     _xlpm.d, Employee_dataset[[#This Row],[Join_Date]],
     IF(
        ISNUMBER(_xlpm.d),TRUE,FALSE
       )
    )</f>
        <v>1</v>
      </c>
      <c r="E370" t="b">
        <f>IF(ISERROR(_xlfn.NUMBERVALUE(Employee_dataset[[#This Row],[Salary]])),FALSE,TRUE)</f>
        <v>1</v>
      </c>
      <c r="F370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370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371" spans="1:7" x14ac:dyDescent="0.3">
      <c r="A371" t="str">
        <f>Employee_dataset[[#This Row],[Employee_ID]]</f>
        <v>EMP1369</v>
      </c>
      <c r="B371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371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371" t="b">
        <f>_xlfn.LET(
     _xlpm.d, Employee_dataset[[#This Row],[Join_Date]],
     IF(
        ISNUMBER(_xlpm.d),TRUE,FALSE
       )
    )</f>
        <v>1</v>
      </c>
      <c r="E371" t="b">
        <f>IF(ISERROR(_xlfn.NUMBERVALUE(Employee_dataset[[#This Row],[Salary]])),FALSE,TRUE)</f>
        <v>1</v>
      </c>
      <c r="F371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371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372" spans="1:7" x14ac:dyDescent="0.3">
      <c r="A372" t="str">
        <f>Employee_dataset[[#This Row],[Employee_ID]]</f>
        <v>EMP1370</v>
      </c>
      <c r="B372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372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372" t="b">
        <f>_xlfn.LET(
     _xlpm.d, Employee_dataset[[#This Row],[Join_Date]],
     IF(
        ISNUMBER(_xlpm.d),TRUE,FALSE
       )
    )</f>
        <v>1</v>
      </c>
      <c r="E372" t="b">
        <f>IF(ISERROR(_xlfn.NUMBERVALUE(Employee_dataset[[#This Row],[Salary]])),FALSE,TRUE)</f>
        <v>1</v>
      </c>
      <c r="F372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372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373" spans="1:7" x14ac:dyDescent="0.3">
      <c r="A373" t="str">
        <f>Employee_dataset[[#This Row],[Employee_ID]]</f>
        <v>EMP1371</v>
      </c>
      <c r="B373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373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373" t="b">
        <f>_xlfn.LET(
     _xlpm.d, Employee_dataset[[#This Row],[Join_Date]],
     IF(
        ISNUMBER(_xlpm.d),TRUE,FALSE
       )
    )</f>
        <v>1</v>
      </c>
      <c r="E373" t="b">
        <f>IF(ISERROR(_xlfn.NUMBERVALUE(Employee_dataset[[#This Row],[Salary]])),FALSE,TRUE)</f>
        <v>1</v>
      </c>
      <c r="F373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373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374" spans="1:7" x14ac:dyDescent="0.3">
      <c r="A374" t="str">
        <f>Employee_dataset[[#This Row],[Employee_ID]]</f>
        <v>EMP1372</v>
      </c>
      <c r="B374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374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374" t="b">
        <f>_xlfn.LET(
     _xlpm.d, Employee_dataset[[#This Row],[Join_Date]],
     IF(
        ISNUMBER(_xlpm.d),TRUE,FALSE
       )
    )</f>
        <v>1</v>
      </c>
      <c r="E374" t="b">
        <f>IF(ISERROR(_xlfn.NUMBERVALUE(Employee_dataset[[#This Row],[Salary]])),FALSE,TRUE)</f>
        <v>1</v>
      </c>
      <c r="F374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374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375" spans="1:7" x14ac:dyDescent="0.3">
      <c r="A375" t="str">
        <f>Employee_dataset[[#This Row],[Employee_ID]]</f>
        <v>EMP1373</v>
      </c>
      <c r="B375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375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375" t="b">
        <f>_xlfn.LET(
     _xlpm.d, Employee_dataset[[#This Row],[Join_Date]],
     IF(
        ISNUMBER(_xlpm.d),TRUE,FALSE
       )
    )</f>
        <v>1</v>
      </c>
      <c r="E375" t="b">
        <f>IF(ISERROR(_xlfn.NUMBERVALUE(Employee_dataset[[#This Row],[Salary]])),FALSE,TRUE)</f>
        <v>1</v>
      </c>
      <c r="F375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375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376" spans="1:7" x14ac:dyDescent="0.3">
      <c r="A376" t="str">
        <f>Employee_dataset[[#This Row],[Employee_ID]]</f>
        <v>EMP1374</v>
      </c>
      <c r="B376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376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376" t="b">
        <f>_xlfn.LET(
     _xlpm.d, Employee_dataset[[#This Row],[Join_Date]],
     IF(
        ISNUMBER(_xlpm.d),TRUE,FALSE
       )
    )</f>
        <v>1</v>
      </c>
      <c r="E376" t="b">
        <f>IF(ISERROR(_xlfn.NUMBERVALUE(Employee_dataset[[#This Row],[Salary]])),FALSE,TRUE)</f>
        <v>1</v>
      </c>
      <c r="F376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376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377" spans="1:7" x14ac:dyDescent="0.3">
      <c r="A377" t="str">
        <f>Employee_dataset[[#This Row],[Employee_ID]]</f>
        <v>EMP1375</v>
      </c>
      <c r="B377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377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377" t="b">
        <f>_xlfn.LET(
     _xlpm.d, Employee_dataset[[#This Row],[Join_Date]],
     IF(
        ISNUMBER(_xlpm.d),TRUE,FALSE
       )
    )</f>
        <v>1</v>
      </c>
      <c r="E377" t="b">
        <f>IF(ISERROR(_xlfn.NUMBERVALUE(Employee_dataset[[#This Row],[Salary]])),FALSE,TRUE)</f>
        <v>1</v>
      </c>
      <c r="F377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377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378" spans="1:7" x14ac:dyDescent="0.3">
      <c r="A378" t="str">
        <f>Employee_dataset[[#This Row],[Employee_ID]]</f>
        <v>EMP1376</v>
      </c>
      <c r="B378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378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378" t="b">
        <f>_xlfn.LET(
     _xlpm.d, Employee_dataset[[#This Row],[Join_Date]],
     IF(
        ISNUMBER(_xlpm.d),TRUE,FALSE
       )
    )</f>
        <v>1</v>
      </c>
      <c r="E378" t="b">
        <f>IF(ISERROR(_xlfn.NUMBERVALUE(Employee_dataset[[#This Row],[Salary]])),FALSE,TRUE)</f>
        <v>1</v>
      </c>
      <c r="F378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378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379" spans="1:7" x14ac:dyDescent="0.3">
      <c r="A379" t="str">
        <f>Employee_dataset[[#This Row],[Employee_ID]]</f>
        <v>EMP1377</v>
      </c>
      <c r="B379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379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379" t="b">
        <f>_xlfn.LET(
     _xlpm.d, Employee_dataset[[#This Row],[Join_Date]],
     IF(
        ISNUMBER(_xlpm.d),TRUE,FALSE
       )
    )</f>
        <v>1</v>
      </c>
      <c r="E379" t="b">
        <f>IF(ISERROR(_xlfn.NUMBERVALUE(Employee_dataset[[#This Row],[Salary]])),FALSE,TRUE)</f>
        <v>1</v>
      </c>
      <c r="F379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379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380" spans="1:7" x14ac:dyDescent="0.3">
      <c r="A380" t="str">
        <f>Employee_dataset[[#This Row],[Employee_ID]]</f>
        <v>EMP1378</v>
      </c>
      <c r="B380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380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380" t="b">
        <f>_xlfn.LET(
     _xlpm.d, Employee_dataset[[#This Row],[Join_Date]],
     IF(
        ISNUMBER(_xlpm.d),TRUE,FALSE
       )
    )</f>
        <v>1</v>
      </c>
      <c r="E380" t="b">
        <f>IF(ISERROR(_xlfn.NUMBERVALUE(Employee_dataset[[#This Row],[Salary]])),FALSE,TRUE)</f>
        <v>1</v>
      </c>
      <c r="F380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380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381" spans="1:7" x14ac:dyDescent="0.3">
      <c r="A381" t="str">
        <f>Employee_dataset[[#This Row],[Employee_ID]]</f>
        <v>EMP1379</v>
      </c>
      <c r="B381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381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381" t="b">
        <f>_xlfn.LET(
     _xlpm.d, Employee_dataset[[#This Row],[Join_Date]],
     IF(
        ISNUMBER(_xlpm.d),TRUE,FALSE
       )
    )</f>
        <v>1</v>
      </c>
      <c r="E381" t="b">
        <f>IF(ISERROR(_xlfn.NUMBERVALUE(Employee_dataset[[#This Row],[Salary]])),FALSE,TRUE)</f>
        <v>1</v>
      </c>
      <c r="F381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381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382" spans="1:7" x14ac:dyDescent="0.3">
      <c r="A382" t="str">
        <f>Employee_dataset[[#This Row],[Employee_ID]]</f>
        <v>EMP1380</v>
      </c>
      <c r="B382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382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0</v>
      </c>
      <c r="D382" t="b">
        <f>_xlfn.LET(
     _xlpm.d, Employee_dataset[[#This Row],[Join_Date]],
     IF(
        ISNUMBER(_xlpm.d),TRUE,FALSE
       )
    )</f>
        <v>1</v>
      </c>
      <c r="E382" t="b">
        <f>IF(ISERROR(_xlfn.NUMBERVALUE(Employee_dataset[[#This Row],[Salary]])),FALSE,TRUE)</f>
        <v>1</v>
      </c>
      <c r="F382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>Phone</v>
      </c>
      <c r="G382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383" spans="1:7" x14ac:dyDescent="0.3">
      <c r="A383" t="str">
        <f>Employee_dataset[[#This Row],[Employee_ID]]</f>
        <v>EMP1381</v>
      </c>
      <c r="B383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383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0</v>
      </c>
      <c r="D383" t="b">
        <f>_xlfn.LET(
     _xlpm.d, Employee_dataset[[#This Row],[Join_Date]],
     IF(
        ISNUMBER(_xlpm.d),TRUE,FALSE
       )
    )</f>
        <v>1</v>
      </c>
      <c r="E383" t="b">
        <f>IF(ISERROR(_xlfn.NUMBERVALUE(Employee_dataset[[#This Row],[Salary]])),FALSE,TRUE)</f>
        <v>1</v>
      </c>
      <c r="F383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>Phone</v>
      </c>
      <c r="G383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384" spans="1:7" x14ac:dyDescent="0.3">
      <c r="A384" t="str">
        <f>Employee_dataset[[#This Row],[Employee_ID]]</f>
        <v>EMP1382</v>
      </c>
      <c r="B384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384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384" t="b">
        <f>_xlfn.LET(
     _xlpm.d, Employee_dataset[[#This Row],[Join_Date]],
     IF(
        ISNUMBER(_xlpm.d),TRUE,FALSE
       )
    )</f>
        <v>1</v>
      </c>
      <c r="E384" t="b">
        <f>IF(ISERROR(_xlfn.NUMBERVALUE(Employee_dataset[[#This Row],[Salary]])),FALSE,TRUE)</f>
        <v>1</v>
      </c>
      <c r="F384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384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385" spans="1:7" x14ac:dyDescent="0.3">
      <c r="A385" t="str">
        <f>Employee_dataset[[#This Row],[Employee_ID]]</f>
        <v>EMP1383</v>
      </c>
      <c r="B385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385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385" t="b">
        <f>_xlfn.LET(
     _xlpm.d, Employee_dataset[[#This Row],[Join_Date]],
     IF(
        ISNUMBER(_xlpm.d),TRUE,FALSE
       )
    )</f>
        <v>1</v>
      </c>
      <c r="E385" t="b">
        <f>IF(ISERROR(_xlfn.NUMBERVALUE(Employee_dataset[[#This Row],[Salary]])),FALSE,TRUE)</f>
        <v>1</v>
      </c>
      <c r="F385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385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386" spans="1:7" x14ac:dyDescent="0.3">
      <c r="A386" t="str">
        <f>Employee_dataset[[#This Row],[Employee_ID]]</f>
        <v>EMP1384</v>
      </c>
      <c r="B386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386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386" t="b">
        <f>_xlfn.LET(
     _xlpm.d, Employee_dataset[[#This Row],[Join_Date]],
     IF(
        ISNUMBER(_xlpm.d),TRUE,FALSE
       )
    )</f>
        <v>1</v>
      </c>
      <c r="E386" t="b">
        <f>IF(ISERROR(_xlfn.NUMBERVALUE(Employee_dataset[[#This Row],[Salary]])),FALSE,TRUE)</f>
        <v>1</v>
      </c>
      <c r="F386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386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387" spans="1:7" x14ac:dyDescent="0.3">
      <c r="A387" t="str">
        <f>Employee_dataset[[#This Row],[Employee_ID]]</f>
        <v>EMP1385</v>
      </c>
      <c r="B387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387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0</v>
      </c>
      <c r="D387" t="b">
        <f>_xlfn.LET(
     _xlpm.d, Employee_dataset[[#This Row],[Join_Date]],
     IF(
        ISNUMBER(_xlpm.d),TRUE,FALSE
       )
    )</f>
        <v>1</v>
      </c>
      <c r="E387" t="b">
        <f>IF(ISERROR(_xlfn.NUMBERVALUE(Employee_dataset[[#This Row],[Salary]])),FALSE,TRUE)</f>
        <v>1</v>
      </c>
      <c r="F387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>Phone</v>
      </c>
      <c r="G387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388" spans="1:7" x14ac:dyDescent="0.3">
      <c r="A388" t="str">
        <f>Employee_dataset[[#This Row],[Employee_ID]]</f>
        <v>EMP1386</v>
      </c>
      <c r="B388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388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388" t="b">
        <f>_xlfn.LET(
     _xlpm.d, Employee_dataset[[#This Row],[Join_Date]],
     IF(
        ISNUMBER(_xlpm.d),TRUE,FALSE
       )
    )</f>
        <v>1</v>
      </c>
      <c r="E388" t="b">
        <f>IF(ISERROR(_xlfn.NUMBERVALUE(Employee_dataset[[#This Row],[Salary]])),FALSE,TRUE)</f>
        <v>1</v>
      </c>
      <c r="F388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388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389" spans="1:7" x14ac:dyDescent="0.3">
      <c r="A389" t="str">
        <f>Employee_dataset[[#This Row],[Employee_ID]]</f>
        <v>EMP1387</v>
      </c>
      <c r="B389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389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389" t="b">
        <f>_xlfn.LET(
     _xlpm.d, Employee_dataset[[#This Row],[Join_Date]],
     IF(
        ISNUMBER(_xlpm.d),TRUE,FALSE
       )
    )</f>
        <v>1</v>
      </c>
      <c r="E389" t="b">
        <f>IF(ISERROR(_xlfn.NUMBERVALUE(Employee_dataset[[#This Row],[Salary]])),FALSE,TRUE)</f>
        <v>1</v>
      </c>
      <c r="F389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389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390" spans="1:7" x14ac:dyDescent="0.3">
      <c r="A390" t="str">
        <f>Employee_dataset[[#This Row],[Employee_ID]]</f>
        <v>EMP1388</v>
      </c>
      <c r="B390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390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390" t="b">
        <f>_xlfn.LET(
     _xlpm.d, Employee_dataset[[#This Row],[Join_Date]],
     IF(
        ISNUMBER(_xlpm.d),TRUE,FALSE
       )
    )</f>
        <v>1</v>
      </c>
      <c r="E390" t="b">
        <f>IF(ISERROR(_xlfn.NUMBERVALUE(Employee_dataset[[#This Row],[Salary]])),FALSE,TRUE)</f>
        <v>1</v>
      </c>
      <c r="F390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390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391" spans="1:7" x14ac:dyDescent="0.3">
      <c r="A391" t="str">
        <f>Employee_dataset[[#This Row],[Employee_ID]]</f>
        <v>EMP1389</v>
      </c>
      <c r="B391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391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391" t="b">
        <f>_xlfn.LET(
     _xlpm.d, Employee_dataset[[#This Row],[Join_Date]],
     IF(
        ISNUMBER(_xlpm.d),TRUE,FALSE
       )
    )</f>
        <v>1</v>
      </c>
      <c r="E391" t="b">
        <f>IF(ISERROR(_xlfn.NUMBERVALUE(Employee_dataset[[#This Row],[Salary]])),FALSE,TRUE)</f>
        <v>1</v>
      </c>
      <c r="F391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391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392" spans="1:7" x14ac:dyDescent="0.3">
      <c r="A392" t="str">
        <f>Employee_dataset[[#This Row],[Employee_ID]]</f>
        <v>EMP1390</v>
      </c>
      <c r="B392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392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392" t="b">
        <f>_xlfn.LET(
     _xlpm.d, Employee_dataset[[#This Row],[Join_Date]],
     IF(
        ISNUMBER(_xlpm.d),TRUE,FALSE
       )
    )</f>
        <v>1</v>
      </c>
      <c r="E392" t="b">
        <f>IF(ISERROR(_xlfn.NUMBERVALUE(Employee_dataset[[#This Row],[Salary]])),FALSE,TRUE)</f>
        <v>1</v>
      </c>
      <c r="F392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392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393" spans="1:7" x14ac:dyDescent="0.3">
      <c r="A393" t="str">
        <f>Employee_dataset[[#This Row],[Employee_ID]]</f>
        <v>EMP1391</v>
      </c>
      <c r="B393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393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393" t="b">
        <f>_xlfn.LET(
     _xlpm.d, Employee_dataset[[#This Row],[Join_Date]],
     IF(
        ISNUMBER(_xlpm.d),TRUE,FALSE
       )
    )</f>
        <v>1</v>
      </c>
      <c r="E393" t="b">
        <f>IF(ISERROR(_xlfn.NUMBERVALUE(Employee_dataset[[#This Row],[Salary]])),FALSE,TRUE)</f>
        <v>1</v>
      </c>
      <c r="F393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393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394" spans="1:7" x14ac:dyDescent="0.3">
      <c r="A394" t="str">
        <f>Employee_dataset[[#This Row],[Employee_ID]]</f>
        <v>EMP1392</v>
      </c>
      <c r="B394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394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394" t="b">
        <f>_xlfn.LET(
     _xlpm.d, Employee_dataset[[#This Row],[Join_Date]],
     IF(
        ISNUMBER(_xlpm.d),TRUE,FALSE
       )
    )</f>
        <v>1</v>
      </c>
      <c r="E394" t="b">
        <f>IF(ISERROR(_xlfn.NUMBERVALUE(Employee_dataset[[#This Row],[Salary]])),FALSE,TRUE)</f>
        <v>1</v>
      </c>
      <c r="F394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394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395" spans="1:7" x14ac:dyDescent="0.3">
      <c r="A395" t="str">
        <f>Employee_dataset[[#This Row],[Employee_ID]]</f>
        <v>EMP1393</v>
      </c>
      <c r="B395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395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395" t="b">
        <f>_xlfn.LET(
     _xlpm.d, Employee_dataset[[#This Row],[Join_Date]],
     IF(
        ISNUMBER(_xlpm.d),TRUE,FALSE
       )
    )</f>
        <v>1</v>
      </c>
      <c r="E395" t="b">
        <f>IF(ISERROR(_xlfn.NUMBERVALUE(Employee_dataset[[#This Row],[Salary]])),FALSE,TRUE)</f>
        <v>1</v>
      </c>
      <c r="F395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395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396" spans="1:7" x14ac:dyDescent="0.3">
      <c r="A396" t="str">
        <f>Employee_dataset[[#This Row],[Employee_ID]]</f>
        <v>EMP1394</v>
      </c>
      <c r="B396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396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396" t="b">
        <f>_xlfn.LET(
     _xlpm.d, Employee_dataset[[#This Row],[Join_Date]],
     IF(
        ISNUMBER(_xlpm.d),TRUE,FALSE
       )
    )</f>
        <v>1</v>
      </c>
      <c r="E396" t="b">
        <f>IF(ISERROR(_xlfn.NUMBERVALUE(Employee_dataset[[#This Row],[Salary]])),FALSE,TRUE)</f>
        <v>1</v>
      </c>
      <c r="F396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396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397" spans="1:7" x14ac:dyDescent="0.3">
      <c r="A397" t="str">
        <f>Employee_dataset[[#This Row],[Employee_ID]]</f>
        <v>EMP1395</v>
      </c>
      <c r="B397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397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397" t="b">
        <f>_xlfn.LET(
     _xlpm.d, Employee_dataset[[#This Row],[Join_Date]],
     IF(
        ISNUMBER(_xlpm.d),TRUE,FALSE
       )
    )</f>
        <v>1</v>
      </c>
      <c r="E397" t="b">
        <f>IF(ISERROR(_xlfn.NUMBERVALUE(Employee_dataset[[#This Row],[Salary]])),FALSE,TRUE)</f>
        <v>1</v>
      </c>
      <c r="F397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397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398" spans="1:7" x14ac:dyDescent="0.3">
      <c r="A398" t="str">
        <f>Employee_dataset[[#This Row],[Employee_ID]]</f>
        <v>EMP1396</v>
      </c>
      <c r="B398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398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0</v>
      </c>
      <c r="D398" t="b">
        <f>_xlfn.LET(
     _xlpm.d, Employee_dataset[[#This Row],[Join_Date]],
     IF(
        ISNUMBER(_xlpm.d),TRUE,FALSE
       )
    )</f>
        <v>1</v>
      </c>
      <c r="E398" t="b">
        <f>IF(ISERROR(_xlfn.NUMBERVALUE(Employee_dataset[[#This Row],[Salary]])),FALSE,TRUE)</f>
        <v>1</v>
      </c>
      <c r="F398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>Phone</v>
      </c>
      <c r="G398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399" spans="1:7" x14ac:dyDescent="0.3">
      <c r="A399" t="str">
        <f>Employee_dataset[[#This Row],[Employee_ID]]</f>
        <v>EMP1397</v>
      </c>
      <c r="B399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399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399" t="b">
        <f>_xlfn.LET(
     _xlpm.d, Employee_dataset[[#This Row],[Join_Date]],
     IF(
        ISNUMBER(_xlpm.d),TRUE,FALSE
       )
    )</f>
        <v>1</v>
      </c>
      <c r="E399" t="b">
        <f>IF(ISERROR(_xlfn.NUMBERVALUE(Employee_dataset[[#This Row],[Salary]])),FALSE,TRUE)</f>
        <v>1</v>
      </c>
      <c r="F399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399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400" spans="1:7" x14ac:dyDescent="0.3">
      <c r="A400" t="str">
        <f>Employee_dataset[[#This Row],[Employee_ID]]</f>
        <v>EMP1398</v>
      </c>
      <c r="B400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400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400" t="b">
        <f>_xlfn.LET(
     _xlpm.d, Employee_dataset[[#This Row],[Join_Date]],
     IF(
        ISNUMBER(_xlpm.d),TRUE,FALSE
       )
    )</f>
        <v>1</v>
      </c>
      <c r="E400" t="b">
        <f>IF(ISERROR(_xlfn.NUMBERVALUE(Employee_dataset[[#This Row],[Salary]])),FALSE,TRUE)</f>
        <v>0</v>
      </c>
      <c r="F400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>Salary</v>
      </c>
      <c r="G400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401" spans="1:7" x14ac:dyDescent="0.3">
      <c r="A401" t="str">
        <f>Employee_dataset[[#This Row],[Employee_ID]]</f>
        <v>EMP1399</v>
      </c>
      <c r="B401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401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401" t="b">
        <f>_xlfn.LET(
     _xlpm.d, Employee_dataset[[#This Row],[Join_Date]],
     IF(
        ISNUMBER(_xlpm.d),TRUE,FALSE
       )
    )</f>
        <v>1</v>
      </c>
      <c r="E401" t="b">
        <f>IF(ISERROR(_xlfn.NUMBERVALUE(Employee_dataset[[#This Row],[Salary]])),FALSE,TRUE)</f>
        <v>1</v>
      </c>
      <c r="F401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401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402" spans="1:7" x14ac:dyDescent="0.3">
      <c r="A402" t="str">
        <f>Employee_dataset[[#This Row],[Employee_ID]]</f>
        <v>EMP1400</v>
      </c>
      <c r="B402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402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402" t="b">
        <f>_xlfn.LET(
     _xlpm.d, Employee_dataset[[#This Row],[Join_Date]],
     IF(
        ISNUMBER(_xlpm.d),TRUE,FALSE
       )
    )</f>
        <v>1</v>
      </c>
      <c r="E402" t="b">
        <f>IF(ISERROR(_xlfn.NUMBERVALUE(Employee_dataset[[#This Row],[Salary]])),FALSE,TRUE)</f>
        <v>1</v>
      </c>
      <c r="F402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402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403" spans="1:7" x14ac:dyDescent="0.3">
      <c r="A403" t="str">
        <f>Employee_dataset[[#This Row],[Employee_ID]]</f>
        <v>EMP1401</v>
      </c>
      <c r="B403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403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403" t="b">
        <f>_xlfn.LET(
     _xlpm.d, Employee_dataset[[#This Row],[Join_Date]],
     IF(
        ISNUMBER(_xlpm.d),TRUE,FALSE
       )
    )</f>
        <v>1</v>
      </c>
      <c r="E403" t="b">
        <f>IF(ISERROR(_xlfn.NUMBERVALUE(Employee_dataset[[#This Row],[Salary]])),FALSE,TRUE)</f>
        <v>1</v>
      </c>
      <c r="F403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403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404" spans="1:7" x14ac:dyDescent="0.3">
      <c r="A404" t="str">
        <f>Employee_dataset[[#This Row],[Employee_ID]]</f>
        <v>EMP1402</v>
      </c>
      <c r="B404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404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404" t="b">
        <f>_xlfn.LET(
     _xlpm.d, Employee_dataset[[#This Row],[Join_Date]],
     IF(
        ISNUMBER(_xlpm.d),TRUE,FALSE
       )
    )</f>
        <v>1</v>
      </c>
      <c r="E404" t="b">
        <f>IF(ISERROR(_xlfn.NUMBERVALUE(Employee_dataset[[#This Row],[Salary]])),FALSE,TRUE)</f>
        <v>1</v>
      </c>
      <c r="F404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404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405" spans="1:7" x14ac:dyDescent="0.3">
      <c r="A405" t="str">
        <f>Employee_dataset[[#This Row],[Employee_ID]]</f>
        <v>EMP1403</v>
      </c>
      <c r="B405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405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405" t="b">
        <f>_xlfn.LET(
     _xlpm.d, Employee_dataset[[#This Row],[Join_Date]],
     IF(
        ISNUMBER(_xlpm.d),TRUE,FALSE
       )
    )</f>
        <v>1</v>
      </c>
      <c r="E405" t="b">
        <f>IF(ISERROR(_xlfn.NUMBERVALUE(Employee_dataset[[#This Row],[Salary]])),FALSE,TRUE)</f>
        <v>1</v>
      </c>
      <c r="F405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405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406" spans="1:7" x14ac:dyDescent="0.3">
      <c r="A406" t="str">
        <f>Employee_dataset[[#This Row],[Employee_ID]]</f>
        <v>EMP1404</v>
      </c>
      <c r="B406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406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406" t="b">
        <f>_xlfn.LET(
     _xlpm.d, Employee_dataset[[#This Row],[Join_Date]],
     IF(
        ISNUMBER(_xlpm.d),TRUE,FALSE
       )
    )</f>
        <v>1</v>
      </c>
      <c r="E406" t="b">
        <f>IF(ISERROR(_xlfn.NUMBERVALUE(Employee_dataset[[#This Row],[Salary]])),FALSE,TRUE)</f>
        <v>1</v>
      </c>
      <c r="F406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406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407" spans="1:7" x14ac:dyDescent="0.3">
      <c r="A407" t="str">
        <f>Employee_dataset[[#This Row],[Employee_ID]]</f>
        <v>EMP1405</v>
      </c>
      <c r="B407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407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407" t="b">
        <f>_xlfn.LET(
     _xlpm.d, Employee_dataset[[#This Row],[Join_Date]],
     IF(
        ISNUMBER(_xlpm.d),TRUE,FALSE
       )
    )</f>
        <v>1</v>
      </c>
      <c r="E407" t="b">
        <f>IF(ISERROR(_xlfn.NUMBERVALUE(Employee_dataset[[#This Row],[Salary]])),FALSE,TRUE)</f>
        <v>1</v>
      </c>
      <c r="F407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407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408" spans="1:7" x14ac:dyDescent="0.3">
      <c r="A408" t="str">
        <f>Employee_dataset[[#This Row],[Employee_ID]]</f>
        <v>EMP1406</v>
      </c>
      <c r="B408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408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408" t="b">
        <f>_xlfn.LET(
     _xlpm.d, Employee_dataset[[#This Row],[Join_Date]],
     IF(
        ISNUMBER(_xlpm.d),TRUE,FALSE
       )
    )</f>
        <v>1</v>
      </c>
      <c r="E408" t="b">
        <f>IF(ISERROR(_xlfn.NUMBERVALUE(Employee_dataset[[#This Row],[Salary]])),FALSE,TRUE)</f>
        <v>1</v>
      </c>
      <c r="F408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408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409" spans="1:7" x14ac:dyDescent="0.3">
      <c r="A409" t="str">
        <f>Employee_dataset[[#This Row],[Employee_ID]]</f>
        <v>EMP1407</v>
      </c>
      <c r="B409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409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409" t="b">
        <f>_xlfn.LET(
     _xlpm.d, Employee_dataset[[#This Row],[Join_Date]],
     IF(
        ISNUMBER(_xlpm.d),TRUE,FALSE
       )
    )</f>
        <v>1</v>
      </c>
      <c r="E409" t="b">
        <f>IF(ISERROR(_xlfn.NUMBERVALUE(Employee_dataset[[#This Row],[Salary]])),FALSE,TRUE)</f>
        <v>1</v>
      </c>
      <c r="F409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409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410" spans="1:7" x14ac:dyDescent="0.3">
      <c r="A410" t="str">
        <f>Employee_dataset[[#This Row],[Employee_ID]]</f>
        <v>EMP1408</v>
      </c>
      <c r="B410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410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410" t="b">
        <f>_xlfn.LET(
     _xlpm.d, Employee_dataset[[#This Row],[Join_Date]],
     IF(
        ISNUMBER(_xlpm.d),TRUE,FALSE
       )
    )</f>
        <v>1</v>
      </c>
      <c r="E410" t="b">
        <f>IF(ISERROR(_xlfn.NUMBERVALUE(Employee_dataset[[#This Row],[Salary]])),FALSE,TRUE)</f>
        <v>1</v>
      </c>
      <c r="F410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410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411" spans="1:7" x14ac:dyDescent="0.3">
      <c r="A411" t="str">
        <f>Employee_dataset[[#This Row],[Employee_ID]]</f>
        <v>EMP1409</v>
      </c>
      <c r="B411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411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411" t="b">
        <f>_xlfn.LET(
     _xlpm.d, Employee_dataset[[#This Row],[Join_Date]],
     IF(
        ISNUMBER(_xlpm.d),TRUE,FALSE
       )
    )</f>
        <v>1</v>
      </c>
      <c r="E411" t="b">
        <f>IF(ISERROR(_xlfn.NUMBERVALUE(Employee_dataset[[#This Row],[Salary]])),FALSE,TRUE)</f>
        <v>1</v>
      </c>
      <c r="F411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411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412" spans="1:7" x14ac:dyDescent="0.3">
      <c r="A412" t="str">
        <f>Employee_dataset[[#This Row],[Employee_ID]]</f>
        <v>EMP1410</v>
      </c>
      <c r="B412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412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412" t="b">
        <f>_xlfn.LET(
     _xlpm.d, Employee_dataset[[#This Row],[Join_Date]],
     IF(
        ISNUMBER(_xlpm.d),TRUE,FALSE
       )
    )</f>
        <v>1</v>
      </c>
      <c r="E412" t="b">
        <f>IF(ISERROR(_xlfn.NUMBERVALUE(Employee_dataset[[#This Row],[Salary]])),FALSE,TRUE)</f>
        <v>1</v>
      </c>
      <c r="F412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412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413" spans="1:7" x14ac:dyDescent="0.3">
      <c r="A413" t="str">
        <f>Employee_dataset[[#This Row],[Employee_ID]]</f>
        <v>EMP1411</v>
      </c>
      <c r="B413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413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413" t="b">
        <f>_xlfn.LET(
     _xlpm.d, Employee_dataset[[#This Row],[Join_Date]],
     IF(
        ISNUMBER(_xlpm.d),TRUE,FALSE
       )
    )</f>
        <v>1</v>
      </c>
      <c r="E413" t="b">
        <f>IF(ISERROR(_xlfn.NUMBERVALUE(Employee_dataset[[#This Row],[Salary]])),FALSE,TRUE)</f>
        <v>1</v>
      </c>
      <c r="F413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413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414" spans="1:7" x14ac:dyDescent="0.3">
      <c r="A414" t="str">
        <f>Employee_dataset[[#This Row],[Employee_ID]]</f>
        <v>EMP1412</v>
      </c>
      <c r="B414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414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414" t="b">
        <f>_xlfn.LET(
     _xlpm.d, Employee_dataset[[#This Row],[Join_Date]],
     IF(
        ISNUMBER(_xlpm.d),TRUE,FALSE
       )
    )</f>
        <v>1</v>
      </c>
      <c r="E414" t="b">
        <f>IF(ISERROR(_xlfn.NUMBERVALUE(Employee_dataset[[#This Row],[Salary]])),FALSE,TRUE)</f>
        <v>1</v>
      </c>
      <c r="F414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414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415" spans="1:7" x14ac:dyDescent="0.3">
      <c r="A415" t="str">
        <f>Employee_dataset[[#This Row],[Employee_ID]]</f>
        <v>EMP1413</v>
      </c>
      <c r="B415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415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415" t="b">
        <f>_xlfn.LET(
     _xlpm.d, Employee_dataset[[#This Row],[Join_Date]],
     IF(
        ISNUMBER(_xlpm.d),TRUE,FALSE
       )
    )</f>
        <v>1</v>
      </c>
      <c r="E415" t="b">
        <f>IF(ISERROR(_xlfn.NUMBERVALUE(Employee_dataset[[#This Row],[Salary]])),FALSE,TRUE)</f>
        <v>1</v>
      </c>
      <c r="F415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415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416" spans="1:7" x14ac:dyDescent="0.3">
      <c r="A416" t="str">
        <f>Employee_dataset[[#This Row],[Employee_ID]]</f>
        <v>EMP1414</v>
      </c>
      <c r="B416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416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416" t="b">
        <f>_xlfn.LET(
     _xlpm.d, Employee_dataset[[#This Row],[Join_Date]],
     IF(
        ISNUMBER(_xlpm.d),TRUE,FALSE
       )
    )</f>
        <v>1</v>
      </c>
      <c r="E416" t="b">
        <f>IF(ISERROR(_xlfn.NUMBERVALUE(Employee_dataset[[#This Row],[Salary]])),FALSE,TRUE)</f>
        <v>1</v>
      </c>
      <c r="F416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416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417" spans="1:7" x14ac:dyDescent="0.3">
      <c r="A417" t="str">
        <f>Employee_dataset[[#This Row],[Employee_ID]]</f>
        <v>EMP1415</v>
      </c>
      <c r="B417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417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0</v>
      </c>
      <c r="D417" t="b">
        <f>_xlfn.LET(
     _xlpm.d, Employee_dataset[[#This Row],[Join_Date]],
     IF(
        ISNUMBER(_xlpm.d),TRUE,FALSE
       )
    )</f>
        <v>1</v>
      </c>
      <c r="E417" t="b">
        <f>IF(ISERROR(_xlfn.NUMBERVALUE(Employee_dataset[[#This Row],[Salary]])),FALSE,TRUE)</f>
        <v>1</v>
      </c>
      <c r="F417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>Phone</v>
      </c>
      <c r="G417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418" spans="1:7" x14ac:dyDescent="0.3">
      <c r="A418" t="str">
        <f>Employee_dataset[[#This Row],[Employee_ID]]</f>
        <v>EMP1416</v>
      </c>
      <c r="B418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418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418" t="b">
        <f>_xlfn.LET(
     _xlpm.d, Employee_dataset[[#This Row],[Join_Date]],
     IF(
        ISNUMBER(_xlpm.d),TRUE,FALSE
       )
    )</f>
        <v>1</v>
      </c>
      <c r="E418" t="b">
        <f>IF(ISERROR(_xlfn.NUMBERVALUE(Employee_dataset[[#This Row],[Salary]])),FALSE,TRUE)</f>
        <v>1</v>
      </c>
      <c r="F418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418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419" spans="1:7" x14ac:dyDescent="0.3">
      <c r="A419" t="str">
        <f>Employee_dataset[[#This Row],[Employee_ID]]</f>
        <v>EMP1417</v>
      </c>
      <c r="B419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419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419" t="b">
        <f>_xlfn.LET(
     _xlpm.d, Employee_dataset[[#This Row],[Join_Date]],
     IF(
        ISNUMBER(_xlpm.d),TRUE,FALSE
       )
    )</f>
        <v>1</v>
      </c>
      <c r="E419" t="b">
        <f>IF(ISERROR(_xlfn.NUMBERVALUE(Employee_dataset[[#This Row],[Salary]])),FALSE,TRUE)</f>
        <v>1</v>
      </c>
      <c r="F419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419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420" spans="1:7" x14ac:dyDescent="0.3">
      <c r="A420" t="str">
        <f>Employee_dataset[[#This Row],[Employee_ID]]</f>
        <v>EMP1418</v>
      </c>
      <c r="B420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420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420" t="b">
        <f>_xlfn.LET(
     _xlpm.d, Employee_dataset[[#This Row],[Join_Date]],
     IF(
        ISNUMBER(_xlpm.d),TRUE,FALSE
       )
    )</f>
        <v>1</v>
      </c>
      <c r="E420" t="b">
        <f>IF(ISERROR(_xlfn.NUMBERVALUE(Employee_dataset[[#This Row],[Salary]])),FALSE,TRUE)</f>
        <v>1</v>
      </c>
      <c r="F420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420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421" spans="1:7" x14ac:dyDescent="0.3">
      <c r="A421" t="str">
        <f>Employee_dataset[[#This Row],[Employee_ID]]</f>
        <v>EMP1419</v>
      </c>
      <c r="B421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421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421" t="b">
        <f>_xlfn.LET(
     _xlpm.d, Employee_dataset[[#This Row],[Join_Date]],
     IF(
        ISNUMBER(_xlpm.d),TRUE,FALSE
       )
    )</f>
        <v>1</v>
      </c>
      <c r="E421" t="b">
        <f>IF(ISERROR(_xlfn.NUMBERVALUE(Employee_dataset[[#This Row],[Salary]])),FALSE,TRUE)</f>
        <v>1</v>
      </c>
      <c r="F421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421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422" spans="1:7" x14ac:dyDescent="0.3">
      <c r="A422" t="str">
        <f>Employee_dataset[[#This Row],[Employee_ID]]</f>
        <v>EMP1420</v>
      </c>
      <c r="B422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422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422" t="b">
        <f>_xlfn.LET(
     _xlpm.d, Employee_dataset[[#This Row],[Join_Date]],
     IF(
        ISNUMBER(_xlpm.d),TRUE,FALSE
       )
    )</f>
        <v>1</v>
      </c>
      <c r="E422" t="b">
        <f>IF(ISERROR(_xlfn.NUMBERVALUE(Employee_dataset[[#This Row],[Salary]])),FALSE,TRUE)</f>
        <v>1</v>
      </c>
      <c r="F422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422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423" spans="1:7" x14ac:dyDescent="0.3">
      <c r="A423" t="str">
        <f>Employee_dataset[[#This Row],[Employee_ID]]</f>
        <v>EMP1421</v>
      </c>
      <c r="B423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423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423" t="b">
        <f>_xlfn.LET(
     _xlpm.d, Employee_dataset[[#This Row],[Join_Date]],
     IF(
        ISNUMBER(_xlpm.d),TRUE,FALSE
       )
    )</f>
        <v>1</v>
      </c>
      <c r="E423" t="b">
        <f>IF(ISERROR(_xlfn.NUMBERVALUE(Employee_dataset[[#This Row],[Salary]])),FALSE,TRUE)</f>
        <v>1</v>
      </c>
      <c r="F423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423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424" spans="1:7" x14ac:dyDescent="0.3">
      <c r="A424" t="str">
        <f>Employee_dataset[[#This Row],[Employee_ID]]</f>
        <v>EMP1422</v>
      </c>
      <c r="B424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424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424" t="b">
        <f>_xlfn.LET(
     _xlpm.d, Employee_dataset[[#This Row],[Join_Date]],
     IF(
        ISNUMBER(_xlpm.d),TRUE,FALSE
       )
    )</f>
        <v>1</v>
      </c>
      <c r="E424" t="b">
        <f>IF(ISERROR(_xlfn.NUMBERVALUE(Employee_dataset[[#This Row],[Salary]])),FALSE,TRUE)</f>
        <v>1</v>
      </c>
      <c r="F424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424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425" spans="1:7" x14ac:dyDescent="0.3">
      <c r="A425" t="str">
        <f>Employee_dataset[[#This Row],[Employee_ID]]</f>
        <v>EMP1423</v>
      </c>
      <c r="B425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425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425" t="b">
        <f>_xlfn.LET(
     _xlpm.d, Employee_dataset[[#This Row],[Join_Date]],
     IF(
        ISNUMBER(_xlpm.d),TRUE,FALSE
       )
    )</f>
        <v>1</v>
      </c>
      <c r="E425" t="b">
        <f>IF(ISERROR(_xlfn.NUMBERVALUE(Employee_dataset[[#This Row],[Salary]])),FALSE,TRUE)</f>
        <v>1</v>
      </c>
      <c r="F425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425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426" spans="1:7" x14ac:dyDescent="0.3">
      <c r="A426" t="str">
        <f>Employee_dataset[[#This Row],[Employee_ID]]</f>
        <v>EMP1424</v>
      </c>
      <c r="B426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426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0</v>
      </c>
      <c r="D426" t="b">
        <f>_xlfn.LET(
     _xlpm.d, Employee_dataset[[#This Row],[Join_Date]],
     IF(
        ISNUMBER(_xlpm.d),TRUE,FALSE
       )
    )</f>
        <v>1</v>
      </c>
      <c r="E426" t="b">
        <f>IF(ISERROR(_xlfn.NUMBERVALUE(Employee_dataset[[#This Row],[Salary]])),FALSE,TRUE)</f>
        <v>1</v>
      </c>
      <c r="F426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>Phone</v>
      </c>
      <c r="G426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427" spans="1:7" x14ac:dyDescent="0.3">
      <c r="A427" t="str">
        <f>Employee_dataset[[#This Row],[Employee_ID]]</f>
        <v>EMP1425</v>
      </c>
      <c r="B427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427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427" t="b">
        <f>_xlfn.LET(
     _xlpm.d, Employee_dataset[[#This Row],[Join_Date]],
     IF(
        ISNUMBER(_xlpm.d),TRUE,FALSE
       )
    )</f>
        <v>1</v>
      </c>
      <c r="E427" t="b">
        <f>IF(ISERROR(_xlfn.NUMBERVALUE(Employee_dataset[[#This Row],[Salary]])),FALSE,TRUE)</f>
        <v>1</v>
      </c>
      <c r="F427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427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428" spans="1:7" x14ac:dyDescent="0.3">
      <c r="A428" t="str">
        <f>Employee_dataset[[#This Row],[Employee_ID]]</f>
        <v>EMP1426</v>
      </c>
      <c r="B428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428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428" t="b">
        <f>_xlfn.LET(
     _xlpm.d, Employee_dataset[[#This Row],[Join_Date]],
     IF(
        ISNUMBER(_xlpm.d),TRUE,FALSE
       )
    )</f>
        <v>1</v>
      </c>
      <c r="E428" t="b">
        <f>IF(ISERROR(_xlfn.NUMBERVALUE(Employee_dataset[[#This Row],[Salary]])),FALSE,TRUE)</f>
        <v>1</v>
      </c>
      <c r="F428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428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429" spans="1:7" x14ac:dyDescent="0.3">
      <c r="A429" t="str">
        <f>Employee_dataset[[#This Row],[Employee_ID]]</f>
        <v>EMP1427</v>
      </c>
      <c r="B429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429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429" t="b">
        <f>_xlfn.LET(
     _xlpm.d, Employee_dataset[[#This Row],[Join_Date]],
     IF(
        ISNUMBER(_xlpm.d),TRUE,FALSE
       )
    )</f>
        <v>1</v>
      </c>
      <c r="E429" t="b">
        <f>IF(ISERROR(_xlfn.NUMBERVALUE(Employee_dataset[[#This Row],[Salary]])),FALSE,TRUE)</f>
        <v>1</v>
      </c>
      <c r="F429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429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430" spans="1:7" x14ac:dyDescent="0.3">
      <c r="A430" t="str">
        <f>Employee_dataset[[#This Row],[Employee_ID]]</f>
        <v>EMP1428</v>
      </c>
      <c r="B430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430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430" t="b">
        <f>_xlfn.LET(
     _xlpm.d, Employee_dataset[[#This Row],[Join_Date]],
     IF(
        ISNUMBER(_xlpm.d),TRUE,FALSE
       )
    )</f>
        <v>1</v>
      </c>
      <c r="E430" t="b">
        <f>IF(ISERROR(_xlfn.NUMBERVALUE(Employee_dataset[[#This Row],[Salary]])),FALSE,TRUE)</f>
        <v>1</v>
      </c>
      <c r="F430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430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431" spans="1:7" x14ac:dyDescent="0.3">
      <c r="A431" t="str">
        <f>Employee_dataset[[#This Row],[Employee_ID]]</f>
        <v>EMP1429</v>
      </c>
      <c r="B431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431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431" t="b">
        <f>_xlfn.LET(
     _xlpm.d, Employee_dataset[[#This Row],[Join_Date]],
     IF(
        ISNUMBER(_xlpm.d),TRUE,FALSE
       )
    )</f>
        <v>1</v>
      </c>
      <c r="E431" t="b">
        <f>IF(ISERROR(_xlfn.NUMBERVALUE(Employee_dataset[[#This Row],[Salary]])),FALSE,TRUE)</f>
        <v>1</v>
      </c>
      <c r="F431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431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432" spans="1:7" x14ac:dyDescent="0.3">
      <c r="A432" t="str">
        <f>Employee_dataset[[#This Row],[Employee_ID]]</f>
        <v>EMP1430</v>
      </c>
      <c r="B432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432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432" t="b">
        <f>_xlfn.LET(
     _xlpm.d, Employee_dataset[[#This Row],[Join_Date]],
     IF(
        ISNUMBER(_xlpm.d),TRUE,FALSE
       )
    )</f>
        <v>1</v>
      </c>
      <c r="E432" t="b">
        <f>IF(ISERROR(_xlfn.NUMBERVALUE(Employee_dataset[[#This Row],[Salary]])),FALSE,TRUE)</f>
        <v>1</v>
      </c>
      <c r="F432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432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433" spans="1:7" x14ac:dyDescent="0.3">
      <c r="A433" t="str">
        <f>Employee_dataset[[#This Row],[Employee_ID]]</f>
        <v>EMP1431</v>
      </c>
      <c r="B433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433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433" t="b">
        <f>_xlfn.LET(
     _xlpm.d, Employee_dataset[[#This Row],[Join_Date]],
     IF(
        ISNUMBER(_xlpm.d),TRUE,FALSE
       )
    )</f>
        <v>1</v>
      </c>
      <c r="E433" t="b">
        <f>IF(ISERROR(_xlfn.NUMBERVALUE(Employee_dataset[[#This Row],[Salary]])),FALSE,TRUE)</f>
        <v>1</v>
      </c>
      <c r="F433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433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434" spans="1:7" x14ac:dyDescent="0.3">
      <c r="A434" t="str">
        <f>Employee_dataset[[#This Row],[Employee_ID]]</f>
        <v>EMP1432</v>
      </c>
      <c r="B434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434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434" t="b">
        <f>_xlfn.LET(
     _xlpm.d, Employee_dataset[[#This Row],[Join_Date]],
     IF(
        ISNUMBER(_xlpm.d),TRUE,FALSE
       )
    )</f>
        <v>1</v>
      </c>
      <c r="E434" t="b">
        <f>IF(ISERROR(_xlfn.NUMBERVALUE(Employee_dataset[[#This Row],[Salary]])),FALSE,TRUE)</f>
        <v>1</v>
      </c>
      <c r="F434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434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435" spans="1:7" x14ac:dyDescent="0.3">
      <c r="A435" t="str">
        <f>Employee_dataset[[#This Row],[Employee_ID]]</f>
        <v>EMP1433</v>
      </c>
      <c r="B435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435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435" t="b">
        <f>_xlfn.LET(
     _xlpm.d, Employee_dataset[[#This Row],[Join_Date]],
     IF(
        ISNUMBER(_xlpm.d),TRUE,FALSE
       )
    )</f>
        <v>1</v>
      </c>
      <c r="E435" t="b">
        <f>IF(ISERROR(_xlfn.NUMBERVALUE(Employee_dataset[[#This Row],[Salary]])),FALSE,TRUE)</f>
        <v>1</v>
      </c>
      <c r="F435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435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436" spans="1:7" x14ac:dyDescent="0.3">
      <c r="A436" t="str">
        <f>Employee_dataset[[#This Row],[Employee_ID]]</f>
        <v>EMP1434</v>
      </c>
      <c r="B436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436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436" t="b">
        <f>_xlfn.LET(
     _xlpm.d, Employee_dataset[[#This Row],[Join_Date]],
     IF(
        ISNUMBER(_xlpm.d),TRUE,FALSE
       )
    )</f>
        <v>1</v>
      </c>
      <c r="E436" t="b">
        <f>IF(ISERROR(_xlfn.NUMBERVALUE(Employee_dataset[[#This Row],[Salary]])),FALSE,TRUE)</f>
        <v>1</v>
      </c>
      <c r="F436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436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437" spans="1:7" x14ac:dyDescent="0.3">
      <c r="A437" t="str">
        <f>Employee_dataset[[#This Row],[Employee_ID]]</f>
        <v>EMP1435</v>
      </c>
      <c r="B437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437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437" t="b">
        <f>_xlfn.LET(
     _xlpm.d, Employee_dataset[[#This Row],[Join_Date]],
     IF(
        ISNUMBER(_xlpm.d),TRUE,FALSE
       )
    )</f>
        <v>1</v>
      </c>
      <c r="E437" t="b">
        <f>IF(ISERROR(_xlfn.NUMBERVALUE(Employee_dataset[[#This Row],[Salary]])),FALSE,TRUE)</f>
        <v>1</v>
      </c>
      <c r="F437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437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438" spans="1:7" x14ac:dyDescent="0.3">
      <c r="A438" t="str">
        <f>Employee_dataset[[#This Row],[Employee_ID]]</f>
        <v>EMP1436</v>
      </c>
      <c r="B438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438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438" t="b">
        <f>_xlfn.LET(
     _xlpm.d, Employee_dataset[[#This Row],[Join_Date]],
     IF(
        ISNUMBER(_xlpm.d),TRUE,FALSE
       )
    )</f>
        <v>1</v>
      </c>
      <c r="E438" t="b">
        <f>IF(ISERROR(_xlfn.NUMBERVALUE(Employee_dataset[[#This Row],[Salary]])),FALSE,TRUE)</f>
        <v>1</v>
      </c>
      <c r="F438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438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439" spans="1:7" x14ac:dyDescent="0.3">
      <c r="A439" t="str">
        <f>Employee_dataset[[#This Row],[Employee_ID]]</f>
        <v>EMP1437</v>
      </c>
      <c r="B439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439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439" t="b">
        <f>_xlfn.LET(
     _xlpm.d, Employee_dataset[[#This Row],[Join_Date]],
     IF(
        ISNUMBER(_xlpm.d),TRUE,FALSE
       )
    )</f>
        <v>1</v>
      </c>
      <c r="E439" t="b">
        <f>IF(ISERROR(_xlfn.NUMBERVALUE(Employee_dataset[[#This Row],[Salary]])),FALSE,TRUE)</f>
        <v>1</v>
      </c>
      <c r="F439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439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440" spans="1:7" x14ac:dyDescent="0.3">
      <c r="A440" t="str">
        <f>Employee_dataset[[#This Row],[Employee_ID]]</f>
        <v>EMP1438</v>
      </c>
      <c r="B440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440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440" t="b">
        <f>_xlfn.LET(
     _xlpm.d, Employee_dataset[[#This Row],[Join_Date]],
     IF(
        ISNUMBER(_xlpm.d),TRUE,FALSE
       )
    )</f>
        <v>1</v>
      </c>
      <c r="E440" t="b">
        <f>IF(ISERROR(_xlfn.NUMBERVALUE(Employee_dataset[[#This Row],[Salary]])),FALSE,TRUE)</f>
        <v>1</v>
      </c>
      <c r="F440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440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441" spans="1:7" x14ac:dyDescent="0.3">
      <c r="A441" t="str">
        <f>Employee_dataset[[#This Row],[Employee_ID]]</f>
        <v>EMP1439</v>
      </c>
      <c r="B441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441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441" t="b">
        <f>_xlfn.LET(
     _xlpm.d, Employee_dataset[[#This Row],[Join_Date]],
     IF(
        ISNUMBER(_xlpm.d),TRUE,FALSE
       )
    )</f>
        <v>1</v>
      </c>
      <c r="E441" t="b">
        <f>IF(ISERROR(_xlfn.NUMBERVALUE(Employee_dataset[[#This Row],[Salary]])),FALSE,TRUE)</f>
        <v>1</v>
      </c>
      <c r="F441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441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442" spans="1:7" x14ac:dyDescent="0.3">
      <c r="A442" t="str">
        <f>Employee_dataset[[#This Row],[Employee_ID]]</f>
        <v>EMP1440</v>
      </c>
      <c r="B442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442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0</v>
      </c>
      <c r="D442" t="b">
        <f>_xlfn.LET(
     _xlpm.d, Employee_dataset[[#This Row],[Join_Date]],
     IF(
        ISNUMBER(_xlpm.d),TRUE,FALSE
       )
    )</f>
        <v>1</v>
      </c>
      <c r="E442" t="b">
        <f>IF(ISERROR(_xlfn.NUMBERVALUE(Employee_dataset[[#This Row],[Salary]])),FALSE,TRUE)</f>
        <v>1</v>
      </c>
      <c r="F442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>Phone</v>
      </c>
      <c r="G442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443" spans="1:7" x14ac:dyDescent="0.3">
      <c r="A443" t="str">
        <f>Employee_dataset[[#This Row],[Employee_ID]]</f>
        <v>EMP1441</v>
      </c>
      <c r="B443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443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443" t="b">
        <f>_xlfn.LET(
     _xlpm.d, Employee_dataset[[#This Row],[Join_Date]],
     IF(
        ISNUMBER(_xlpm.d),TRUE,FALSE
       )
    )</f>
        <v>1</v>
      </c>
      <c r="E443" t="b">
        <f>IF(ISERROR(_xlfn.NUMBERVALUE(Employee_dataset[[#This Row],[Salary]])),FALSE,TRUE)</f>
        <v>1</v>
      </c>
      <c r="F443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443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444" spans="1:7" x14ac:dyDescent="0.3">
      <c r="A444" t="str">
        <f>Employee_dataset[[#This Row],[Employee_ID]]</f>
        <v>EMP1442</v>
      </c>
      <c r="B444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444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444" t="b">
        <f>_xlfn.LET(
     _xlpm.d, Employee_dataset[[#This Row],[Join_Date]],
     IF(
        ISNUMBER(_xlpm.d),TRUE,FALSE
       )
    )</f>
        <v>1</v>
      </c>
      <c r="E444" t="b">
        <f>IF(ISERROR(_xlfn.NUMBERVALUE(Employee_dataset[[#This Row],[Salary]])),FALSE,TRUE)</f>
        <v>1</v>
      </c>
      <c r="F444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444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445" spans="1:7" x14ac:dyDescent="0.3">
      <c r="A445" t="str">
        <f>Employee_dataset[[#This Row],[Employee_ID]]</f>
        <v>EMP1443</v>
      </c>
      <c r="B445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445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445" t="b">
        <f>_xlfn.LET(
     _xlpm.d, Employee_dataset[[#This Row],[Join_Date]],
     IF(
        ISNUMBER(_xlpm.d),TRUE,FALSE
       )
    )</f>
        <v>1</v>
      </c>
      <c r="E445" t="b">
        <f>IF(ISERROR(_xlfn.NUMBERVALUE(Employee_dataset[[#This Row],[Salary]])),FALSE,TRUE)</f>
        <v>1</v>
      </c>
      <c r="F445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445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446" spans="1:7" x14ac:dyDescent="0.3">
      <c r="A446" t="str">
        <f>Employee_dataset[[#This Row],[Employee_ID]]</f>
        <v>EMP1444</v>
      </c>
      <c r="B446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446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446" t="b">
        <f>_xlfn.LET(
     _xlpm.d, Employee_dataset[[#This Row],[Join_Date]],
     IF(
        ISNUMBER(_xlpm.d),TRUE,FALSE
       )
    )</f>
        <v>1</v>
      </c>
      <c r="E446" t="b">
        <f>IF(ISERROR(_xlfn.NUMBERVALUE(Employee_dataset[[#This Row],[Salary]])),FALSE,TRUE)</f>
        <v>1</v>
      </c>
      <c r="F446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446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447" spans="1:7" x14ac:dyDescent="0.3">
      <c r="A447" t="str">
        <f>Employee_dataset[[#This Row],[Employee_ID]]</f>
        <v>EMP1445</v>
      </c>
      <c r="B447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447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447" t="b">
        <f>_xlfn.LET(
     _xlpm.d, Employee_dataset[[#This Row],[Join_Date]],
     IF(
        ISNUMBER(_xlpm.d),TRUE,FALSE
       )
    )</f>
        <v>1</v>
      </c>
      <c r="E447" t="b">
        <f>IF(ISERROR(_xlfn.NUMBERVALUE(Employee_dataset[[#This Row],[Salary]])),FALSE,TRUE)</f>
        <v>1</v>
      </c>
      <c r="F447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447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448" spans="1:7" x14ac:dyDescent="0.3">
      <c r="A448" t="str">
        <f>Employee_dataset[[#This Row],[Employee_ID]]</f>
        <v>EMP1446</v>
      </c>
      <c r="B448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448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448" t="b">
        <f>_xlfn.LET(
     _xlpm.d, Employee_dataset[[#This Row],[Join_Date]],
     IF(
        ISNUMBER(_xlpm.d),TRUE,FALSE
       )
    )</f>
        <v>1</v>
      </c>
      <c r="E448" t="b">
        <f>IF(ISERROR(_xlfn.NUMBERVALUE(Employee_dataset[[#This Row],[Salary]])),FALSE,TRUE)</f>
        <v>1</v>
      </c>
      <c r="F448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448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449" spans="1:7" x14ac:dyDescent="0.3">
      <c r="A449" t="str">
        <f>Employee_dataset[[#This Row],[Employee_ID]]</f>
        <v>EMP1447</v>
      </c>
      <c r="B449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449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449" t="b">
        <f>_xlfn.LET(
     _xlpm.d, Employee_dataset[[#This Row],[Join_Date]],
     IF(
        ISNUMBER(_xlpm.d),TRUE,FALSE
       )
    )</f>
        <v>1</v>
      </c>
      <c r="E449" t="b">
        <f>IF(ISERROR(_xlfn.NUMBERVALUE(Employee_dataset[[#This Row],[Salary]])),FALSE,TRUE)</f>
        <v>1</v>
      </c>
      <c r="F449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449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450" spans="1:7" x14ac:dyDescent="0.3">
      <c r="A450" t="str">
        <f>Employee_dataset[[#This Row],[Employee_ID]]</f>
        <v>EMP1448</v>
      </c>
      <c r="B450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450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450" t="b">
        <f>_xlfn.LET(
     _xlpm.d, Employee_dataset[[#This Row],[Join_Date]],
     IF(
        ISNUMBER(_xlpm.d),TRUE,FALSE
       )
    )</f>
        <v>1</v>
      </c>
      <c r="E450" t="b">
        <f>IF(ISERROR(_xlfn.NUMBERVALUE(Employee_dataset[[#This Row],[Salary]])),FALSE,TRUE)</f>
        <v>1</v>
      </c>
      <c r="F450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450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451" spans="1:7" x14ac:dyDescent="0.3">
      <c r="A451" t="str">
        <f>Employee_dataset[[#This Row],[Employee_ID]]</f>
        <v>EMP1449</v>
      </c>
      <c r="B451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451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451" t="b">
        <f>_xlfn.LET(
     _xlpm.d, Employee_dataset[[#This Row],[Join_Date]],
     IF(
        ISNUMBER(_xlpm.d),TRUE,FALSE
       )
    )</f>
        <v>1</v>
      </c>
      <c r="E451" t="b">
        <f>IF(ISERROR(_xlfn.NUMBERVALUE(Employee_dataset[[#This Row],[Salary]])),FALSE,TRUE)</f>
        <v>1</v>
      </c>
      <c r="F451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451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452" spans="1:7" x14ac:dyDescent="0.3">
      <c r="A452" t="str">
        <f>Employee_dataset[[#This Row],[Employee_ID]]</f>
        <v>EMP1450</v>
      </c>
      <c r="B452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452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0</v>
      </c>
      <c r="D452" t="b">
        <f>_xlfn.LET(
     _xlpm.d, Employee_dataset[[#This Row],[Join_Date]],
     IF(
        ISNUMBER(_xlpm.d),TRUE,FALSE
       )
    )</f>
        <v>1</v>
      </c>
      <c r="E452" t="b">
        <f>IF(ISERROR(_xlfn.NUMBERVALUE(Employee_dataset[[#This Row],[Salary]])),FALSE,TRUE)</f>
        <v>1</v>
      </c>
      <c r="F452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>Phone</v>
      </c>
      <c r="G452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453" spans="1:7" x14ac:dyDescent="0.3">
      <c r="A453" t="str">
        <f>Employee_dataset[[#This Row],[Employee_ID]]</f>
        <v>EMP1451</v>
      </c>
      <c r="B453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453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453" t="b">
        <f>_xlfn.LET(
     _xlpm.d, Employee_dataset[[#This Row],[Join_Date]],
     IF(
        ISNUMBER(_xlpm.d),TRUE,FALSE
       )
    )</f>
        <v>1</v>
      </c>
      <c r="E453" t="b">
        <f>IF(ISERROR(_xlfn.NUMBERVALUE(Employee_dataset[[#This Row],[Salary]])),FALSE,TRUE)</f>
        <v>1</v>
      </c>
      <c r="F453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453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454" spans="1:7" x14ac:dyDescent="0.3">
      <c r="A454" t="str">
        <f>Employee_dataset[[#This Row],[Employee_ID]]</f>
        <v>EMP1452</v>
      </c>
      <c r="B454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454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454" t="b">
        <f>_xlfn.LET(
     _xlpm.d, Employee_dataset[[#This Row],[Join_Date]],
     IF(
        ISNUMBER(_xlpm.d),TRUE,FALSE
       )
    )</f>
        <v>1</v>
      </c>
      <c r="E454" t="b">
        <f>IF(ISERROR(_xlfn.NUMBERVALUE(Employee_dataset[[#This Row],[Salary]])),FALSE,TRUE)</f>
        <v>1</v>
      </c>
      <c r="F454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454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455" spans="1:7" x14ac:dyDescent="0.3">
      <c r="A455" t="str">
        <f>Employee_dataset[[#This Row],[Employee_ID]]</f>
        <v>EMP1453</v>
      </c>
      <c r="B455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455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455" t="b">
        <f>_xlfn.LET(
     _xlpm.d, Employee_dataset[[#This Row],[Join_Date]],
     IF(
        ISNUMBER(_xlpm.d),TRUE,FALSE
       )
    )</f>
        <v>1</v>
      </c>
      <c r="E455" t="b">
        <f>IF(ISERROR(_xlfn.NUMBERVALUE(Employee_dataset[[#This Row],[Salary]])),FALSE,TRUE)</f>
        <v>1</v>
      </c>
      <c r="F455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455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456" spans="1:7" x14ac:dyDescent="0.3">
      <c r="A456" t="str">
        <f>Employee_dataset[[#This Row],[Employee_ID]]</f>
        <v>EMP1454</v>
      </c>
      <c r="B456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456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0</v>
      </c>
      <c r="D456" t="b">
        <f>_xlfn.LET(
     _xlpm.d, Employee_dataset[[#This Row],[Join_Date]],
     IF(
        ISNUMBER(_xlpm.d),TRUE,FALSE
       )
    )</f>
        <v>1</v>
      </c>
      <c r="E456" t="b">
        <f>IF(ISERROR(_xlfn.NUMBERVALUE(Employee_dataset[[#This Row],[Salary]])),FALSE,TRUE)</f>
        <v>1</v>
      </c>
      <c r="F456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>Phone</v>
      </c>
      <c r="G456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457" spans="1:7" x14ac:dyDescent="0.3">
      <c r="A457" t="str">
        <f>Employee_dataset[[#This Row],[Employee_ID]]</f>
        <v>EMP1455</v>
      </c>
      <c r="B457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457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0</v>
      </c>
      <c r="D457" t="b">
        <f>_xlfn.LET(
     _xlpm.d, Employee_dataset[[#This Row],[Join_Date]],
     IF(
        ISNUMBER(_xlpm.d),TRUE,FALSE
       )
    )</f>
        <v>1</v>
      </c>
      <c r="E457" t="b">
        <f>IF(ISERROR(_xlfn.NUMBERVALUE(Employee_dataset[[#This Row],[Salary]])),FALSE,TRUE)</f>
        <v>1</v>
      </c>
      <c r="F457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>Phone</v>
      </c>
      <c r="G457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458" spans="1:7" x14ac:dyDescent="0.3">
      <c r="A458" t="str">
        <f>Employee_dataset[[#This Row],[Employee_ID]]</f>
        <v>EMP1456</v>
      </c>
      <c r="B458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458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458" t="b">
        <f>_xlfn.LET(
     _xlpm.d, Employee_dataset[[#This Row],[Join_Date]],
     IF(
        ISNUMBER(_xlpm.d),TRUE,FALSE
       )
    )</f>
        <v>1</v>
      </c>
      <c r="E458" t="b">
        <f>IF(ISERROR(_xlfn.NUMBERVALUE(Employee_dataset[[#This Row],[Salary]])),FALSE,TRUE)</f>
        <v>1</v>
      </c>
      <c r="F458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458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459" spans="1:7" x14ac:dyDescent="0.3">
      <c r="A459" t="str">
        <f>Employee_dataset[[#This Row],[Employee_ID]]</f>
        <v>EMP1457</v>
      </c>
      <c r="B459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459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459" t="b">
        <f>_xlfn.LET(
     _xlpm.d, Employee_dataset[[#This Row],[Join_Date]],
     IF(
        ISNUMBER(_xlpm.d),TRUE,FALSE
       )
    )</f>
        <v>1</v>
      </c>
      <c r="E459" t="b">
        <f>IF(ISERROR(_xlfn.NUMBERVALUE(Employee_dataset[[#This Row],[Salary]])),FALSE,TRUE)</f>
        <v>1</v>
      </c>
      <c r="F459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459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460" spans="1:7" x14ac:dyDescent="0.3">
      <c r="A460" t="str">
        <f>Employee_dataset[[#This Row],[Employee_ID]]</f>
        <v>EMP1458</v>
      </c>
      <c r="B460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460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0</v>
      </c>
      <c r="D460" t="b">
        <f>_xlfn.LET(
     _xlpm.d, Employee_dataset[[#This Row],[Join_Date]],
     IF(
        ISNUMBER(_xlpm.d),TRUE,FALSE
       )
    )</f>
        <v>1</v>
      </c>
      <c r="E460" t="b">
        <f>IF(ISERROR(_xlfn.NUMBERVALUE(Employee_dataset[[#This Row],[Salary]])),FALSE,TRUE)</f>
        <v>1</v>
      </c>
      <c r="F460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>Phone</v>
      </c>
      <c r="G460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461" spans="1:7" x14ac:dyDescent="0.3">
      <c r="A461" t="str">
        <f>Employee_dataset[[#This Row],[Employee_ID]]</f>
        <v>EMP1459</v>
      </c>
      <c r="B461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461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461" t="b">
        <f>_xlfn.LET(
     _xlpm.d, Employee_dataset[[#This Row],[Join_Date]],
     IF(
        ISNUMBER(_xlpm.d),TRUE,FALSE
       )
    )</f>
        <v>1</v>
      </c>
      <c r="E461" t="b">
        <f>IF(ISERROR(_xlfn.NUMBERVALUE(Employee_dataset[[#This Row],[Salary]])),FALSE,TRUE)</f>
        <v>1</v>
      </c>
      <c r="F461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461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462" spans="1:7" x14ac:dyDescent="0.3">
      <c r="A462" t="str">
        <f>Employee_dataset[[#This Row],[Employee_ID]]</f>
        <v>EMP1460</v>
      </c>
      <c r="B462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462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462" t="b">
        <f>_xlfn.LET(
     _xlpm.d, Employee_dataset[[#This Row],[Join_Date]],
     IF(
        ISNUMBER(_xlpm.d),TRUE,FALSE
       )
    )</f>
        <v>1</v>
      </c>
      <c r="E462" t="b">
        <f>IF(ISERROR(_xlfn.NUMBERVALUE(Employee_dataset[[#This Row],[Salary]])),FALSE,TRUE)</f>
        <v>1</v>
      </c>
      <c r="F462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462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463" spans="1:7" x14ac:dyDescent="0.3">
      <c r="A463" t="str">
        <f>Employee_dataset[[#This Row],[Employee_ID]]</f>
        <v>EMP1461</v>
      </c>
      <c r="B463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463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463" t="b">
        <f>_xlfn.LET(
     _xlpm.d, Employee_dataset[[#This Row],[Join_Date]],
     IF(
        ISNUMBER(_xlpm.d),TRUE,FALSE
       )
    )</f>
        <v>1</v>
      </c>
      <c r="E463" t="b">
        <f>IF(ISERROR(_xlfn.NUMBERVALUE(Employee_dataset[[#This Row],[Salary]])),FALSE,TRUE)</f>
        <v>1</v>
      </c>
      <c r="F463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463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464" spans="1:7" x14ac:dyDescent="0.3">
      <c r="A464" t="str">
        <f>Employee_dataset[[#This Row],[Employee_ID]]</f>
        <v>EMP1462</v>
      </c>
      <c r="B464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464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464" t="b">
        <f>_xlfn.LET(
     _xlpm.d, Employee_dataset[[#This Row],[Join_Date]],
     IF(
        ISNUMBER(_xlpm.d),TRUE,FALSE
       )
    )</f>
        <v>1</v>
      </c>
      <c r="E464" t="b">
        <f>IF(ISERROR(_xlfn.NUMBERVALUE(Employee_dataset[[#This Row],[Salary]])),FALSE,TRUE)</f>
        <v>1</v>
      </c>
      <c r="F464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464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465" spans="1:7" x14ac:dyDescent="0.3">
      <c r="A465" t="str">
        <f>Employee_dataset[[#This Row],[Employee_ID]]</f>
        <v>EMP1463</v>
      </c>
      <c r="B465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465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465" t="b">
        <f>_xlfn.LET(
     _xlpm.d, Employee_dataset[[#This Row],[Join_Date]],
     IF(
        ISNUMBER(_xlpm.d),TRUE,FALSE
       )
    )</f>
        <v>1</v>
      </c>
      <c r="E465" t="b">
        <f>IF(ISERROR(_xlfn.NUMBERVALUE(Employee_dataset[[#This Row],[Salary]])),FALSE,TRUE)</f>
        <v>1</v>
      </c>
      <c r="F465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465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466" spans="1:7" x14ac:dyDescent="0.3">
      <c r="A466" t="str">
        <f>Employee_dataset[[#This Row],[Employee_ID]]</f>
        <v>EMP1464</v>
      </c>
      <c r="B466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466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0</v>
      </c>
      <c r="D466" t="b">
        <f>_xlfn.LET(
     _xlpm.d, Employee_dataset[[#This Row],[Join_Date]],
     IF(
        ISNUMBER(_xlpm.d),TRUE,FALSE
       )
    )</f>
        <v>1</v>
      </c>
      <c r="E466" t="b">
        <f>IF(ISERROR(_xlfn.NUMBERVALUE(Employee_dataset[[#This Row],[Salary]])),FALSE,TRUE)</f>
        <v>1</v>
      </c>
      <c r="F466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>Phone</v>
      </c>
      <c r="G466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467" spans="1:7" x14ac:dyDescent="0.3">
      <c r="A467" t="str">
        <f>Employee_dataset[[#This Row],[Employee_ID]]</f>
        <v>EMP1465</v>
      </c>
      <c r="B467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467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467" t="b">
        <f>_xlfn.LET(
     _xlpm.d, Employee_dataset[[#This Row],[Join_Date]],
     IF(
        ISNUMBER(_xlpm.d),TRUE,FALSE
       )
    )</f>
        <v>1</v>
      </c>
      <c r="E467" t="b">
        <f>IF(ISERROR(_xlfn.NUMBERVALUE(Employee_dataset[[#This Row],[Salary]])),FALSE,TRUE)</f>
        <v>1</v>
      </c>
      <c r="F467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467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468" spans="1:7" x14ac:dyDescent="0.3">
      <c r="A468" t="str">
        <f>Employee_dataset[[#This Row],[Employee_ID]]</f>
        <v>EMP1466</v>
      </c>
      <c r="B468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468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468" t="b">
        <f>_xlfn.LET(
     _xlpm.d, Employee_dataset[[#This Row],[Join_Date]],
     IF(
        ISNUMBER(_xlpm.d),TRUE,FALSE
       )
    )</f>
        <v>1</v>
      </c>
      <c r="E468" t="b">
        <f>IF(ISERROR(_xlfn.NUMBERVALUE(Employee_dataset[[#This Row],[Salary]])),FALSE,TRUE)</f>
        <v>1</v>
      </c>
      <c r="F468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468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469" spans="1:7" x14ac:dyDescent="0.3">
      <c r="A469" t="str">
        <f>Employee_dataset[[#This Row],[Employee_ID]]</f>
        <v>EMP1467</v>
      </c>
      <c r="B469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469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0</v>
      </c>
      <c r="D469" t="b">
        <f>_xlfn.LET(
     _xlpm.d, Employee_dataset[[#This Row],[Join_Date]],
     IF(
        ISNUMBER(_xlpm.d),TRUE,FALSE
       )
    )</f>
        <v>1</v>
      </c>
      <c r="E469" t="b">
        <f>IF(ISERROR(_xlfn.NUMBERVALUE(Employee_dataset[[#This Row],[Salary]])),FALSE,TRUE)</f>
        <v>1</v>
      </c>
      <c r="F469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>Phone</v>
      </c>
      <c r="G469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470" spans="1:7" x14ac:dyDescent="0.3">
      <c r="A470" t="str">
        <f>Employee_dataset[[#This Row],[Employee_ID]]</f>
        <v>EMP1468</v>
      </c>
      <c r="B470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470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470" t="b">
        <f>_xlfn.LET(
     _xlpm.d, Employee_dataset[[#This Row],[Join_Date]],
     IF(
        ISNUMBER(_xlpm.d),TRUE,FALSE
       )
    )</f>
        <v>1</v>
      </c>
      <c r="E470" t="b">
        <f>IF(ISERROR(_xlfn.NUMBERVALUE(Employee_dataset[[#This Row],[Salary]])),FALSE,TRUE)</f>
        <v>1</v>
      </c>
      <c r="F470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470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471" spans="1:7" x14ac:dyDescent="0.3">
      <c r="A471" t="str">
        <f>Employee_dataset[[#This Row],[Employee_ID]]</f>
        <v>EMP1469</v>
      </c>
      <c r="B471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471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471" t="b">
        <f>_xlfn.LET(
     _xlpm.d, Employee_dataset[[#This Row],[Join_Date]],
     IF(
        ISNUMBER(_xlpm.d),TRUE,FALSE
       )
    )</f>
        <v>1</v>
      </c>
      <c r="E471" t="b">
        <f>IF(ISERROR(_xlfn.NUMBERVALUE(Employee_dataset[[#This Row],[Salary]])),FALSE,TRUE)</f>
        <v>1</v>
      </c>
      <c r="F471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471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472" spans="1:7" x14ac:dyDescent="0.3">
      <c r="A472" t="str">
        <f>Employee_dataset[[#This Row],[Employee_ID]]</f>
        <v>EMP1470</v>
      </c>
      <c r="B472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472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472" t="b">
        <f>_xlfn.LET(
     _xlpm.d, Employee_dataset[[#This Row],[Join_Date]],
     IF(
        ISNUMBER(_xlpm.d),TRUE,FALSE
       )
    )</f>
        <v>1</v>
      </c>
      <c r="E472" t="b">
        <f>IF(ISERROR(_xlfn.NUMBERVALUE(Employee_dataset[[#This Row],[Salary]])),FALSE,TRUE)</f>
        <v>1</v>
      </c>
      <c r="F472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472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473" spans="1:7" x14ac:dyDescent="0.3">
      <c r="A473" t="str">
        <f>Employee_dataset[[#This Row],[Employee_ID]]</f>
        <v>EMP1471</v>
      </c>
      <c r="B473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473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473" t="b">
        <f>_xlfn.LET(
     _xlpm.d, Employee_dataset[[#This Row],[Join_Date]],
     IF(
        ISNUMBER(_xlpm.d),TRUE,FALSE
       )
    )</f>
        <v>1</v>
      </c>
      <c r="E473" t="b">
        <f>IF(ISERROR(_xlfn.NUMBERVALUE(Employee_dataset[[#This Row],[Salary]])),FALSE,TRUE)</f>
        <v>1</v>
      </c>
      <c r="F473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473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474" spans="1:7" x14ac:dyDescent="0.3">
      <c r="A474" t="str">
        <f>Employee_dataset[[#This Row],[Employee_ID]]</f>
        <v>EMP1472</v>
      </c>
      <c r="B474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474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474" t="b">
        <f>_xlfn.LET(
     _xlpm.d, Employee_dataset[[#This Row],[Join_Date]],
     IF(
        ISNUMBER(_xlpm.d),TRUE,FALSE
       )
    )</f>
        <v>1</v>
      </c>
      <c r="E474" t="b">
        <f>IF(ISERROR(_xlfn.NUMBERVALUE(Employee_dataset[[#This Row],[Salary]])),FALSE,TRUE)</f>
        <v>1</v>
      </c>
      <c r="F474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474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475" spans="1:7" x14ac:dyDescent="0.3">
      <c r="A475" t="str">
        <f>Employee_dataset[[#This Row],[Employee_ID]]</f>
        <v>EMP1473</v>
      </c>
      <c r="B475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475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475" t="b">
        <f>_xlfn.LET(
     _xlpm.d, Employee_dataset[[#This Row],[Join_Date]],
     IF(
        ISNUMBER(_xlpm.d),TRUE,FALSE
       )
    )</f>
        <v>1</v>
      </c>
      <c r="E475" t="b">
        <f>IF(ISERROR(_xlfn.NUMBERVALUE(Employee_dataset[[#This Row],[Salary]])),FALSE,TRUE)</f>
        <v>1</v>
      </c>
      <c r="F475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475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476" spans="1:7" x14ac:dyDescent="0.3">
      <c r="A476" t="str">
        <f>Employee_dataset[[#This Row],[Employee_ID]]</f>
        <v>EMP1474</v>
      </c>
      <c r="B476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476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476" t="b">
        <f>_xlfn.LET(
     _xlpm.d, Employee_dataset[[#This Row],[Join_Date]],
     IF(
        ISNUMBER(_xlpm.d),TRUE,FALSE
       )
    )</f>
        <v>1</v>
      </c>
      <c r="E476" t="b">
        <f>IF(ISERROR(_xlfn.NUMBERVALUE(Employee_dataset[[#This Row],[Salary]])),FALSE,TRUE)</f>
        <v>1</v>
      </c>
      <c r="F476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476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477" spans="1:7" x14ac:dyDescent="0.3">
      <c r="A477" t="str">
        <f>Employee_dataset[[#This Row],[Employee_ID]]</f>
        <v>EMP1475</v>
      </c>
      <c r="B477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477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477" t="b">
        <f>_xlfn.LET(
     _xlpm.d, Employee_dataset[[#This Row],[Join_Date]],
     IF(
        ISNUMBER(_xlpm.d),TRUE,FALSE
       )
    )</f>
        <v>1</v>
      </c>
      <c r="E477" t="b">
        <f>IF(ISERROR(_xlfn.NUMBERVALUE(Employee_dataset[[#This Row],[Salary]])),FALSE,TRUE)</f>
        <v>1</v>
      </c>
      <c r="F477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477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478" spans="1:7" x14ac:dyDescent="0.3">
      <c r="A478" t="str">
        <f>Employee_dataset[[#This Row],[Employee_ID]]</f>
        <v>EMP1476</v>
      </c>
      <c r="B478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478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478" t="b">
        <f>_xlfn.LET(
     _xlpm.d, Employee_dataset[[#This Row],[Join_Date]],
     IF(
        ISNUMBER(_xlpm.d),TRUE,FALSE
       )
    )</f>
        <v>1</v>
      </c>
      <c r="E478" t="b">
        <f>IF(ISERROR(_xlfn.NUMBERVALUE(Employee_dataset[[#This Row],[Salary]])),FALSE,TRUE)</f>
        <v>1</v>
      </c>
      <c r="F478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478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479" spans="1:7" x14ac:dyDescent="0.3">
      <c r="A479" t="str">
        <f>Employee_dataset[[#This Row],[Employee_ID]]</f>
        <v>EMP1477</v>
      </c>
      <c r="B479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479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479" t="b">
        <f>_xlfn.LET(
     _xlpm.d, Employee_dataset[[#This Row],[Join_Date]],
     IF(
        ISNUMBER(_xlpm.d),TRUE,FALSE
       )
    )</f>
        <v>1</v>
      </c>
      <c r="E479" t="b">
        <f>IF(ISERROR(_xlfn.NUMBERVALUE(Employee_dataset[[#This Row],[Salary]])),FALSE,TRUE)</f>
        <v>1</v>
      </c>
      <c r="F479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479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480" spans="1:7" x14ac:dyDescent="0.3">
      <c r="A480" t="str">
        <f>Employee_dataset[[#This Row],[Employee_ID]]</f>
        <v>EMP1478</v>
      </c>
      <c r="B480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480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480" t="b">
        <f>_xlfn.LET(
     _xlpm.d, Employee_dataset[[#This Row],[Join_Date]],
     IF(
        ISNUMBER(_xlpm.d),TRUE,FALSE
       )
    )</f>
        <v>1</v>
      </c>
      <c r="E480" t="b">
        <f>IF(ISERROR(_xlfn.NUMBERVALUE(Employee_dataset[[#This Row],[Salary]])),FALSE,TRUE)</f>
        <v>1</v>
      </c>
      <c r="F480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480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481" spans="1:7" x14ac:dyDescent="0.3">
      <c r="A481" t="str">
        <f>Employee_dataset[[#This Row],[Employee_ID]]</f>
        <v>EMP1479</v>
      </c>
      <c r="B481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481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481" t="b">
        <f>_xlfn.LET(
     _xlpm.d, Employee_dataset[[#This Row],[Join_Date]],
     IF(
        ISNUMBER(_xlpm.d),TRUE,FALSE
       )
    )</f>
        <v>1</v>
      </c>
      <c r="E481" t="b">
        <f>IF(ISERROR(_xlfn.NUMBERVALUE(Employee_dataset[[#This Row],[Salary]])),FALSE,TRUE)</f>
        <v>1</v>
      </c>
      <c r="F481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481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482" spans="1:7" x14ac:dyDescent="0.3">
      <c r="A482" t="str">
        <f>Employee_dataset[[#This Row],[Employee_ID]]</f>
        <v>EMP1480</v>
      </c>
      <c r="B482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482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482" t="b">
        <f>_xlfn.LET(
     _xlpm.d, Employee_dataset[[#This Row],[Join_Date]],
     IF(
        ISNUMBER(_xlpm.d),TRUE,FALSE
       )
    )</f>
        <v>1</v>
      </c>
      <c r="E482" t="b">
        <f>IF(ISERROR(_xlfn.NUMBERVALUE(Employee_dataset[[#This Row],[Salary]])),FALSE,TRUE)</f>
        <v>1</v>
      </c>
      <c r="F482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482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483" spans="1:7" x14ac:dyDescent="0.3">
      <c r="A483" t="str">
        <f>Employee_dataset[[#This Row],[Employee_ID]]</f>
        <v>EMP1481</v>
      </c>
      <c r="B483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483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483" t="b">
        <f>_xlfn.LET(
     _xlpm.d, Employee_dataset[[#This Row],[Join_Date]],
     IF(
        ISNUMBER(_xlpm.d),TRUE,FALSE
       )
    )</f>
        <v>1</v>
      </c>
      <c r="E483" t="b">
        <f>IF(ISERROR(_xlfn.NUMBERVALUE(Employee_dataset[[#This Row],[Salary]])),FALSE,TRUE)</f>
        <v>1</v>
      </c>
      <c r="F483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483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484" spans="1:7" x14ac:dyDescent="0.3">
      <c r="A484" t="str">
        <f>Employee_dataset[[#This Row],[Employee_ID]]</f>
        <v>EMP1482</v>
      </c>
      <c r="B484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484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484" t="b">
        <f>_xlfn.LET(
     _xlpm.d, Employee_dataset[[#This Row],[Join_Date]],
     IF(
        ISNUMBER(_xlpm.d),TRUE,FALSE
       )
    )</f>
        <v>1</v>
      </c>
      <c r="E484" t="b">
        <f>IF(ISERROR(_xlfn.NUMBERVALUE(Employee_dataset[[#This Row],[Salary]])),FALSE,TRUE)</f>
        <v>1</v>
      </c>
      <c r="F484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484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485" spans="1:7" x14ac:dyDescent="0.3">
      <c r="A485" t="str">
        <f>Employee_dataset[[#This Row],[Employee_ID]]</f>
        <v>EMP1483</v>
      </c>
      <c r="B485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485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485" t="b">
        <f>_xlfn.LET(
     _xlpm.d, Employee_dataset[[#This Row],[Join_Date]],
     IF(
        ISNUMBER(_xlpm.d),TRUE,FALSE
       )
    )</f>
        <v>1</v>
      </c>
      <c r="E485" t="b">
        <f>IF(ISERROR(_xlfn.NUMBERVALUE(Employee_dataset[[#This Row],[Salary]])),FALSE,TRUE)</f>
        <v>1</v>
      </c>
      <c r="F485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485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486" spans="1:7" x14ac:dyDescent="0.3">
      <c r="A486" t="str">
        <f>Employee_dataset[[#This Row],[Employee_ID]]</f>
        <v>EMP1484</v>
      </c>
      <c r="B486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486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486" t="b">
        <f>_xlfn.LET(
     _xlpm.d, Employee_dataset[[#This Row],[Join_Date]],
     IF(
        ISNUMBER(_xlpm.d),TRUE,FALSE
       )
    )</f>
        <v>1</v>
      </c>
      <c r="E486" t="b">
        <f>IF(ISERROR(_xlfn.NUMBERVALUE(Employee_dataset[[#This Row],[Salary]])),FALSE,TRUE)</f>
        <v>1</v>
      </c>
      <c r="F486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486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487" spans="1:7" x14ac:dyDescent="0.3">
      <c r="A487" t="str">
        <f>Employee_dataset[[#This Row],[Employee_ID]]</f>
        <v>EMP1485</v>
      </c>
      <c r="B487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487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487" t="b">
        <f>_xlfn.LET(
     _xlpm.d, Employee_dataset[[#This Row],[Join_Date]],
     IF(
        ISNUMBER(_xlpm.d),TRUE,FALSE
       )
    )</f>
        <v>1</v>
      </c>
      <c r="E487" t="b">
        <f>IF(ISERROR(_xlfn.NUMBERVALUE(Employee_dataset[[#This Row],[Salary]])),FALSE,TRUE)</f>
        <v>1</v>
      </c>
      <c r="F487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487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488" spans="1:7" x14ac:dyDescent="0.3">
      <c r="A488" t="str">
        <f>Employee_dataset[[#This Row],[Employee_ID]]</f>
        <v>EMP1486</v>
      </c>
      <c r="B488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488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488" t="b">
        <f>_xlfn.LET(
     _xlpm.d, Employee_dataset[[#This Row],[Join_Date]],
     IF(
        ISNUMBER(_xlpm.d),TRUE,FALSE
       )
    )</f>
        <v>1</v>
      </c>
      <c r="E488" t="b">
        <f>IF(ISERROR(_xlfn.NUMBERVALUE(Employee_dataset[[#This Row],[Salary]])),FALSE,TRUE)</f>
        <v>1</v>
      </c>
      <c r="F488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488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489" spans="1:7" x14ac:dyDescent="0.3">
      <c r="A489" t="str">
        <f>Employee_dataset[[#This Row],[Employee_ID]]</f>
        <v>EMP1487</v>
      </c>
      <c r="B489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489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489" t="b">
        <f>_xlfn.LET(
     _xlpm.d, Employee_dataset[[#This Row],[Join_Date]],
     IF(
        ISNUMBER(_xlpm.d),TRUE,FALSE
       )
    )</f>
        <v>1</v>
      </c>
      <c r="E489" t="b">
        <f>IF(ISERROR(_xlfn.NUMBERVALUE(Employee_dataset[[#This Row],[Salary]])),FALSE,TRUE)</f>
        <v>1</v>
      </c>
      <c r="F489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489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490" spans="1:7" x14ac:dyDescent="0.3">
      <c r="A490" t="str">
        <f>Employee_dataset[[#This Row],[Employee_ID]]</f>
        <v>EMP1488</v>
      </c>
      <c r="B490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490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490" t="b">
        <f>_xlfn.LET(
     _xlpm.d, Employee_dataset[[#This Row],[Join_Date]],
     IF(
        ISNUMBER(_xlpm.d),TRUE,FALSE
       )
    )</f>
        <v>1</v>
      </c>
      <c r="E490" t="b">
        <f>IF(ISERROR(_xlfn.NUMBERVALUE(Employee_dataset[[#This Row],[Salary]])),FALSE,TRUE)</f>
        <v>1</v>
      </c>
      <c r="F490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490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491" spans="1:7" x14ac:dyDescent="0.3">
      <c r="A491" t="str">
        <f>Employee_dataset[[#This Row],[Employee_ID]]</f>
        <v>EMP1489</v>
      </c>
      <c r="B491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491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491" t="b">
        <f>_xlfn.LET(
     _xlpm.d, Employee_dataset[[#This Row],[Join_Date]],
     IF(
        ISNUMBER(_xlpm.d),TRUE,FALSE
       )
    )</f>
        <v>1</v>
      </c>
      <c r="E491" t="b">
        <f>IF(ISERROR(_xlfn.NUMBERVALUE(Employee_dataset[[#This Row],[Salary]])),FALSE,TRUE)</f>
        <v>1</v>
      </c>
      <c r="F491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491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492" spans="1:7" x14ac:dyDescent="0.3">
      <c r="A492" t="str">
        <f>Employee_dataset[[#This Row],[Employee_ID]]</f>
        <v>EMP1490</v>
      </c>
      <c r="B492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492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492" t="b">
        <f>_xlfn.LET(
     _xlpm.d, Employee_dataset[[#This Row],[Join_Date]],
     IF(
        ISNUMBER(_xlpm.d),TRUE,FALSE
       )
    )</f>
        <v>1</v>
      </c>
      <c r="E492" t="b">
        <f>IF(ISERROR(_xlfn.NUMBERVALUE(Employee_dataset[[#This Row],[Salary]])),FALSE,TRUE)</f>
        <v>1</v>
      </c>
      <c r="F492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492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493" spans="1:7" x14ac:dyDescent="0.3">
      <c r="A493" t="str">
        <f>Employee_dataset[[#This Row],[Employee_ID]]</f>
        <v>EMP1491</v>
      </c>
      <c r="B493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493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493" t="b">
        <f>_xlfn.LET(
     _xlpm.d, Employee_dataset[[#This Row],[Join_Date]],
     IF(
        ISNUMBER(_xlpm.d),TRUE,FALSE
       )
    )</f>
        <v>1</v>
      </c>
      <c r="E493" t="b">
        <f>IF(ISERROR(_xlfn.NUMBERVALUE(Employee_dataset[[#This Row],[Salary]])),FALSE,TRUE)</f>
        <v>1</v>
      </c>
      <c r="F493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493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494" spans="1:7" x14ac:dyDescent="0.3">
      <c r="A494" t="str">
        <f>Employee_dataset[[#This Row],[Employee_ID]]</f>
        <v>EMP1492</v>
      </c>
      <c r="B494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494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494" t="b">
        <f>_xlfn.LET(
     _xlpm.d, Employee_dataset[[#This Row],[Join_Date]],
     IF(
        ISNUMBER(_xlpm.d),TRUE,FALSE
       )
    )</f>
        <v>1</v>
      </c>
      <c r="E494" t="b">
        <f>IF(ISERROR(_xlfn.NUMBERVALUE(Employee_dataset[[#This Row],[Salary]])),FALSE,TRUE)</f>
        <v>1</v>
      </c>
      <c r="F494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494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495" spans="1:7" x14ac:dyDescent="0.3">
      <c r="A495" t="str">
        <f>Employee_dataset[[#This Row],[Employee_ID]]</f>
        <v>EMP1493</v>
      </c>
      <c r="B495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495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495" t="b">
        <f>_xlfn.LET(
     _xlpm.d, Employee_dataset[[#This Row],[Join_Date]],
     IF(
        ISNUMBER(_xlpm.d),TRUE,FALSE
       )
    )</f>
        <v>1</v>
      </c>
      <c r="E495" t="b">
        <f>IF(ISERROR(_xlfn.NUMBERVALUE(Employee_dataset[[#This Row],[Salary]])),FALSE,TRUE)</f>
        <v>1</v>
      </c>
      <c r="F495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495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496" spans="1:7" x14ac:dyDescent="0.3">
      <c r="A496" t="str">
        <f>Employee_dataset[[#This Row],[Employee_ID]]</f>
        <v>EMP1494</v>
      </c>
      <c r="B496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496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0</v>
      </c>
      <c r="D496" t="b">
        <f>_xlfn.LET(
     _xlpm.d, Employee_dataset[[#This Row],[Join_Date]],
     IF(
        ISNUMBER(_xlpm.d),TRUE,FALSE
       )
    )</f>
        <v>1</v>
      </c>
      <c r="E496" t="b">
        <f>IF(ISERROR(_xlfn.NUMBERVALUE(Employee_dataset[[#This Row],[Salary]])),FALSE,TRUE)</f>
        <v>1</v>
      </c>
      <c r="F496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>Phone</v>
      </c>
      <c r="G496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497" spans="1:7" x14ac:dyDescent="0.3">
      <c r="A497" t="str">
        <f>Employee_dataset[[#This Row],[Employee_ID]]</f>
        <v>EMP1495</v>
      </c>
      <c r="B497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497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497" t="b">
        <f>_xlfn.LET(
     _xlpm.d, Employee_dataset[[#This Row],[Join_Date]],
     IF(
        ISNUMBER(_xlpm.d),TRUE,FALSE
       )
    )</f>
        <v>1</v>
      </c>
      <c r="E497" t="b">
        <f>IF(ISERROR(_xlfn.NUMBERVALUE(Employee_dataset[[#This Row],[Salary]])),FALSE,TRUE)</f>
        <v>1</v>
      </c>
      <c r="F497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497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498" spans="1:7" x14ac:dyDescent="0.3">
      <c r="A498" t="str">
        <f>Employee_dataset[[#This Row],[Employee_ID]]</f>
        <v>EMP1496</v>
      </c>
      <c r="B498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498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498" t="b">
        <f>_xlfn.LET(
     _xlpm.d, Employee_dataset[[#This Row],[Join_Date]],
     IF(
        ISNUMBER(_xlpm.d),TRUE,FALSE
       )
    )</f>
        <v>1</v>
      </c>
      <c r="E498" t="b">
        <f>IF(ISERROR(_xlfn.NUMBERVALUE(Employee_dataset[[#This Row],[Salary]])),FALSE,TRUE)</f>
        <v>1</v>
      </c>
      <c r="F498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498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499" spans="1:7" x14ac:dyDescent="0.3">
      <c r="A499" t="str">
        <f>Employee_dataset[[#This Row],[Employee_ID]]</f>
        <v>EMP1497</v>
      </c>
      <c r="B499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499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0</v>
      </c>
      <c r="D499" t="b">
        <f>_xlfn.LET(
     _xlpm.d, Employee_dataset[[#This Row],[Join_Date]],
     IF(
        ISNUMBER(_xlpm.d),TRUE,FALSE
       )
    )</f>
        <v>1</v>
      </c>
      <c r="E499" t="b">
        <f>IF(ISERROR(_xlfn.NUMBERVALUE(Employee_dataset[[#This Row],[Salary]])),FALSE,TRUE)</f>
        <v>1</v>
      </c>
      <c r="F499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>Phone</v>
      </c>
      <c r="G499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500" spans="1:7" x14ac:dyDescent="0.3">
      <c r="A500" t="str">
        <f>Employee_dataset[[#This Row],[Employee_ID]]</f>
        <v>EMP1498</v>
      </c>
      <c r="B500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500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500" t="b">
        <f>_xlfn.LET(
     _xlpm.d, Employee_dataset[[#This Row],[Join_Date]],
     IF(
        ISNUMBER(_xlpm.d),TRUE,FALSE
       )
    )</f>
        <v>1</v>
      </c>
      <c r="E500" t="b">
        <f>IF(ISERROR(_xlfn.NUMBERVALUE(Employee_dataset[[#This Row],[Salary]])),FALSE,TRUE)</f>
        <v>1</v>
      </c>
      <c r="F500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500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501" spans="1:7" x14ac:dyDescent="0.3">
      <c r="A501" t="str">
        <f>Employee_dataset[[#This Row],[Employee_ID]]</f>
        <v>EMP1499</v>
      </c>
      <c r="B501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501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501" t="b">
        <f>_xlfn.LET(
     _xlpm.d, Employee_dataset[[#This Row],[Join_Date]],
     IF(
        ISNUMBER(_xlpm.d),TRUE,FALSE
       )
    )</f>
        <v>1</v>
      </c>
      <c r="E501" t="b">
        <f>IF(ISERROR(_xlfn.NUMBERVALUE(Employee_dataset[[#This Row],[Salary]])),FALSE,TRUE)</f>
        <v>1</v>
      </c>
      <c r="F501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501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502" spans="1:7" x14ac:dyDescent="0.3">
      <c r="A502" t="str">
        <f>Employee_dataset[[#This Row],[Employee_ID]]</f>
        <v>EMP1500</v>
      </c>
      <c r="B502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502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502" t="b">
        <f>_xlfn.LET(
     _xlpm.d, Employee_dataset[[#This Row],[Join_Date]],
     IF(
        ISNUMBER(_xlpm.d),TRUE,FALSE
       )
    )</f>
        <v>1</v>
      </c>
      <c r="E502" t="b">
        <f>IF(ISERROR(_xlfn.NUMBERVALUE(Employee_dataset[[#This Row],[Salary]])),FALSE,TRUE)</f>
        <v>1</v>
      </c>
      <c r="F502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502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503" spans="1:7" x14ac:dyDescent="0.3">
      <c r="A503" t="str">
        <f>Employee_dataset[[#This Row],[Employee_ID]]</f>
        <v>EMP1501</v>
      </c>
      <c r="B503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503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503" t="b">
        <f>_xlfn.LET(
     _xlpm.d, Employee_dataset[[#This Row],[Join_Date]],
     IF(
        ISNUMBER(_xlpm.d),TRUE,FALSE
       )
    )</f>
        <v>1</v>
      </c>
      <c r="E503" t="b">
        <f>IF(ISERROR(_xlfn.NUMBERVALUE(Employee_dataset[[#This Row],[Salary]])),FALSE,TRUE)</f>
        <v>1</v>
      </c>
      <c r="F503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503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504" spans="1:7" x14ac:dyDescent="0.3">
      <c r="A504" t="str">
        <f>Employee_dataset[[#This Row],[Employee_ID]]</f>
        <v>EMP1502</v>
      </c>
      <c r="B504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504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504" t="b">
        <f>_xlfn.LET(
     _xlpm.d, Employee_dataset[[#This Row],[Join_Date]],
     IF(
        ISNUMBER(_xlpm.d),TRUE,FALSE
       )
    )</f>
        <v>1</v>
      </c>
      <c r="E504" t="b">
        <f>IF(ISERROR(_xlfn.NUMBERVALUE(Employee_dataset[[#This Row],[Salary]])),FALSE,TRUE)</f>
        <v>1</v>
      </c>
      <c r="F504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504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505" spans="1:7" x14ac:dyDescent="0.3">
      <c r="A505" t="str">
        <f>Employee_dataset[[#This Row],[Employee_ID]]</f>
        <v>EMP1503</v>
      </c>
      <c r="B505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505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505" t="b">
        <f>_xlfn.LET(
     _xlpm.d, Employee_dataset[[#This Row],[Join_Date]],
     IF(
        ISNUMBER(_xlpm.d),TRUE,FALSE
       )
    )</f>
        <v>1</v>
      </c>
      <c r="E505" t="b">
        <f>IF(ISERROR(_xlfn.NUMBERVALUE(Employee_dataset[[#This Row],[Salary]])),FALSE,TRUE)</f>
        <v>1</v>
      </c>
      <c r="F505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505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506" spans="1:7" x14ac:dyDescent="0.3">
      <c r="A506" t="str">
        <f>Employee_dataset[[#This Row],[Employee_ID]]</f>
        <v>EMP1504</v>
      </c>
      <c r="B506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506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506" t="b">
        <f>_xlfn.LET(
     _xlpm.d, Employee_dataset[[#This Row],[Join_Date]],
     IF(
        ISNUMBER(_xlpm.d),TRUE,FALSE
       )
    )</f>
        <v>1</v>
      </c>
      <c r="E506" t="b">
        <f>IF(ISERROR(_xlfn.NUMBERVALUE(Employee_dataset[[#This Row],[Salary]])),FALSE,TRUE)</f>
        <v>1</v>
      </c>
      <c r="F506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506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507" spans="1:7" x14ac:dyDescent="0.3">
      <c r="A507" t="str">
        <f>Employee_dataset[[#This Row],[Employee_ID]]</f>
        <v>EMP1505</v>
      </c>
      <c r="B507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507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0</v>
      </c>
      <c r="D507" t="b">
        <f>_xlfn.LET(
     _xlpm.d, Employee_dataset[[#This Row],[Join_Date]],
     IF(
        ISNUMBER(_xlpm.d),TRUE,FALSE
       )
    )</f>
        <v>1</v>
      </c>
      <c r="E507" t="b">
        <f>IF(ISERROR(_xlfn.NUMBERVALUE(Employee_dataset[[#This Row],[Salary]])),FALSE,TRUE)</f>
        <v>1</v>
      </c>
      <c r="F507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>Phone</v>
      </c>
      <c r="G507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508" spans="1:7" x14ac:dyDescent="0.3">
      <c r="A508" t="str">
        <f>Employee_dataset[[#This Row],[Employee_ID]]</f>
        <v>EMP1506</v>
      </c>
      <c r="B508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508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508" t="b">
        <f>_xlfn.LET(
     _xlpm.d, Employee_dataset[[#This Row],[Join_Date]],
     IF(
        ISNUMBER(_xlpm.d),TRUE,FALSE
       )
    )</f>
        <v>1</v>
      </c>
      <c r="E508" t="b">
        <f>IF(ISERROR(_xlfn.NUMBERVALUE(Employee_dataset[[#This Row],[Salary]])),FALSE,TRUE)</f>
        <v>1</v>
      </c>
      <c r="F508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508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509" spans="1:7" x14ac:dyDescent="0.3">
      <c r="A509" t="str">
        <f>Employee_dataset[[#This Row],[Employee_ID]]</f>
        <v>EMP1507</v>
      </c>
      <c r="B509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509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0</v>
      </c>
      <c r="D509" t="b">
        <f>_xlfn.LET(
     _xlpm.d, Employee_dataset[[#This Row],[Join_Date]],
     IF(
        ISNUMBER(_xlpm.d),TRUE,FALSE
       )
    )</f>
        <v>1</v>
      </c>
      <c r="E509" t="b">
        <f>IF(ISERROR(_xlfn.NUMBERVALUE(Employee_dataset[[#This Row],[Salary]])),FALSE,TRUE)</f>
        <v>1</v>
      </c>
      <c r="F509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>Phone</v>
      </c>
      <c r="G509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510" spans="1:7" x14ac:dyDescent="0.3">
      <c r="A510" t="str">
        <f>Employee_dataset[[#This Row],[Employee_ID]]</f>
        <v>EMP1508</v>
      </c>
      <c r="B510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510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510" t="b">
        <f>_xlfn.LET(
     _xlpm.d, Employee_dataset[[#This Row],[Join_Date]],
     IF(
        ISNUMBER(_xlpm.d),TRUE,FALSE
       )
    )</f>
        <v>1</v>
      </c>
      <c r="E510" t="b">
        <f>IF(ISERROR(_xlfn.NUMBERVALUE(Employee_dataset[[#This Row],[Salary]])),FALSE,TRUE)</f>
        <v>1</v>
      </c>
      <c r="F510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510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511" spans="1:7" x14ac:dyDescent="0.3">
      <c r="A511" t="str">
        <f>Employee_dataset[[#This Row],[Employee_ID]]</f>
        <v>EMP1509</v>
      </c>
      <c r="B511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511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511" t="b">
        <f>_xlfn.LET(
     _xlpm.d, Employee_dataset[[#This Row],[Join_Date]],
     IF(
        ISNUMBER(_xlpm.d),TRUE,FALSE
       )
    )</f>
        <v>1</v>
      </c>
      <c r="E511" t="b">
        <f>IF(ISERROR(_xlfn.NUMBERVALUE(Employee_dataset[[#This Row],[Salary]])),FALSE,TRUE)</f>
        <v>1</v>
      </c>
      <c r="F511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511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512" spans="1:7" x14ac:dyDescent="0.3">
      <c r="A512" t="str">
        <f>Employee_dataset[[#This Row],[Employee_ID]]</f>
        <v>EMP1510</v>
      </c>
      <c r="B512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512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512" t="b">
        <f>_xlfn.LET(
     _xlpm.d, Employee_dataset[[#This Row],[Join_Date]],
     IF(
        ISNUMBER(_xlpm.d),TRUE,FALSE
       )
    )</f>
        <v>1</v>
      </c>
      <c r="E512" t="b">
        <f>IF(ISERROR(_xlfn.NUMBERVALUE(Employee_dataset[[#This Row],[Salary]])),FALSE,TRUE)</f>
        <v>1</v>
      </c>
      <c r="F512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512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513" spans="1:7" x14ac:dyDescent="0.3">
      <c r="A513" t="str">
        <f>Employee_dataset[[#This Row],[Employee_ID]]</f>
        <v>EMP1511</v>
      </c>
      <c r="B513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513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513" t="b">
        <f>_xlfn.LET(
     _xlpm.d, Employee_dataset[[#This Row],[Join_Date]],
     IF(
        ISNUMBER(_xlpm.d),TRUE,FALSE
       )
    )</f>
        <v>1</v>
      </c>
      <c r="E513" t="b">
        <f>IF(ISERROR(_xlfn.NUMBERVALUE(Employee_dataset[[#This Row],[Salary]])),FALSE,TRUE)</f>
        <v>1</v>
      </c>
      <c r="F513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513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514" spans="1:7" x14ac:dyDescent="0.3">
      <c r="A514" t="str">
        <f>Employee_dataset[[#This Row],[Employee_ID]]</f>
        <v>EMP1512</v>
      </c>
      <c r="B514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514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514" t="b">
        <f>_xlfn.LET(
     _xlpm.d, Employee_dataset[[#This Row],[Join_Date]],
     IF(
        ISNUMBER(_xlpm.d),TRUE,FALSE
       )
    )</f>
        <v>1</v>
      </c>
      <c r="E514" t="b">
        <f>IF(ISERROR(_xlfn.NUMBERVALUE(Employee_dataset[[#This Row],[Salary]])),FALSE,TRUE)</f>
        <v>1</v>
      </c>
      <c r="F514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514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515" spans="1:7" x14ac:dyDescent="0.3">
      <c r="A515" t="str">
        <f>Employee_dataset[[#This Row],[Employee_ID]]</f>
        <v>EMP1513</v>
      </c>
      <c r="B515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515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515" t="b">
        <f>_xlfn.LET(
     _xlpm.d, Employee_dataset[[#This Row],[Join_Date]],
     IF(
        ISNUMBER(_xlpm.d),TRUE,FALSE
       )
    )</f>
        <v>1</v>
      </c>
      <c r="E515" t="b">
        <f>IF(ISERROR(_xlfn.NUMBERVALUE(Employee_dataset[[#This Row],[Salary]])),FALSE,TRUE)</f>
        <v>1</v>
      </c>
      <c r="F515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515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516" spans="1:7" x14ac:dyDescent="0.3">
      <c r="A516" t="str">
        <f>Employee_dataset[[#This Row],[Employee_ID]]</f>
        <v>EMP1514</v>
      </c>
      <c r="B516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516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516" t="b">
        <f>_xlfn.LET(
     _xlpm.d, Employee_dataset[[#This Row],[Join_Date]],
     IF(
        ISNUMBER(_xlpm.d),TRUE,FALSE
       )
    )</f>
        <v>1</v>
      </c>
      <c r="E516" t="b">
        <f>IF(ISERROR(_xlfn.NUMBERVALUE(Employee_dataset[[#This Row],[Salary]])),FALSE,TRUE)</f>
        <v>1</v>
      </c>
      <c r="F516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516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517" spans="1:7" x14ac:dyDescent="0.3">
      <c r="A517" t="str">
        <f>Employee_dataset[[#This Row],[Employee_ID]]</f>
        <v>EMP1515</v>
      </c>
      <c r="B517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517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517" t="b">
        <f>_xlfn.LET(
     _xlpm.d, Employee_dataset[[#This Row],[Join_Date]],
     IF(
        ISNUMBER(_xlpm.d),TRUE,FALSE
       )
    )</f>
        <v>1</v>
      </c>
      <c r="E517" t="b">
        <f>IF(ISERROR(_xlfn.NUMBERVALUE(Employee_dataset[[#This Row],[Salary]])),FALSE,TRUE)</f>
        <v>1</v>
      </c>
      <c r="F517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517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518" spans="1:7" x14ac:dyDescent="0.3">
      <c r="A518" t="str">
        <f>Employee_dataset[[#This Row],[Employee_ID]]</f>
        <v>EMP1516</v>
      </c>
      <c r="B518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518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0</v>
      </c>
      <c r="D518" t="b">
        <f>_xlfn.LET(
     _xlpm.d, Employee_dataset[[#This Row],[Join_Date]],
     IF(
        ISNUMBER(_xlpm.d),TRUE,FALSE
       )
    )</f>
        <v>1</v>
      </c>
      <c r="E518" t="b">
        <f>IF(ISERROR(_xlfn.NUMBERVALUE(Employee_dataset[[#This Row],[Salary]])),FALSE,TRUE)</f>
        <v>1</v>
      </c>
      <c r="F518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>Phone</v>
      </c>
      <c r="G518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519" spans="1:7" x14ac:dyDescent="0.3">
      <c r="A519" t="str">
        <f>Employee_dataset[[#This Row],[Employee_ID]]</f>
        <v>EMP1517</v>
      </c>
      <c r="B519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519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519" t="b">
        <f>_xlfn.LET(
     _xlpm.d, Employee_dataset[[#This Row],[Join_Date]],
     IF(
        ISNUMBER(_xlpm.d),TRUE,FALSE
       )
    )</f>
        <v>1</v>
      </c>
      <c r="E519" t="b">
        <f>IF(ISERROR(_xlfn.NUMBERVALUE(Employee_dataset[[#This Row],[Salary]])),FALSE,TRUE)</f>
        <v>1</v>
      </c>
      <c r="F519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519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520" spans="1:7" x14ac:dyDescent="0.3">
      <c r="A520" t="str">
        <f>Employee_dataset[[#This Row],[Employee_ID]]</f>
        <v>EMP1518</v>
      </c>
      <c r="B520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520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520" t="b">
        <f>_xlfn.LET(
     _xlpm.d, Employee_dataset[[#This Row],[Join_Date]],
     IF(
        ISNUMBER(_xlpm.d),TRUE,FALSE
       )
    )</f>
        <v>1</v>
      </c>
      <c r="E520" t="b">
        <f>IF(ISERROR(_xlfn.NUMBERVALUE(Employee_dataset[[#This Row],[Salary]])),FALSE,TRUE)</f>
        <v>1</v>
      </c>
      <c r="F520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520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521" spans="1:7" x14ac:dyDescent="0.3">
      <c r="A521" t="str">
        <f>Employee_dataset[[#This Row],[Employee_ID]]</f>
        <v>EMP1519</v>
      </c>
      <c r="B521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521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521" t="b">
        <f>_xlfn.LET(
     _xlpm.d, Employee_dataset[[#This Row],[Join_Date]],
     IF(
        ISNUMBER(_xlpm.d),TRUE,FALSE
       )
    )</f>
        <v>1</v>
      </c>
      <c r="E521" t="b">
        <f>IF(ISERROR(_xlfn.NUMBERVALUE(Employee_dataset[[#This Row],[Salary]])),FALSE,TRUE)</f>
        <v>1</v>
      </c>
      <c r="F521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521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522" spans="1:7" x14ac:dyDescent="0.3">
      <c r="A522" t="str">
        <f>Employee_dataset[[#This Row],[Employee_ID]]</f>
        <v>EMP1520</v>
      </c>
      <c r="B522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522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522" t="b">
        <f>_xlfn.LET(
     _xlpm.d, Employee_dataset[[#This Row],[Join_Date]],
     IF(
        ISNUMBER(_xlpm.d),TRUE,FALSE
       )
    )</f>
        <v>1</v>
      </c>
      <c r="E522" t="b">
        <f>IF(ISERROR(_xlfn.NUMBERVALUE(Employee_dataset[[#This Row],[Salary]])),FALSE,TRUE)</f>
        <v>1</v>
      </c>
      <c r="F522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522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523" spans="1:7" x14ac:dyDescent="0.3">
      <c r="A523" t="str">
        <f>Employee_dataset[[#This Row],[Employee_ID]]</f>
        <v>EMP1521</v>
      </c>
      <c r="B523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523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523" t="b">
        <f>_xlfn.LET(
     _xlpm.d, Employee_dataset[[#This Row],[Join_Date]],
     IF(
        ISNUMBER(_xlpm.d),TRUE,FALSE
       )
    )</f>
        <v>1</v>
      </c>
      <c r="E523" t="b">
        <f>IF(ISERROR(_xlfn.NUMBERVALUE(Employee_dataset[[#This Row],[Salary]])),FALSE,TRUE)</f>
        <v>1</v>
      </c>
      <c r="F523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523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524" spans="1:7" x14ac:dyDescent="0.3">
      <c r="A524" t="str">
        <f>Employee_dataset[[#This Row],[Employee_ID]]</f>
        <v>EMP1522</v>
      </c>
      <c r="B524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524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524" t="b">
        <f>_xlfn.LET(
     _xlpm.d, Employee_dataset[[#This Row],[Join_Date]],
     IF(
        ISNUMBER(_xlpm.d),TRUE,FALSE
       )
    )</f>
        <v>1</v>
      </c>
      <c r="E524" t="b">
        <f>IF(ISERROR(_xlfn.NUMBERVALUE(Employee_dataset[[#This Row],[Salary]])),FALSE,TRUE)</f>
        <v>1</v>
      </c>
      <c r="F524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524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525" spans="1:7" x14ac:dyDescent="0.3">
      <c r="A525" t="str">
        <f>Employee_dataset[[#This Row],[Employee_ID]]</f>
        <v>EMP1523</v>
      </c>
      <c r="B525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525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525" t="b">
        <f>_xlfn.LET(
     _xlpm.d, Employee_dataset[[#This Row],[Join_Date]],
     IF(
        ISNUMBER(_xlpm.d),TRUE,FALSE
       )
    )</f>
        <v>1</v>
      </c>
      <c r="E525" t="b">
        <f>IF(ISERROR(_xlfn.NUMBERVALUE(Employee_dataset[[#This Row],[Salary]])),FALSE,TRUE)</f>
        <v>1</v>
      </c>
      <c r="F525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525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526" spans="1:7" x14ac:dyDescent="0.3">
      <c r="A526" t="str">
        <f>Employee_dataset[[#This Row],[Employee_ID]]</f>
        <v>EMP1524</v>
      </c>
      <c r="B526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526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526" t="b">
        <f>_xlfn.LET(
     _xlpm.d, Employee_dataset[[#This Row],[Join_Date]],
     IF(
        ISNUMBER(_xlpm.d),TRUE,FALSE
       )
    )</f>
        <v>1</v>
      </c>
      <c r="E526" t="b">
        <f>IF(ISERROR(_xlfn.NUMBERVALUE(Employee_dataset[[#This Row],[Salary]])),FALSE,TRUE)</f>
        <v>1</v>
      </c>
      <c r="F526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526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527" spans="1:7" x14ac:dyDescent="0.3">
      <c r="A527" t="str">
        <f>Employee_dataset[[#This Row],[Employee_ID]]</f>
        <v>EMP1525</v>
      </c>
      <c r="B527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527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0</v>
      </c>
      <c r="D527" t="b">
        <f>_xlfn.LET(
     _xlpm.d, Employee_dataset[[#This Row],[Join_Date]],
     IF(
        ISNUMBER(_xlpm.d),TRUE,FALSE
       )
    )</f>
        <v>1</v>
      </c>
      <c r="E527" t="b">
        <f>IF(ISERROR(_xlfn.NUMBERVALUE(Employee_dataset[[#This Row],[Salary]])),FALSE,TRUE)</f>
        <v>1</v>
      </c>
      <c r="F527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>Phone</v>
      </c>
      <c r="G527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528" spans="1:7" x14ac:dyDescent="0.3">
      <c r="A528" t="str">
        <f>Employee_dataset[[#This Row],[Employee_ID]]</f>
        <v>EMP1526</v>
      </c>
      <c r="B528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528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528" t="b">
        <f>_xlfn.LET(
     _xlpm.d, Employee_dataset[[#This Row],[Join_Date]],
     IF(
        ISNUMBER(_xlpm.d),TRUE,FALSE
       )
    )</f>
        <v>1</v>
      </c>
      <c r="E528" t="b">
        <f>IF(ISERROR(_xlfn.NUMBERVALUE(Employee_dataset[[#This Row],[Salary]])),FALSE,TRUE)</f>
        <v>1</v>
      </c>
      <c r="F528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528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529" spans="1:7" x14ac:dyDescent="0.3">
      <c r="A529" t="str">
        <f>Employee_dataset[[#This Row],[Employee_ID]]</f>
        <v>EMP1527</v>
      </c>
      <c r="B529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529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529" t="b">
        <f>_xlfn.LET(
     _xlpm.d, Employee_dataset[[#This Row],[Join_Date]],
     IF(
        ISNUMBER(_xlpm.d),TRUE,FALSE
       )
    )</f>
        <v>1</v>
      </c>
      <c r="E529" t="b">
        <f>IF(ISERROR(_xlfn.NUMBERVALUE(Employee_dataset[[#This Row],[Salary]])),FALSE,TRUE)</f>
        <v>1</v>
      </c>
      <c r="F529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529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530" spans="1:7" x14ac:dyDescent="0.3">
      <c r="A530" t="str">
        <f>Employee_dataset[[#This Row],[Employee_ID]]</f>
        <v>EMP1528</v>
      </c>
      <c r="B530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530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530" t="b">
        <f>_xlfn.LET(
     _xlpm.d, Employee_dataset[[#This Row],[Join_Date]],
     IF(
        ISNUMBER(_xlpm.d),TRUE,FALSE
       )
    )</f>
        <v>1</v>
      </c>
      <c r="E530" t="b">
        <f>IF(ISERROR(_xlfn.NUMBERVALUE(Employee_dataset[[#This Row],[Salary]])),FALSE,TRUE)</f>
        <v>1</v>
      </c>
      <c r="F530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530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531" spans="1:7" x14ac:dyDescent="0.3">
      <c r="A531" t="str">
        <f>Employee_dataset[[#This Row],[Employee_ID]]</f>
        <v>EMP1529</v>
      </c>
      <c r="B531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531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531" t="b">
        <f>_xlfn.LET(
     _xlpm.d, Employee_dataset[[#This Row],[Join_Date]],
     IF(
        ISNUMBER(_xlpm.d),TRUE,FALSE
       )
    )</f>
        <v>1</v>
      </c>
      <c r="E531" t="b">
        <f>IF(ISERROR(_xlfn.NUMBERVALUE(Employee_dataset[[#This Row],[Salary]])),FALSE,TRUE)</f>
        <v>1</v>
      </c>
      <c r="F531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531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532" spans="1:7" x14ac:dyDescent="0.3">
      <c r="A532" t="str">
        <f>Employee_dataset[[#This Row],[Employee_ID]]</f>
        <v>EMP1530</v>
      </c>
      <c r="B532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532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532" t="b">
        <f>_xlfn.LET(
     _xlpm.d, Employee_dataset[[#This Row],[Join_Date]],
     IF(
        ISNUMBER(_xlpm.d),TRUE,FALSE
       )
    )</f>
        <v>1</v>
      </c>
      <c r="E532" t="b">
        <f>IF(ISERROR(_xlfn.NUMBERVALUE(Employee_dataset[[#This Row],[Salary]])),FALSE,TRUE)</f>
        <v>1</v>
      </c>
      <c r="F532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532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533" spans="1:7" x14ac:dyDescent="0.3">
      <c r="A533" t="str">
        <f>Employee_dataset[[#This Row],[Employee_ID]]</f>
        <v>EMP1531</v>
      </c>
      <c r="B533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533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533" t="b">
        <f>_xlfn.LET(
     _xlpm.d, Employee_dataset[[#This Row],[Join_Date]],
     IF(
        ISNUMBER(_xlpm.d),TRUE,FALSE
       )
    )</f>
        <v>1</v>
      </c>
      <c r="E533" t="b">
        <f>IF(ISERROR(_xlfn.NUMBERVALUE(Employee_dataset[[#This Row],[Salary]])),FALSE,TRUE)</f>
        <v>1</v>
      </c>
      <c r="F533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533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534" spans="1:7" x14ac:dyDescent="0.3">
      <c r="A534" t="str">
        <f>Employee_dataset[[#This Row],[Employee_ID]]</f>
        <v>EMP1532</v>
      </c>
      <c r="B534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534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534" t="b">
        <f>_xlfn.LET(
     _xlpm.d, Employee_dataset[[#This Row],[Join_Date]],
     IF(
        ISNUMBER(_xlpm.d),TRUE,FALSE
       )
    )</f>
        <v>1</v>
      </c>
      <c r="E534" t="b">
        <f>IF(ISERROR(_xlfn.NUMBERVALUE(Employee_dataset[[#This Row],[Salary]])),FALSE,TRUE)</f>
        <v>1</v>
      </c>
      <c r="F534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534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535" spans="1:7" x14ac:dyDescent="0.3">
      <c r="A535" t="str">
        <f>Employee_dataset[[#This Row],[Employee_ID]]</f>
        <v>EMP1533</v>
      </c>
      <c r="B535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535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535" t="b">
        <f>_xlfn.LET(
     _xlpm.d, Employee_dataset[[#This Row],[Join_Date]],
     IF(
        ISNUMBER(_xlpm.d),TRUE,FALSE
       )
    )</f>
        <v>1</v>
      </c>
      <c r="E535" t="b">
        <f>IF(ISERROR(_xlfn.NUMBERVALUE(Employee_dataset[[#This Row],[Salary]])),FALSE,TRUE)</f>
        <v>1</v>
      </c>
      <c r="F535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535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536" spans="1:7" x14ac:dyDescent="0.3">
      <c r="A536" t="str">
        <f>Employee_dataset[[#This Row],[Employee_ID]]</f>
        <v>EMP1534</v>
      </c>
      <c r="B536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536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536" t="b">
        <f>_xlfn.LET(
     _xlpm.d, Employee_dataset[[#This Row],[Join_Date]],
     IF(
        ISNUMBER(_xlpm.d),TRUE,FALSE
       )
    )</f>
        <v>1</v>
      </c>
      <c r="E536" t="b">
        <f>IF(ISERROR(_xlfn.NUMBERVALUE(Employee_dataset[[#This Row],[Salary]])),FALSE,TRUE)</f>
        <v>1</v>
      </c>
      <c r="F536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536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537" spans="1:7" x14ac:dyDescent="0.3">
      <c r="A537" t="str">
        <f>Employee_dataset[[#This Row],[Employee_ID]]</f>
        <v>EMP1535</v>
      </c>
      <c r="B537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537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537" t="b">
        <f>_xlfn.LET(
     _xlpm.d, Employee_dataset[[#This Row],[Join_Date]],
     IF(
        ISNUMBER(_xlpm.d),TRUE,FALSE
       )
    )</f>
        <v>1</v>
      </c>
      <c r="E537" t="b">
        <f>IF(ISERROR(_xlfn.NUMBERVALUE(Employee_dataset[[#This Row],[Salary]])),FALSE,TRUE)</f>
        <v>1</v>
      </c>
      <c r="F537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537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538" spans="1:7" x14ac:dyDescent="0.3">
      <c r="A538" t="str">
        <f>Employee_dataset[[#This Row],[Employee_ID]]</f>
        <v>EMP1536</v>
      </c>
      <c r="B538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538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538" t="b">
        <f>_xlfn.LET(
     _xlpm.d, Employee_dataset[[#This Row],[Join_Date]],
     IF(
        ISNUMBER(_xlpm.d),TRUE,FALSE
       )
    )</f>
        <v>1</v>
      </c>
      <c r="E538" t="b">
        <f>IF(ISERROR(_xlfn.NUMBERVALUE(Employee_dataset[[#This Row],[Salary]])),FALSE,TRUE)</f>
        <v>1</v>
      </c>
      <c r="F538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538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539" spans="1:7" x14ac:dyDescent="0.3">
      <c r="A539" t="str">
        <f>Employee_dataset[[#This Row],[Employee_ID]]</f>
        <v>EMP1537</v>
      </c>
      <c r="B539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539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539" t="b">
        <f>_xlfn.LET(
     _xlpm.d, Employee_dataset[[#This Row],[Join_Date]],
     IF(
        ISNUMBER(_xlpm.d),TRUE,FALSE
       )
    )</f>
        <v>1</v>
      </c>
      <c r="E539" t="b">
        <f>IF(ISERROR(_xlfn.NUMBERVALUE(Employee_dataset[[#This Row],[Salary]])),FALSE,TRUE)</f>
        <v>1</v>
      </c>
      <c r="F539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539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540" spans="1:7" x14ac:dyDescent="0.3">
      <c r="A540" t="str">
        <f>Employee_dataset[[#This Row],[Employee_ID]]</f>
        <v>EMP1538</v>
      </c>
      <c r="B540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540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540" t="b">
        <f>_xlfn.LET(
     _xlpm.d, Employee_dataset[[#This Row],[Join_Date]],
     IF(
        ISNUMBER(_xlpm.d),TRUE,FALSE
       )
    )</f>
        <v>1</v>
      </c>
      <c r="E540" t="b">
        <f>IF(ISERROR(_xlfn.NUMBERVALUE(Employee_dataset[[#This Row],[Salary]])),FALSE,TRUE)</f>
        <v>1</v>
      </c>
      <c r="F540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540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541" spans="1:7" x14ac:dyDescent="0.3">
      <c r="A541" t="str">
        <f>Employee_dataset[[#This Row],[Employee_ID]]</f>
        <v>EMP1539</v>
      </c>
      <c r="B541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541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541" t="b">
        <f>_xlfn.LET(
     _xlpm.d, Employee_dataset[[#This Row],[Join_Date]],
     IF(
        ISNUMBER(_xlpm.d),TRUE,FALSE
       )
    )</f>
        <v>1</v>
      </c>
      <c r="E541" t="b">
        <f>IF(ISERROR(_xlfn.NUMBERVALUE(Employee_dataset[[#This Row],[Salary]])),FALSE,TRUE)</f>
        <v>1</v>
      </c>
      <c r="F541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541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542" spans="1:7" x14ac:dyDescent="0.3">
      <c r="A542" t="str">
        <f>Employee_dataset[[#This Row],[Employee_ID]]</f>
        <v>EMP1540</v>
      </c>
      <c r="B542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542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542" t="b">
        <f>_xlfn.LET(
     _xlpm.d, Employee_dataset[[#This Row],[Join_Date]],
     IF(
        ISNUMBER(_xlpm.d),TRUE,FALSE
       )
    )</f>
        <v>1</v>
      </c>
      <c r="E542" t="b">
        <f>IF(ISERROR(_xlfn.NUMBERVALUE(Employee_dataset[[#This Row],[Salary]])),FALSE,TRUE)</f>
        <v>1</v>
      </c>
      <c r="F542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542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543" spans="1:7" x14ac:dyDescent="0.3">
      <c r="A543" t="str">
        <f>Employee_dataset[[#This Row],[Employee_ID]]</f>
        <v>EMP1541</v>
      </c>
      <c r="B543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543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543" t="b">
        <f>_xlfn.LET(
     _xlpm.d, Employee_dataset[[#This Row],[Join_Date]],
     IF(
        ISNUMBER(_xlpm.d),TRUE,FALSE
       )
    )</f>
        <v>1</v>
      </c>
      <c r="E543" t="b">
        <f>IF(ISERROR(_xlfn.NUMBERVALUE(Employee_dataset[[#This Row],[Salary]])),FALSE,TRUE)</f>
        <v>1</v>
      </c>
      <c r="F543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543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544" spans="1:7" x14ac:dyDescent="0.3">
      <c r="A544" t="str">
        <f>Employee_dataset[[#This Row],[Employee_ID]]</f>
        <v>EMP1542</v>
      </c>
      <c r="B544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544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544" t="b">
        <f>_xlfn.LET(
     _xlpm.d, Employee_dataset[[#This Row],[Join_Date]],
     IF(
        ISNUMBER(_xlpm.d),TRUE,FALSE
       )
    )</f>
        <v>1</v>
      </c>
      <c r="E544" t="b">
        <f>IF(ISERROR(_xlfn.NUMBERVALUE(Employee_dataset[[#This Row],[Salary]])),FALSE,TRUE)</f>
        <v>1</v>
      </c>
      <c r="F544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544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545" spans="1:7" x14ac:dyDescent="0.3">
      <c r="A545" t="str">
        <f>Employee_dataset[[#This Row],[Employee_ID]]</f>
        <v>EMP1543</v>
      </c>
      <c r="B545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545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545" t="b">
        <f>_xlfn.LET(
     _xlpm.d, Employee_dataset[[#This Row],[Join_Date]],
     IF(
        ISNUMBER(_xlpm.d),TRUE,FALSE
       )
    )</f>
        <v>1</v>
      </c>
      <c r="E545" t="b">
        <f>IF(ISERROR(_xlfn.NUMBERVALUE(Employee_dataset[[#This Row],[Salary]])),FALSE,TRUE)</f>
        <v>1</v>
      </c>
      <c r="F545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545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546" spans="1:7" x14ac:dyDescent="0.3">
      <c r="A546" t="str">
        <f>Employee_dataset[[#This Row],[Employee_ID]]</f>
        <v>EMP1544</v>
      </c>
      <c r="B546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546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0</v>
      </c>
      <c r="D546" t="b">
        <f>_xlfn.LET(
     _xlpm.d, Employee_dataset[[#This Row],[Join_Date]],
     IF(
        ISNUMBER(_xlpm.d),TRUE,FALSE
       )
    )</f>
        <v>1</v>
      </c>
      <c r="E546" t="b">
        <f>IF(ISERROR(_xlfn.NUMBERVALUE(Employee_dataset[[#This Row],[Salary]])),FALSE,TRUE)</f>
        <v>1</v>
      </c>
      <c r="F546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>Phone</v>
      </c>
      <c r="G546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547" spans="1:7" x14ac:dyDescent="0.3">
      <c r="A547" t="str">
        <f>Employee_dataset[[#This Row],[Employee_ID]]</f>
        <v>EMP1545</v>
      </c>
      <c r="B547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547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547" t="b">
        <f>_xlfn.LET(
     _xlpm.d, Employee_dataset[[#This Row],[Join_Date]],
     IF(
        ISNUMBER(_xlpm.d),TRUE,FALSE
       )
    )</f>
        <v>1</v>
      </c>
      <c r="E547" t="b">
        <f>IF(ISERROR(_xlfn.NUMBERVALUE(Employee_dataset[[#This Row],[Salary]])),FALSE,TRUE)</f>
        <v>1</v>
      </c>
      <c r="F547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547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548" spans="1:7" x14ac:dyDescent="0.3">
      <c r="A548" t="str">
        <f>Employee_dataset[[#This Row],[Employee_ID]]</f>
        <v>EMP1546</v>
      </c>
      <c r="B548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548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548" t="b">
        <f>_xlfn.LET(
     _xlpm.d, Employee_dataset[[#This Row],[Join_Date]],
     IF(
        ISNUMBER(_xlpm.d),TRUE,FALSE
       )
    )</f>
        <v>1</v>
      </c>
      <c r="E548" t="b">
        <f>IF(ISERROR(_xlfn.NUMBERVALUE(Employee_dataset[[#This Row],[Salary]])),FALSE,TRUE)</f>
        <v>1</v>
      </c>
      <c r="F548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548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549" spans="1:7" x14ac:dyDescent="0.3">
      <c r="A549" t="str">
        <f>Employee_dataset[[#This Row],[Employee_ID]]</f>
        <v>EMP1547</v>
      </c>
      <c r="B549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549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549" t="b">
        <f>_xlfn.LET(
     _xlpm.d, Employee_dataset[[#This Row],[Join_Date]],
     IF(
        ISNUMBER(_xlpm.d),TRUE,FALSE
       )
    )</f>
        <v>1</v>
      </c>
      <c r="E549" t="b">
        <f>IF(ISERROR(_xlfn.NUMBERVALUE(Employee_dataset[[#This Row],[Salary]])),FALSE,TRUE)</f>
        <v>1</v>
      </c>
      <c r="F549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549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550" spans="1:7" x14ac:dyDescent="0.3">
      <c r="A550" t="str">
        <f>Employee_dataset[[#This Row],[Employee_ID]]</f>
        <v>EMP1548</v>
      </c>
      <c r="B550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550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550" t="b">
        <f>_xlfn.LET(
     _xlpm.d, Employee_dataset[[#This Row],[Join_Date]],
     IF(
        ISNUMBER(_xlpm.d),TRUE,FALSE
       )
    )</f>
        <v>1</v>
      </c>
      <c r="E550" t="b">
        <f>IF(ISERROR(_xlfn.NUMBERVALUE(Employee_dataset[[#This Row],[Salary]])),FALSE,TRUE)</f>
        <v>1</v>
      </c>
      <c r="F550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550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551" spans="1:7" x14ac:dyDescent="0.3">
      <c r="A551" t="str">
        <f>Employee_dataset[[#This Row],[Employee_ID]]</f>
        <v>EMP1549</v>
      </c>
      <c r="B551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551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551" t="b">
        <f>_xlfn.LET(
     _xlpm.d, Employee_dataset[[#This Row],[Join_Date]],
     IF(
        ISNUMBER(_xlpm.d),TRUE,FALSE
       )
    )</f>
        <v>1</v>
      </c>
      <c r="E551" t="b">
        <f>IF(ISERROR(_xlfn.NUMBERVALUE(Employee_dataset[[#This Row],[Salary]])),FALSE,TRUE)</f>
        <v>1</v>
      </c>
      <c r="F551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551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552" spans="1:7" x14ac:dyDescent="0.3">
      <c r="A552" t="str">
        <f>Employee_dataset[[#This Row],[Employee_ID]]</f>
        <v>EMP1550</v>
      </c>
      <c r="B552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552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552" t="b">
        <f>_xlfn.LET(
     _xlpm.d, Employee_dataset[[#This Row],[Join_Date]],
     IF(
        ISNUMBER(_xlpm.d),TRUE,FALSE
       )
    )</f>
        <v>1</v>
      </c>
      <c r="E552" t="b">
        <f>IF(ISERROR(_xlfn.NUMBERVALUE(Employee_dataset[[#This Row],[Salary]])),FALSE,TRUE)</f>
        <v>1</v>
      </c>
      <c r="F552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552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553" spans="1:7" x14ac:dyDescent="0.3">
      <c r="A553" t="str">
        <f>Employee_dataset[[#This Row],[Employee_ID]]</f>
        <v>EMP1551</v>
      </c>
      <c r="B553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553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0</v>
      </c>
      <c r="D553" t="b">
        <f>_xlfn.LET(
     _xlpm.d, Employee_dataset[[#This Row],[Join_Date]],
     IF(
        ISNUMBER(_xlpm.d),TRUE,FALSE
       )
    )</f>
        <v>1</v>
      </c>
      <c r="E553" t="b">
        <f>IF(ISERROR(_xlfn.NUMBERVALUE(Employee_dataset[[#This Row],[Salary]])),FALSE,TRUE)</f>
        <v>1</v>
      </c>
      <c r="F553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>Phone</v>
      </c>
      <c r="G553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554" spans="1:7" x14ac:dyDescent="0.3">
      <c r="A554" t="str">
        <f>Employee_dataset[[#This Row],[Employee_ID]]</f>
        <v>EMP1552</v>
      </c>
      <c r="B554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554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554" t="b">
        <f>_xlfn.LET(
     _xlpm.d, Employee_dataset[[#This Row],[Join_Date]],
     IF(
        ISNUMBER(_xlpm.d),TRUE,FALSE
       )
    )</f>
        <v>1</v>
      </c>
      <c r="E554" t="b">
        <f>IF(ISERROR(_xlfn.NUMBERVALUE(Employee_dataset[[#This Row],[Salary]])),FALSE,TRUE)</f>
        <v>1</v>
      </c>
      <c r="F554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554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555" spans="1:7" x14ac:dyDescent="0.3">
      <c r="A555" t="str">
        <f>Employee_dataset[[#This Row],[Employee_ID]]</f>
        <v>EMP1553</v>
      </c>
      <c r="B555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555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555" t="b">
        <f>_xlfn.LET(
     _xlpm.d, Employee_dataset[[#This Row],[Join_Date]],
     IF(
        ISNUMBER(_xlpm.d),TRUE,FALSE
       )
    )</f>
        <v>1</v>
      </c>
      <c r="E555" t="b">
        <f>IF(ISERROR(_xlfn.NUMBERVALUE(Employee_dataset[[#This Row],[Salary]])),FALSE,TRUE)</f>
        <v>1</v>
      </c>
      <c r="F555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555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556" spans="1:7" x14ac:dyDescent="0.3">
      <c r="A556" t="str">
        <f>Employee_dataset[[#This Row],[Employee_ID]]</f>
        <v>EMP1554</v>
      </c>
      <c r="B556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556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556" t="b">
        <f>_xlfn.LET(
     _xlpm.d, Employee_dataset[[#This Row],[Join_Date]],
     IF(
        ISNUMBER(_xlpm.d),TRUE,FALSE
       )
    )</f>
        <v>1</v>
      </c>
      <c r="E556" t="b">
        <f>IF(ISERROR(_xlfn.NUMBERVALUE(Employee_dataset[[#This Row],[Salary]])),FALSE,TRUE)</f>
        <v>1</v>
      </c>
      <c r="F556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556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557" spans="1:7" x14ac:dyDescent="0.3">
      <c r="A557" t="str">
        <f>Employee_dataset[[#This Row],[Employee_ID]]</f>
        <v>EMP1555</v>
      </c>
      <c r="B557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557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0</v>
      </c>
      <c r="D557" t="b">
        <f>_xlfn.LET(
     _xlpm.d, Employee_dataset[[#This Row],[Join_Date]],
     IF(
        ISNUMBER(_xlpm.d),TRUE,FALSE
       )
    )</f>
        <v>1</v>
      </c>
      <c r="E557" t="b">
        <f>IF(ISERROR(_xlfn.NUMBERVALUE(Employee_dataset[[#This Row],[Salary]])),FALSE,TRUE)</f>
        <v>1</v>
      </c>
      <c r="F557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>Phone</v>
      </c>
      <c r="G557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558" spans="1:7" x14ac:dyDescent="0.3">
      <c r="A558" t="str">
        <f>Employee_dataset[[#This Row],[Employee_ID]]</f>
        <v>EMP1556</v>
      </c>
      <c r="B558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558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558" t="b">
        <f>_xlfn.LET(
     _xlpm.d, Employee_dataset[[#This Row],[Join_Date]],
     IF(
        ISNUMBER(_xlpm.d),TRUE,FALSE
       )
    )</f>
        <v>1</v>
      </c>
      <c r="E558" t="b">
        <f>IF(ISERROR(_xlfn.NUMBERVALUE(Employee_dataset[[#This Row],[Salary]])),FALSE,TRUE)</f>
        <v>1</v>
      </c>
      <c r="F558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558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559" spans="1:7" x14ac:dyDescent="0.3">
      <c r="A559" t="str">
        <f>Employee_dataset[[#This Row],[Employee_ID]]</f>
        <v>EMP1557</v>
      </c>
      <c r="B559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559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559" t="b">
        <f>_xlfn.LET(
     _xlpm.d, Employee_dataset[[#This Row],[Join_Date]],
     IF(
        ISNUMBER(_xlpm.d),TRUE,FALSE
       )
    )</f>
        <v>1</v>
      </c>
      <c r="E559" t="b">
        <f>IF(ISERROR(_xlfn.NUMBERVALUE(Employee_dataset[[#This Row],[Salary]])),FALSE,TRUE)</f>
        <v>1</v>
      </c>
      <c r="F559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559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560" spans="1:7" x14ac:dyDescent="0.3">
      <c r="A560" t="str">
        <f>Employee_dataset[[#This Row],[Employee_ID]]</f>
        <v>EMP1558</v>
      </c>
      <c r="B560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560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560" t="b">
        <f>_xlfn.LET(
     _xlpm.d, Employee_dataset[[#This Row],[Join_Date]],
     IF(
        ISNUMBER(_xlpm.d),TRUE,FALSE
       )
    )</f>
        <v>1</v>
      </c>
      <c r="E560" t="b">
        <f>IF(ISERROR(_xlfn.NUMBERVALUE(Employee_dataset[[#This Row],[Salary]])),FALSE,TRUE)</f>
        <v>1</v>
      </c>
      <c r="F560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560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561" spans="1:7" x14ac:dyDescent="0.3">
      <c r="A561" t="str">
        <f>Employee_dataset[[#This Row],[Employee_ID]]</f>
        <v>EMP1559</v>
      </c>
      <c r="B561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561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561" t="b">
        <f>_xlfn.LET(
     _xlpm.d, Employee_dataset[[#This Row],[Join_Date]],
     IF(
        ISNUMBER(_xlpm.d),TRUE,FALSE
       )
    )</f>
        <v>1</v>
      </c>
      <c r="E561" t="b">
        <f>IF(ISERROR(_xlfn.NUMBERVALUE(Employee_dataset[[#This Row],[Salary]])),FALSE,TRUE)</f>
        <v>1</v>
      </c>
      <c r="F561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561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562" spans="1:7" x14ac:dyDescent="0.3">
      <c r="A562" t="str">
        <f>Employee_dataset[[#This Row],[Employee_ID]]</f>
        <v>EMP1560</v>
      </c>
      <c r="B562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562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562" t="b">
        <f>_xlfn.LET(
     _xlpm.d, Employee_dataset[[#This Row],[Join_Date]],
     IF(
        ISNUMBER(_xlpm.d),TRUE,FALSE
       )
    )</f>
        <v>1</v>
      </c>
      <c r="E562" t="b">
        <f>IF(ISERROR(_xlfn.NUMBERVALUE(Employee_dataset[[#This Row],[Salary]])),FALSE,TRUE)</f>
        <v>1</v>
      </c>
      <c r="F562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562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563" spans="1:7" x14ac:dyDescent="0.3">
      <c r="A563" t="str">
        <f>Employee_dataset[[#This Row],[Employee_ID]]</f>
        <v>EMP1561</v>
      </c>
      <c r="B563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563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563" t="b">
        <f>_xlfn.LET(
     _xlpm.d, Employee_dataset[[#This Row],[Join_Date]],
     IF(
        ISNUMBER(_xlpm.d),TRUE,FALSE
       )
    )</f>
        <v>1</v>
      </c>
      <c r="E563" t="b">
        <f>IF(ISERROR(_xlfn.NUMBERVALUE(Employee_dataset[[#This Row],[Salary]])),FALSE,TRUE)</f>
        <v>1</v>
      </c>
      <c r="F563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563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564" spans="1:7" x14ac:dyDescent="0.3">
      <c r="A564" t="str">
        <f>Employee_dataset[[#This Row],[Employee_ID]]</f>
        <v>EMP1562</v>
      </c>
      <c r="B564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564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564" t="b">
        <f>_xlfn.LET(
     _xlpm.d, Employee_dataset[[#This Row],[Join_Date]],
     IF(
        ISNUMBER(_xlpm.d),TRUE,FALSE
       )
    )</f>
        <v>1</v>
      </c>
      <c r="E564" t="b">
        <f>IF(ISERROR(_xlfn.NUMBERVALUE(Employee_dataset[[#This Row],[Salary]])),FALSE,TRUE)</f>
        <v>1</v>
      </c>
      <c r="F564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564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565" spans="1:7" x14ac:dyDescent="0.3">
      <c r="A565" t="str">
        <f>Employee_dataset[[#This Row],[Employee_ID]]</f>
        <v>EMP1563</v>
      </c>
      <c r="B565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565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565" t="b">
        <f>_xlfn.LET(
     _xlpm.d, Employee_dataset[[#This Row],[Join_Date]],
     IF(
        ISNUMBER(_xlpm.d),TRUE,FALSE
       )
    )</f>
        <v>1</v>
      </c>
      <c r="E565" t="b">
        <f>IF(ISERROR(_xlfn.NUMBERVALUE(Employee_dataset[[#This Row],[Salary]])),FALSE,TRUE)</f>
        <v>1</v>
      </c>
      <c r="F565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565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566" spans="1:7" x14ac:dyDescent="0.3">
      <c r="A566" t="str">
        <f>Employee_dataset[[#This Row],[Employee_ID]]</f>
        <v>EMP1564</v>
      </c>
      <c r="B566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566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566" t="b">
        <f>_xlfn.LET(
     _xlpm.d, Employee_dataset[[#This Row],[Join_Date]],
     IF(
        ISNUMBER(_xlpm.d),TRUE,FALSE
       )
    )</f>
        <v>1</v>
      </c>
      <c r="E566" t="b">
        <f>IF(ISERROR(_xlfn.NUMBERVALUE(Employee_dataset[[#This Row],[Salary]])),FALSE,TRUE)</f>
        <v>1</v>
      </c>
      <c r="F566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566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567" spans="1:7" x14ac:dyDescent="0.3">
      <c r="A567" t="str">
        <f>Employee_dataset[[#This Row],[Employee_ID]]</f>
        <v>EMP1565</v>
      </c>
      <c r="B567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567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0</v>
      </c>
      <c r="D567" t="b">
        <f>_xlfn.LET(
     _xlpm.d, Employee_dataset[[#This Row],[Join_Date]],
     IF(
        ISNUMBER(_xlpm.d),TRUE,FALSE
       )
    )</f>
        <v>1</v>
      </c>
      <c r="E567" t="b">
        <f>IF(ISERROR(_xlfn.NUMBERVALUE(Employee_dataset[[#This Row],[Salary]])),FALSE,TRUE)</f>
        <v>1</v>
      </c>
      <c r="F567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>Phone</v>
      </c>
      <c r="G567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568" spans="1:7" x14ac:dyDescent="0.3">
      <c r="A568" t="str">
        <f>Employee_dataset[[#This Row],[Employee_ID]]</f>
        <v>EMP1566</v>
      </c>
      <c r="B568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568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568" t="b">
        <f>_xlfn.LET(
     _xlpm.d, Employee_dataset[[#This Row],[Join_Date]],
     IF(
        ISNUMBER(_xlpm.d),TRUE,FALSE
       )
    )</f>
        <v>1</v>
      </c>
      <c r="E568" t="b">
        <f>IF(ISERROR(_xlfn.NUMBERVALUE(Employee_dataset[[#This Row],[Salary]])),FALSE,TRUE)</f>
        <v>1</v>
      </c>
      <c r="F568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568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569" spans="1:7" x14ac:dyDescent="0.3">
      <c r="A569" t="str">
        <f>Employee_dataset[[#This Row],[Employee_ID]]</f>
        <v>EMP1567</v>
      </c>
      <c r="B569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569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569" t="b">
        <f>_xlfn.LET(
     _xlpm.d, Employee_dataset[[#This Row],[Join_Date]],
     IF(
        ISNUMBER(_xlpm.d),TRUE,FALSE
       )
    )</f>
        <v>1</v>
      </c>
      <c r="E569" t="b">
        <f>IF(ISERROR(_xlfn.NUMBERVALUE(Employee_dataset[[#This Row],[Salary]])),FALSE,TRUE)</f>
        <v>1</v>
      </c>
      <c r="F569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569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570" spans="1:7" x14ac:dyDescent="0.3">
      <c r="A570" t="str">
        <f>Employee_dataset[[#This Row],[Employee_ID]]</f>
        <v>EMP1568</v>
      </c>
      <c r="B570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570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570" t="b">
        <f>_xlfn.LET(
     _xlpm.d, Employee_dataset[[#This Row],[Join_Date]],
     IF(
        ISNUMBER(_xlpm.d),TRUE,FALSE
       )
    )</f>
        <v>1</v>
      </c>
      <c r="E570" t="b">
        <f>IF(ISERROR(_xlfn.NUMBERVALUE(Employee_dataset[[#This Row],[Salary]])),FALSE,TRUE)</f>
        <v>1</v>
      </c>
      <c r="F570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570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571" spans="1:7" x14ac:dyDescent="0.3">
      <c r="A571" t="str">
        <f>Employee_dataset[[#This Row],[Employee_ID]]</f>
        <v>EMP1569</v>
      </c>
      <c r="B571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571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571" t="b">
        <f>_xlfn.LET(
     _xlpm.d, Employee_dataset[[#This Row],[Join_Date]],
     IF(
        ISNUMBER(_xlpm.d),TRUE,FALSE
       )
    )</f>
        <v>1</v>
      </c>
      <c r="E571" t="b">
        <f>IF(ISERROR(_xlfn.NUMBERVALUE(Employee_dataset[[#This Row],[Salary]])),FALSE,TRUE)</f>
        <v>1</v>
      </c>
      <c r="F571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571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572" spans="1:7" x14ac:dyDescent="0.3">
      <c r="A572" t="str">
        <f>Employee_dataset[[#This Row],[Employee_ID]]</f>
        <v>EMP1570</v>
      </c>
      <c r="B572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572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572" t="b">
        <f>_xlfn.LET(
     _xlpm.d, Employee_dataset[[#This Row],[Join_Date]],
     IF(
        ISNUMBER(_xlpm.d),TRUE,FALSE
       )
    )</f>
        <v>1</v>
      </c>
      <c r="E572" t="b">
        <f>IF(ISERROR(_xlfn.NUMBERVALUE(Employee_dataset[[#This Row],[Salary]])),FALSE,TRUE)</f>
        <v>1</v>
      </c>
      <c r="F572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572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573" spans="1:7" x14ac:dyDescent="0.3">
      <c r="A573" t="str">
        <f>Employee_dataset[[#This Row],[Employee_ID]]</f>
        <v>EMP1571</v>
      </c>
      <c r="B573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573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573" t="b">
        <f>_xlfn.LET(
     _xlpm.d, Employee_dataset[[#This Row],[Join_Date]],
     IF(
        ISNUMBER(_xlpm.d),TRUE,FALSE
       )
    )</f>
        <v>1</v>
      </c>
      <c r="E573" t="b">
        <f>IF(ISERROR(_xlfn.NUMBERVALUE(Employee_dataset[[#This Row],[Salary]])),FALSE,TRUE)</f>
        <v>1</v>
      </c>
      <c r="F573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573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574" spans="1:7" x14ac:dyDescent="0.3">
      <c r="A574" t="str">
        <f>Employee_dataset[[#This Row],[Employee_ID]]</f>
        <v>EMP1572</v>
      </c>
      <c r="B574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574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0</v>
      </c>
      <c r="D574" t="b">
        <f>_xlfn.LET(
     _xlpm.d, Employee_dataset[[#This Row],[Join_Date]],
     IF(
        ISNUMBER(_xlpm.d),TRUE,FALSE
       )
    )</f>
        <v>1</v>
      </c>
      <c r="E574" t="b">
        <f>IF(ISERROR(_xlfn.NUMBERVALUE(Employee_dataset[[#This Row],[Salary]])),FALSE,TRUE)</f>
        <v>1</v>
      </c>
      <c r="F574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>Phone</v>
      </c>
      <c r="G574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575" spans="1:7" x14ac:dyDescent="0.3">
      <c r="A575" t="str">
        <f>Employee_dataset[[#This Row],[Employee_ID]]</f>
        <v>EMP1573</v>
      </c>
      <c r="B575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575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575" t="b">
        <f>_xlfn.LET(
     _xlpm.d, Employee_dataset[[#This Row],[Join_Date]],
     IF(
        ISNUMBER(_xlpm.d),TRUE,FALSE
       )
    )</f>
        <v>1</v>
      </c>
      <c r="E575" t="b">
        <f>IF(ISERROR(_xlfn.NUMBERVALUE(Employee_dataset[[#This Row],[Salary]])),FALSE,TRUE)</f>
        <v>1</v>
      </c>
      <c r="F575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575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576" spans="1:7" x14ac:dyDescent="0.3">
      <c r="A576" t="str">
        <f>Employee_dataset[[#This Row],[Employee_ID]]</f>
        <v>EMP1574</v>
      </c>
      <c r="B576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576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576" t="b">
        <f>_xlfn.LET(
     _xlpm.d, Employee_dataset[[#This Row],[Join_Date]],
     IF(
        ISNUMBER(_xlpm.d),TRUE,FALSE
       )
    )</f>
        <v>1</v>
      </c>
      <c r="E576" t="b">
        <f>IF(ISERROR(_xlfn.NUMBERVALUE(Employee_dataset[[#This Row],[Salary]])),FALSE,TRUE)</f>
        <v>1</v>
      </c>
      <c r="F576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576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577" spans="1:7" x14ac:dyDescent="0.3">
      <c r="A577" t="str">
        <f>Employee_dataset[[#This Row],[Employee_ID]]</f>
        <v>EMP1575</v>
      </c>
      <c r="B577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577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577" t="b">
        <f>_xlfn.LET(
     _xlpm.d, Employee_dataset[[#This Row],[Join_Date]],
     IF(
        ISNUMBER(_xlpm.d),TRUE,FALSE
       )
    )</f>
        <v>1</v>
      </c>
      <c r="E577" t="b">
        <f>IF(ISERROR(_xlfn.NUMBERVALUE(Employee_dataset[[#This Row],[Salary]])),FALSE,TRUE)</f>
        <v>1</v>
      </c>
      <c r="F577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577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578" spans="1:7" x14ac:dyDescent="0.3">
      <c r="A578" t="str">
        <f>Employee_dataset[[#This Row],[Employee_ID]]</f>
        <v>EMP1576</v>
      </c>
      <c r="B578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578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578" t="b">
        <f>_xlfn.LET(
     _xlpm.d, Employee_dataset[[#This Row],[Join_Date]],
     IF(
        ISNUMBER(_xlpm.d),TRUE,FALSE
       )
    )</f>
        <v>1</v>
      </c>
      <c r="E578" t="b">
        <f>IF(ISERROR(_xlfn.NUMBERVALUE(Employee_dataset[[#This Row],[Salary]])),FALSE,TRUE)</f>
        <v>1</v>
      </c>
      <c r="F578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578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579" spans="1:7" x14ac:dyDescent="0.3">
      <c r="A579" t="str">
        <f>Employee_dataset[[#This Row],[Employee_ID]]</f>
        <v>EMP1577</v>
      </c>
      <c r="B579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579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579" t="b">
        <f>_xlfn.LET(
     _xlpm.d, Employee_dataset[[#This Row],[Join_Date]],
     IF(
        ISNUMBER(_xlpm.d),TRUE,FALSE
       )
    )</f>
        <v>1</v>
      </c>
      <c r="E579" t="b">
        <f>IF(ISERROR(_xlfn.NUMBERVALUE(Employee_dataset[[#This Row],[Salary]])),FALSE,TRUE)</f>
        <v>0</v>
      </c>
      <c r="F579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>Salary</v>
      </c>
      <c r="G579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580" spans="1:7" x14ac:dyDescent="0.3">
      <c r="A580" t="str">
        <f>Employee_dataset[[#This Row],[Employee_ID]]</f>
        <v>EMP1578</v>
      </c>
      <c r="B580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580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580" t="b">
        <f>_xlfn.LET(
     _xlpm.d, Employee_dataset[[#This Row],[Join_Date]],
     IF(
        ISNUMBER(_xlpm.d),TRUE,FALSE
       )
    )</f>
        <v>1</v>
      </c>
      <c r="E580" t="b">
        <f>IF(ISERROR(_xlfn.NUMBERVALUE(Employee_dataset[[#This Row],[Salary]])),FALSE,TRUE)</f>
        <v>1</v>
      </c>
      <c r="F580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580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581" spans="1:7" x14ac:dyDescent="0.3">
      <c r="A581" t="str">
        <f>Employee_dataset[[#This Row],[Employee_ID]]</f>
        <v>EMP1579</v>
      </c>
      <c r="B581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581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581" t="b">
        <f>_xlfn.LET(
     _xlpm.d, Employee_dataset[[#This Row],[Join_Date]],
     IF(
        ISNUMBER(_xlpm.d),TRUE,FALSE
       )
    )</f>
        <v>1</v>
      </c>
      <c r="E581" t="b">
        <f>IF(ISERROR(_xlfn.NUMBERVALUE(Employee_dataset[[#This Row],[Salary]])),FALSE,TRUE)</f>
        <v>1</v>
      </c>
      <c r="F581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581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582" spans="1:7" x14ac:dyDescent="0.3">
      <c r="A582" t="str">
        <f>Employee_dataset[[#This Row],[Employee_ID]]</f>
        <v>EMP1580</v>
      </c>
      <c r="B582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582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582" t="b">
        <f>_xlfn.LET(
     _xlpm.d, Employee_dataset[[#This Row],[Join_Date]],
     IF(
        ISNUMBER(_xlpm.d),TRUE,FALSE
       )
    )</f>
        <v>1</v>
      </c>
      <c r="E582" t="b">
        <f>IF(ISERROR(_xlfn.NUMBERVALUE(Employee_dataset[[#This Row],[Salary]])),FALSE,TRUE)</f>
        <v>1</v>
      </c>
      <c r="F582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582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583" spans="1:7" x14ac:dyDescent="0.3">
      <c r="A583" t="str">
        <f>Employee_dataset[[#This Row],[Employee_ID]]</f>
        <v>EMP1581</v>
      </c>
      <c r="B583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583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583" t="b">
        <f>_xlfn.LET(
     _xlpm.d, Employee_dataset[[#This Row],[Join_Date]],
     IF(
        ISNUMBER(_xlpm.d),TRUE,FALSE
       )
    )</f>
        <v>1</v>
      </c>
      <c r="E583" t="b">
        <f>IF(ISERROR(_xlfn.NUMBERVALUE(Employee_dataset[[#This Row],[Salary]])),FALSE,TRUE)</f>
        <v>1</v>
      </c>
      <c r="F583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583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584" spans="1:7" x14ac:dyDescent="0.3">
      <c r="A584" t="str">
        <f>Employee_dataset[[#This Row],[Employee_ID]]</f>
        <v>EMP1582</v>
      </c>
      <c r="B584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584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584" t="b">
        <f>_xlfn.LET(
     _xlpm.d, Employee_dataset[[#This Row],[Join_Date]],
     IF(
        ISNUMBER(_xlpm.d),TRUE,FALSE
       )
    )</f>
        <v>1</v>
      </c>
      <c r="E584" t="b">
        <f>IF(ISERROR(_xlfn.NUMBERVALUE(Employee_dataset[[#This Row],[Salary]])),FALSE,TRUE)</f>
        <v>0</v>
      </c>
      <c r="F584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>Salary</v>
      </c>
      <c r="G584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585" spans="1:7" x14ac:dyDescent="0.3">
      <c r="A585" t="str">
        <f>Employee_dataset[[#This Row],[Employee_ID]]</f>
        <v>EMP1583</v>
      </c>
      <c r="B585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585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585" t="b">
        <f>_xlfn.LET(
     _xlpm.d, Employee_dataset[[#This Row],[Join_Date]],
     IF(
        ISNUMBER(_xlpm.d),TRUE,FALSE
       )
    )</f>
        <v>1</v>
      </c>
      <c r="E585" t="b">
        <f>IF(ISERROR(_xlfn.NUMBERVALUE(Employee_dataset[[#This Row],[Salary]])),FALSE,TRUE)</f>
        <v>1</v>
      </c>
      <c r="F585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585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586" spans="1:7" x14ac:dyDescent="0.3">
      <c r="A586" t="str">
        <f>Employee_dataset[[#This Row],[Employee_ID]]</f>
        <v>EMP1584</v>
      </c>
      <c r="B586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586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586" t="b">
        <f>_xlfn.LET(
     _xlpm.d, Employee_dataset[[#This Row],[Join_Date]],
     IF(
        ISNUMBER(_xlpm.d),TRUE,FALSE
       )
    )</f>
        <v>1</v>
      </c>
      <c r="E586" t="b">
        <f>IF(ISERROR(_xlfn.NUMBERVALUE(Employee_dataset[[#This Row],[Salary]])),FALSE,TRUE)</f>
        <v>1</v>
      </c>
      <c r="F586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586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587" spans="1:7" x14ac:dyDescent="0.3">
      <c r="A587" t="str">
        <f>Employee_dataset[[#This Row],[Employee_ID]]</f>
        <v>EMP1585</v>
      </c>
      <c r="B587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587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587" t="b">
        <f>_xlfn.LET(
     _xlpm.d, Employee_dataset[[#This Row],[Join_Date]],
     IF(
        ISNUMBER(_xlpm.d),TRUE,FALSE
       )
    )</f>
        <v>1</v>
      </c>
      <c r="E587" t="b">
        <f>IF(ISERROR(_xlfn.NUMBERVALUE(Employee_dataset[[#This Row],[Salary]])),FALSE,TRUE)</f>
        <v>1</v>
      </c>
      <c r="F587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587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588" spans="1:7" x14ac:dyDescent="0.3">
      <c r="A588" t="str">
        <f>Employee_dataset[[#This Row],[Employee_ID]]</f>
        <v>EMP1586</v>
      </c>
      <c r="B588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588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0</v>
      </c>
      <c r="D588" t="b">
        <f>_xlfn.LET(
     _xlpm.d, Employee_dataset[[#This Row],[Join_Date]],
     IF(
        ISNUMBER(_xlpm.d),TRUE,FALSE
       )
    )</f>
        <v>1</v>
      </c>
      <c r="E588" t="b">
        <f>IF(ISERROR(_xlfn.NUMBERVALUE(Employee_dataset[[#This Row],[Salary]])),FALSE,TRUE)</f>
        <v>1</v>
      </c>
      <c r="F588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>Phone</v>
      </c>
      <c r="G588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589" spans="1:7" x14ac:dyDescent="0.3">
      <c r="A589" t="str">
        <f>Employee_dataset[[#This Row],[Employee_ID]]</f>
        <v>EMP1587</v>
      </c>
      <c r="B589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589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589" t="b">
        <f>_xlfn.LET(
     _xlpm.d, Employee_dataset[[#This Row],[Join_Date]],
     IF(
        ISNUMBER(_xlpm.d),TRUE,FALSE
       )
    )</f>
        <v>1</v>
      </c>
      <c r="E589" t="b">
        <f>IF(ISERROR(_xlfn.NUMBERVALUE(Employee_dataset[[#This Row],[Salary]])),FALSE,TRUE)</f>
        <v>1</v>
      </c>
      <c r="F589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589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590" spans="1:7" x14ac:dyDescent="0.3">
      <c r="A590" t="str">
        <f>Employee_dataset[[#This Row],[Employee_ID]]</f>
        <v>EMP1588</v>
      </c>
      <c r="B590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590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590" t="b">
        <f>_xlfn.LET(
     _xlpm.d, Employee_dataset[[#This Row],[Join_Date]],
     IF(
        ISNUMBER(_xlpm.d),TRUE,FALSE
       )
    )</f>
        <v>1</v>
      </c>
      <c r="E590" t="b">
        <f>IF(ISERROR(_xlfn.NUMBERVALUE(Employee_dataset[[#This Row],[Salary]])),FALSE,TRUE)</f>
        <v>1</v>
      </c>
      <c r="F590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590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591" spans="1:7" x14ac:dyDescent="0.3">
      <c r="A591" t="str">
        <f>Employee_dataset[[#This Row],[Employee_ID]]</f>
        <v>EMP1589</v>
      </c>
      <c r="B591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591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0</v>
      </c>
      <c r="D591" t="b">
        <f>_xlfn.LET(
     _xlpm.d, Employee_dataset[[#This Row],[Join_Date]],
     IF(
        ISNUMBER(_xlpm.d),TRUE,FALSE
       )
    )</f>
        <v>1</v>
      </c>
      <c r="E591" t="b">
        <f>IF(ISERROR(_xlfn.NUMBERVALUE(Employee_dataset[[#This Row],[Salary]])),FALSE,TRUE)</f>
        <v>1</v>
      </c>
      <c r="F591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>Phone</v>
      </c>
      <c r="G591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592" spans="1:7" x14ac:dyDescent="0.3">
      <c r="A592" t="str">
        <f>Employee_dataset[[#This Row],[Employee_ID]]</f>
        <v>EMP1590</v>
      </c>
      <c r="B592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592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592" t="b">
        <f>_xlfn.LET(
     _xlpm.d, Employee_dataset[[#This Row],[Join_Date]],
     IF(
        ISNUMBER(_xlpm.d),TRUE,FALSE
       )
    )</f>
        <v>1</v>
      </c>
      <c r="E592" t="b">
        <f>IF(ISERROR(_xlfn.NUMBERVALUE(Employee_dataset[[#This Row],[Salary]])),FALSE,TRUE)</f>
        <v>1</v>
      </c>
      <c r="F592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592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593" spans="1:7" x14ac:dyDescent="0.3">
      <c r="A593" t="str">
        <f>Employee_dataset[[#This Row],[Employee_ID]]</f>
        <v>EMP1591</v>
      </c>
      <c r="B593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593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0</v>
      </c>
      <c r="D593" t="b">
        <f>_xlfn.LET(
     _xlpm.d, Employee_dataset[[#This Row],[Join_Date]],
     IF(
        ISNUMBER(_xlpm.d),TRUE,FALSE
       )
    )</f>
        <v>1</v>
      </c>
      <c r="E593" t="b">
        <f>IF(ISERROR(_xlfn.NUMBERVALUE(Employee_dataset[[#This Row],[Salary]])),FALSE,TRUE)</f>
        <v>1</v>
      </c>
      <c r="F593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>Phone</v>
      </c>
      <c r="G593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594" spans="1:7" x14ac:dyDescent="0.3">
      <c r="A594" t="str">
        <f>Employee_dataset[[#This Row],[Employee_ID]]</f>
        <v>EMP1592</v>
      </c>
      <c r="B594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594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594" t="b">
        <f>_xlfn.LET(
     _xlpm.d, Employee_dataset[[#This Row],[Join_Date]],
     IF(
        ISNUMBER(_xlpm.d),TRUE,FALSE
       )
    )</f>
        <v>1</v>
      </c>
      <c r="E594" t="b">
        <f>IF(ISERROR(_xlfn.NUMBERVALUE(Employee_dataset[[#This Row],[Salary]])),FALSE,TRUE)</f>
        <v>1</v>
      </c>
      <c r="F594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594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595" spans="1:7" x14ac:dyDescent="0.3">
      <c r="A595" t="str">
        <f>Employee_dataset[[#This Row],[Employee_ID]]</f>
        <v>EMP1593</v>
      </c>
      <c r="B595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595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595" t="b">
        <f>_xlfn.LET(
     _xlpm.d, Employee_dataset[[#This Row],[Join_Date]],
     IF(
        ISNUMBER(_xlpm.d),TRUE,FALSE
       )
    )</f>
        <v>1</v>
      </c>
      <c r="E595" t="b">
        <f>IF(ISERROR(_xlfn.NUMBERVALUE(Employee_dataset[[#This Row],[Salary]])),FALSE,TRUE)</f>
        <v>1</v>
      </c>
      <c r="F595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595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596" spans="1:7" x14ac:dyDescent="0.3">
      <c r="A596" t="str">
        <f>Employee_dataset[[#This Row],[Employee_ID]]</f>
        <v>EMP1594</v>
      </c>
      <c r="B596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596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596" t="b">
        <f>_xlfn.LET(
     _xlpm.d, Employee_dataset[[#This Row],[Join_Date]],
     IF(
        ISNUMBER(_xlpm.d),TRUE,FALSE
       )
    )</f>
        <v>1</v>
      </c>
      <c r="E596" t="b">
        <f>IF(ISERROR(_xlfn.NUMBERVALUE(Employee_dataset[[#This Row],[Salary]])),FALSE,TRUE)</f>
        <v>1</v>
      </c>
      <c r="F596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596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597" spans="1:7" x14ac:dyDescent="0.3">
      <c r="A597" t="str">
        <f>Employee_dataset[[#This Row],[Employee_ID]]</f>
        <v>EMP1595</v>
      </c>
      <c r="B597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597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597" t="b">
        <f>_xlfn.LET(
     _xlpm.d, Employee_dataset[[#This Row],[Join_Date]],
     IF(
        ISNUMBER(_xlpm.d),TRUE,FALSE
       )
    )</f>
        <v>1</v>
      </c>
      <c r="E597" t="b">
        <f>IF(ISERROR(_xlfn.NUMBERVALUE(Employee_dataset[[#This Row],[Salary]])),FALSE,TRUE)</f>
        <v>1</v>
      </c>
      <c r="F597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597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598" spans="1:7" x14ac:dyDescent="0.3">
      <c r="A598" t="str">
        <f>Employee_dataset[[#This Row],[Employee_ID]]</f>
        <v>EMP1596</v>
      </c>
      <c r="B598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598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598" t="b">
        <f>_xlfn.LET(
     _xlpm.d, Employee_dataset[[#This Row],[Join_Date]],
     IF(
        ISNUMBER(_xlpm.d),TRUE,FALSE
       )
    )</f>
        <v>1</v>
      </c>
      <c r="E598" t="b">
        <f>IF(ISERROR(_xlfn.NUMBERVALUE(Employee_dataset[[#This Row],[Salary]])),FALSE,TRUE)</f>
        <v>1</v>
      </c>
      <c r="F598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598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599" spans="1:7" x14ac:dyDescent="0.3">
      <c r="A599" t="str">
        <f>Employee_dataset[[#This Row],[Employee_ID]]</f>
        <v>EMP1597</v>
      </c>
      <c r="B599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599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599" t="b">
        <f>_xlfn.LET(
     _xlpm.d, Employee_dataset[[#This Row],[Join_Date]],
     IF(
        ISNUMBER(_xlpm.d),TRUE,FALSE
       )
    )</f>
        <v>1</v>
      </c>
      <c r="E599" t="b">
        <f>IF(ISERROR(_xlfn.NUMBERVALUE(Employee_dataset[[#This Row],[Salary]])),FALSE,TRUE)</f>
        <v>1</v>
      </c>
      <c r="F599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599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600" spans="1:7" x14ac:dyDescent="0.3">
      <c r="A600" t="str">
        <f>Employee_dataset[[#This Row],[Employee_ID]]</f>
        <v>EMP1598</v>
      </c>
      <c r="B600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600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600" t="b">
        <f>_xlfn.LET(
     _xlpm.d, Employee_dataset[[#This Row],[Join_Date]],
     IF(
        ISNUMBER(_xlpm.d),TRUE,FALSE
       )
    )</f>
        <v>1</v>
      </c>
      <c r="E600" t="b">
        <f>IF(ISERROR(_xlfn.NUMBERVALUE(Employee_dataset[[#This Row],[Salary]])),FALSE,TRUE)</f>
        <v>1</v>
      </c>
      <c r="F600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600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601" spans="1:7" x14ac:dyDescent="0.3">
      <c r="A601" t="str">
        <f>Employee_dataset[[#This Row],[Employee_ID]]</f>
        <v>EMP1599</v>
      </c>
      <c r="B601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601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601" t="b">
        <f>_xlfn.LET(
     _xlpm.d, Employee_dataset[[#This Row],[Join_Date]],
     IF(
        ISNUMBER(_xlpm.d),TRUE,FALSE
       )
    )</f>
        <v>1</v>
      </c>
      <c r="E601" t="b">
        <f>IF(ISERROR(_xlfn.NUMBERVALUE(Employee_dataset[[#This Row],[Salary]])),FALSE,TRUE)</f>
        <v>1</v>
      </c>
      <c r="F601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601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602" spans="1:7" x14ac:dyDescent="0.3">
      <c r="A602" t="str">
        <f>Employee_dataset[[#This Row],[Employee_ID]]</f>
        <v>EMP1600</v>
      </c>
      <c r="B602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602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0</v>
      </c>
      <c r="D602" t="b">
        <f>_xlfn.LET(
     _xlpm.d, Employee_dataset[[#This Row],[Join_Date]],
     IF(
        ISNUMBER(_xlpm.d),TRUE,FALSE
       )
    )</f>
        <v>1</v>
      </c>
      <c r="E602" t="b">
        <f>IF(ISERROR(_xlfn.NUMBERVALUE(Employee_dataset[[#This Row],[Salary]])),FALSE,TRUE)</f>
        <v>1</v>
      </c>
      <c r="F602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>Phone</v>
      </c>
      <c r="G602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603" spans="1:7" x14ac:dyDescent="0.3">
      <c r="A603" t="str">
        <f>Employee_dataset[[#This Row],[Employee_ID]]</f>
        <v>EMP1601</v>
      </c>
      <c r="B603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603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603" t="b">
        <f>_xlfn.LET(
     _xlpm.d, Employee_dataset[[#This Row],[Join_Date]],
     IF(
        ISNUMBER(_xlpm.d),TRUE,FALSE
       )
    )</f>
        <v>1</v>
      </c>
      <c r="E603" t="b">
        <f>IF(ISERROR(_xlfn.NUMBERVALUE(Employee_dataset[[#This Row],[Salary]])),FALSE,TRUE)</f>
        <v>1</v>
      </c>
      <c r="F603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603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604" spans="1:7" x14ac:dyDescent="0.3">
      <c r="A604" t="str">
        <f>Employee_dataset[[#This Row],[Employee_ID]]</f>
        <v>EMP1602</v>
      </c>
      <c r="B604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604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604" t="b">
        <f>_xlfn.LET(
     _xlpm.d, Employee_dataset[[#This Row],[Join_Date]],
     IF(
        ISNUMBER(_xlpm.d),TRUE,FALSE
       )
    )</f>
        <v>1</v>
      </c>
      <c r="E604" t="b">
        <f>IF(ISERROR(_xlfn.NUMBERVALUE(Employee_dataset[[#This Row],[Salary]])),FALSE,TRUE)</f>
        <v>1</v>
      </c>
      <c r="F604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604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605" spans="1:7" x14ac:dyDescent="0.3">
      <c r="A605" t="str">
        <f>Employee_dataset[[#This Row],[Employee_ID]]</f>
        <v>EMP1603</v>
      </c>
      <c r="B605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605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605" t="b">
        <f>_xlfn.LET(
     _xlpm.d, Employee_dataset[[#This Row],[Join_Date]],
     IF(
        ISNUMBER(_xlpm.d),TRUE,FALSE
       )
    )</f>
        <v>1</v>
      </c>
      <c r="E605" t="b">
        <f>IF(ISERROR(_xlfn.NUMBERVALUE(Employee_dataset[[#This Row],[Salary]])),FALSE,TRUE)</f>
        <v>1</v>
      </c>
      <c r="F605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605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606" spans="1:7" x14ac:dyDescent="0.3">
      <c r="A606" t="str">
        <f>Employee_dataset[[#This Row],[Employee_ID]]</f>
        <v>EMP1604</v>
      </c>
      <c r="B606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606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606" t="b">
        <f>_xlfn.LET(
     _xlpm.d, Employee_dataset[[#This Row],[Join_Date]],
     IF(
        ISNUMBER(_xlpm.d),TRUE,FALSE
       )
    )</f>
        <v>1</v>
      </c>
      <c r="E606" t="b">
        <f>IF(ISERROR(_xlfn.NUMBERVALUE(Employee_dataset[[#This Row],[Salary]])),FALSE,TRUE)</f>
        <v>1</v>
      </c>
      <c r="F606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606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607" spans="1:7" x14ac:dyDescent="0.3">
      <c r="A607" t="str">
        <f>Employee_dataset[[#This Row],[Employee_ID]]</f>
        <v>EMP1605</v>
      </c>
      <c r="B607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607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607" t="b">
        <f>_xlfn.LET(
     _xlpm.d, Employee_dataset[[#This Row],[Join_Date]],
     IF(
        ISNUMBER(_xlpm.d),TRUE,FALSE
       )
    )</f>
        <v>1</v>
      </c>
      <c r="E607" t="b">
        <f>IF(ISERROR(_xlfn.NUMBERVALUE(Employee_dataset[[#This Row],[Salary]])),FALSE,TRUE)</f>
        <v>1</v>
      </c>
      <c r="F607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607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608" spans="1:7" x14ac:dyDescent="0.3">
      <c r="A608" t="str">
        <f>Employee_dataset[[#This Row],[Employee_ID]]</f>
        <v>EMP1606</v>
      </c>
      <c r="B608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608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608" t="b">
        <f>_xlfn.LET(
     _xlpm.d, Employee_dataset[[#This Row],[Join_Date]],
     IF(
        ISNUMBER(_xlpm.d),TRUE,FALSE
       )
    )</f>
        <v>1</v>
      </c>
      <c r="E608" t="b">
        <f>IF(ISERROR(_xlfn.NUMBERVALUE(Employee_dataset[[#This Row],[Salary]])),FALSE,TRUE)</f>
        <v>1</v>
      </c>
      <c r="F608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608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609" spans="1:7" x14ac:dyDescent="0.3">
      <c r="A609" t="str">
        <f>Employee_dataset[[#This Row],[Employee_ID]]</f>
        <v>EMP1607</v>
      </c>
      <c r="B609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609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609" t="b">
        <f>_xlfn.LET(
     _xlpm.d, Employee_dataset[[#This Row],[Join_Date]],
     IF(
        ISNUMBER(_xlpm.d),TRUE,FALSE
       )
    )</f>
        <v>1</v>
      </c>
      <c r="E609" t="b">
        <f>IF(ISERROR(_xlfn.NUMBERVALUE(Employee_dataset[[#This Row],[Salary]])),FALSE,TRUE)</f>
        <v>1</v>
      </c>
      <c r="F609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609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610" spans="1:7" x14ac:dyDescent="0.3">
      <c r="A610" t="str">
        <f>Employee_dataset[[#This Row],[Employee_ID]]</f>
        <v>EMP1608</v>
      </c>
      <c r="B610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610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610" t="b">
        <f>_xlfn.LET(
     _xlpm.d, Employee_dataset[[#This Row],[Join_Date]],
     IF(
        ISNUMBER(_xlpm.d),TRUE,FALSE
       )
    )</f>
        <v>1</v>
      </c>
      <c r="E610" t="b">
        <f>IF(ISERROR(_xlfn.NUMBERVALUE(Employee_dataset[[#This Row],[Salary]])),FALSE,TRUE)</f>
        <v>1</v>
      </c>
      <c r="F610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610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611" spans="1:7" x14ac:dyDescent="0.3">
      <c r="A611" t="str">
        <f>Employee_dataset[[#This Row],[Employee_ID]]</f>
        <v>EMP1609</v>
      </c>
      <c r="B611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611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611" t="b">
        <f>_xlfn.LET(
     _xlpm.d, Employee_dataset[[#This Row],[Join_Date]],
     IF(
        ISNUMBER(_xlpm.d),TRUE,FALSE
       )
    )</f>
        <v>1</v>
      </c>
      <c r="E611" t="b">
        <f>IF(ISERROR(_xlfn.NUMBERVALUE(Employee_dataset[[#This Row],[Salary]])),FALSE,TRUE)</f>
        <v>1</v>
      </c>
      <c r="F611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611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612" spans="1:7" x14ac:dyDescent="0.3">
      <c r="A612" t="str">
        <f>Employee_dataset[[#This Row],[Employee_ID]]</f>
        <v>EMP1610</v>
      </c>
      <c r="B612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612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612" t="b">
        <f>_xlfn.LET(
     _xlpm.d, Employee_dataset[[#This Row],[Join_Date]],
     IF(
        ISNUMBER(_xlpm.d),TRUE,FALSE
       )
    )</f>
        <v>1</v>
      </c>
      <c r="E612" t="b">
        <f>IF(ISERROR(_xlfn.NUMBERVALUE(Employee_dataset[[#This Row],[Salary]])),FALSE,TRUE)</f>
        <v>1</v>
      </c>
      <c r="F612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612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613" spans="1:7" x14ac:dyDescent="0.3">
      <c r="A613" t="str">
        <f>Employee_dataset[[#This Row],[Employee_ID]]</f>
        <v>EMP1611</v>
      </c>
      <c r="B613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613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613" t="b">
        <f>_xlfn.LET(
     _xlpm.d, Employee_dataset[[#This Row],[Join_Date]],
     IF(
        ISNUMBER(_xlpm.d),TRUE,FALSE
       )
    )</f>
        <v>1</v>
      </c>
      <c r="E613" t="b">
        <f>IF(ISERROR(_xlfn.NUMBERVALUE(Employee_dataset[[#This Row],[Salary]])),FALSE,TRUE)</f>
        <v>1</v>
      </c>
      <c r="F613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613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614" spans="1:7" x14ac:dyDescent="0.3">
      <c r="A614" t="str">
        <f>Employee_dataset[[#This Row],[Employee_ID]]</f>
        <v>EMP1612</v>
      </c>
      <c r="B614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614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0</v>
      </c>
      <c r="D614" t="b">
        <f>_xlfn.LET(
     _xlpm.d, Employee_dataset[[#This Row],[Join_Date]],
     IF(
        ISNUMBER(_xlpm.d),TRUE,FALSE
       )
    )</f>
        <v>1</v>
      </c>
      <c r="E614" t="b">
        <f>IF(ISERROR(_xlfn.NUMBERVALUE(Employee_dataset[[#This Row],[Salary]])),FALSE,TRUE)</f>
        <v>1</v>
      </c>
      <c r="F614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>Phone</v>
      </c>
      <c r="G614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615" spans="1:7" x14ac:dyDescent="0.3">
      <c r="A615" t="str">
        <f>Employee_dataset[[#This Row],[Employee_ID]]</f>
        <v>EMP1613</v>
      </c>
      <c r="B615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615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615" t="b">
        <f>_xlfn.LET(
     _xlpm.d, Employee_dataset[[#This Row],[Join_Date]],
     IF(
        ISNUMBER(_xlpm.d),TRUE,FALSE
       )
    )</f>
        <v>1</v>
      </c>
      <c r="E615" t="b">
        <f>IF(ISERROR(_xlfn.NUMBERVALUE(Employee_dataset[[#This Row],[Salary]])),FALSE,TRUE)</f>
        <v>1</v>
      </c>
      <c r="F615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615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616" spans="1:7" x14ac:dyDescent="0.3">
      <c r="A616" t="str">
        <f>Employee_dataset[[#This Row],[Employee_ID]]</f>
        <v>EMP1614</v>
      </c>
      <c r="B616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616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0</v>
      </c>
      <c r="D616" t="b">
        <f>_xlfn.LET(
     _xlpm.d, Employee_dataset[[#This Row],[Join_Date]],
     IF(
        ISNUMBER(_xlpm.d),TRUE,FALSE
       )
    )</f>
        <v>1</v>
      </c>
      <c r="E616" t="b">
        <f>IF(ISERROR(_xlfn.NUMBERVALUE(Employee_dataset[[#This Row],[Salary]])),FALSE,TRUE)</f>
        <v>1</v>
      </c>
      <c r="F616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>Phone</v>
      </c>
      <c r="G616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617" spans="1:7" x14ac:dyDescent="0.3">
      <c r="A617" t="str">
        <f>Employee_dataset[[#This Row],[Employee_ID]]</f>
        <v>EMP1615</v>
      </c>
      <c r="B617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617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617" t="b">
        <f>_xlfn.LET(
     _xlpm.d, Employee_dataset[[#This Row],[Join_Date]],
     IF(
        ISNUMBER(_xlpm.d),TRUE,FALSE
       )
    )</f>
        <v>1</v>
      </c>
      <c r="E617" t="b">
        <f>IF(ISERROR(_xlfn.NUMBERVALUE(Employee_dataset[[#This Row],[Salary]])),FALSE,TRUE)</f>
        <v>1</v>
      </c>
      <c r="F617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617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618" spans="1:7" x14ac:dyDescent="0.3">
      <c r="A618" t="str">
        <f>Employee_dataset[[#This Row],[Employee_ID]]</f>
        <v>EMP1616</v>
      </c>
      <c r="B618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618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618" t="b">
        <f>_xlfn.LET(
     _xlpm.d, Employee_dataset[[#This Row],[Join_Date]],
     IF(
        ISNUMBER(_xlpm.d),TRUE,FALSE
       )
    )</f>
        <v>1</v>
      </c>
      <c r="E618" t="b">
        <f>IF(ISERROR(_xlfn.NUMBERVALUE(Employee_dataset[[#This Row],[Salary]])),FALSE,TRUE)</f>
        <v>1</v>
      </c>
      <c r="F618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618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619" spans="1:7" x14ac:dyDescent="0.3">
      <c r="A619" t="str">
        <f>Employee_dataset[[#This Row],[Employee_ID]]</f>
        <v>EMP1617</v>
      </c>
      <c r="B619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619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619" t="b">
        <f>_xlfn.LET(
     _xlpm.d, Employee_dataset[[#This Row],[Join_Date]],
     IF(
        ISNUMBER(_xlpm.d),TRUE,FALSE
       )
    )</f>
        <v>1</v>
      </c>
      <c r="E619" t="b">
        <f>IF(ISERROR(_xlfn.NUMBERVALUE(Employee_dataset[[#This Row],[Salary]])),FALSE,TRUE)</f>
        <v>1</v>
      </c>
      <c r="F619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619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620" spans="1:7" x14ac:dyDescent="0.3">
      <c r="A620" t="str">
        <f>Employee_dataset[[#This Row],[Employee_ID]]</f>
        <v>EMP1618</v>
      </c>
      <c r="B620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620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620" t="b">
        <f>_xlfn.LET(
     _xlpm.d, Employee_dataset[[#This Row],[Join_Date]],
     IF(
        ISNUMBER(_xlpm.d),TRUE,FALSE
       )
    )</f>
        <v>1</v>
      </c>
      <c r="E620" t="b">
        <f>IF(ISERROR(_xlfn.NUMBERVALUE(Employee_dataset[[#This Row],[Salary]])),FALSE,TRUE)</f>
        <v>1</v>
      </c>
      <c r="F620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620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621" spans="1:7" x14ac:dyDescent="0.3">
      <c r="A621" t="str">
        <f>Employee_dataset[[#This Row],[Employee_ID]]</f>
        <v>EMP1619</v>
      </c>
      <c r="B621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621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621" t="b">
        <f>_xlfn.LET(
     _xlpm.d, Employee_dataset[[#This Row],[Join_Date]],
     IF(
        ISNUMBER(_xlpm.d),TRUE,FALSE
       )
    )</f>
        <v>1</v>
      </c>
      <c r="E621" t="b">
        <f>IF(ISERROR(_xlfn.NUMBERVALUE(Employee_dataset[[#This Row],[Salary]])),FALSE,TRUE)</f>
        <v>0</v>
      </c>
      <c r="F621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>Salary</v>
      </c>
      <c r="G621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622" spans="1:7" x14ac:dyDescent="0.3">
      <c r="A622" t="str">
        <f>Employee_dataset[[#This Row],[Employee_ID]]</f>
        <v>EMP1620</v>
      </c>
      <c r="B622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622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0</v>
      </c>
      <c r="D622" t="b">
        <f>_xlfn.LET(
     _xlpm.d, Employee_dataset[[#This Row],[Join_Date]],
     IF(
        ISNUMBER(_xlpm.d),TRUE,FALSE
       )
    )</f>
        <v>1</v>
      </c>
      <c r="E622" t="b">
        <f>IF(ISERROR(_xlfn.NUMBERVALUE(Employee_dataset[[#This Row],[Salary]])),FALSE,TRUE)</f>
        <v>1</v>
      </c>
      <c r="F622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>Phone</v>
      </c>
      <c r="G622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623" spans="1:7" x14ac:dyDescent="0.3">
      <c r="A623" t="str">
        <f>Employee_dataset[[#This Row],[Employee_ID]]</f>
        <v>EMP1621</v>
      </c>
      <c r="B623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623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623" t="b">
        <f>_xlfn.LET(
     _xlpm.d, Employee_dataset[[#This Row],[Join_Date]],
     IF(
        ISNUMBER(_xlpm.d),TRUE,FALSE
       )
    )</f>
        <v>1</v>
      </c>
      <c r="E623" t="b">
        <f>IF(ISERROR(_xlfn.NUMBERVALUE(Employee_dataset[[#This Row],[Salary]])),FALSE,TRUE)</f>
        <v>1</v>
      </c>
      <c r="F623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623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624" spans="1:7" x14ac:dyDescent="0.3">
      <c r="A624" t="str">
        <f>Employee_dataset[[#This Row],[Employee_ID]]</f>
        <v>EMP1622</v>
      </c>
      <c r="B624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624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624" t="b">
        <f>_xlfn.LET(
     _xlpm.d, Employee_dataset[[#This Row],[Join_Date]],
     IF(
        ISNUMBER(_xlpm.d),TRUE,FALSE
       )
    )</f>
        <v>1</v>
      </c>
      <c r="E624" t="b">
        <f>IF(ISERROR(_xlfn.NUMBERVALUE(Employee_dataset[[#This Row],[Salary]])),FALSE,TRUE)</f>
        <v>1</v>
      </c>
      <c r="F624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624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625" spans="1:7" x14ac:dyDescent="0.3">
      <c r="A625" t="str">
        <f>Employee_dataset[[#This Row],[Employee_ID]]</f>
        <v>EMP1623</v>
      </c>
      <c r="B625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625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625" t="b">
        <f>_xlfn.LET(
     _xlpm.d, Employee_dataset[[#This Row],[Join_Date]],
     IF(
        ISNUMBER(_xlpm.d),TRUE,FALSE
       )
    )</f>
        <v>1</v>
      </c>
      <c r="E625" t="b">
        <f>IF(ISERROR(_xlfn.NUMBERVALUE(Employee_dataset[[#This Row],[Salary]])),FALSE,TRUE)</f>
        <v>1</v>
      </c>
      <c r="F625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625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626" spans="1:7" x14ac:dyDescent="0.3">
      <c r="A626" t="str">
        <f>Employee_dataset[[#This Row],[Employee_ID]]</f>
        <v>EMP1624</v>
      </c>
      <c r="B626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626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626" t="b">
        <f>_xlfn.LET(
     _xlpm.d, Employee_dataset[[#This Row],[Join_Date]],
     IF(
        ISNUMBER(_xlpm.d),TRUE,FALSE
       )
    )</f>
        <v>1</v>
      </c>
      <c r="E626" t="b">
        <f>IF(ISERROR(_xlfn.NUMBERVALUE(Employee_dataset[[#This Row],[Salary]])),FALSE,TRUE)</f>
        <v>1</v>
      </c>
      <c r="F626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626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627" spans="1:7" x14ac:dyDescent="0.3">
      <c r="A627" t="str">
        <f>Employee_dataset[[#This Row],[Employee_ID]]</f>
        <v>EMP1625</v>
      </c>
      <c r="B627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627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627" t="b">
        <f>_xlfn.LET(
     _xlpm.d, Employee_dataset[[#This Row],[Join_Date]],
     IF(
        ISNUMBER(_xlpm.d),TRUE,FALSE
       )
    )</f>
        <v>1</v>
      </c>
      <c r="E627" t="b">
        <f>IF(ISERROR(_xlfn.NUMBERVALUE(Employee_dataset[[#This Row],[Salary]])),FALSE,TRUE)</f>
        <v>1</v>
      </c>
      <c r="F627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627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628" spans="1:7" x14ac:dyDescent="0.3">
      <c r="A628" t="str">
        <f>Employee_dataset[[#This Row],[Employee_ID]]</f>
        <v>EMP1626</v>
      </c>
      <c r="B628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628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628" t="b">
        <f>_xlfn.LET(
     _xlpm.d, Employee_dataset[[#This Row],[Join_Date]],
     IF(
        ISNUMBER(_xlpm.d),TRUE,FALSE
       )
    )</f>
        <v>1</v>
      </c>
      <c r="E628" t="b">
        <f>IF(ISERROR(_xlfn.NUMBERVALUE(Employee_dataset[[#This Row],[Salary]])),FALSE,TRUE)</f>
        <v>1</v>
      </c>
      <c r="F628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628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629" spans="1:7" x14ac:dyDescent="0.3">
      <c r="A629" t="str">
        <f>Employee_dataset[[#This Row],[Employee_ID]]</f>
        <v>EMP1627</v>
      </c>
      <c r="B629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629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629" t="b">
        <f>_xlfn.LET(
     _xlpm.d, Employee_dataset[[#This Row],[Join_Date]],
     IF(
        ISNUMBER(_xlpm.d),TRUE,FALSE
       )
    )</f>
        <v>1</v>
      </c>
      <c r="E629" t="b">
        <f>IF(ISERROR(_xlfn.NUMBERVALUE(Employee_dataset[[#This Row],[Salary]])),FALSE,TRUE)</f>
        <v>1</v>
      </c>
      <c r="F629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629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630" spans="1:7" x14ac:dyDescent="0.3">
      <c r="A630" t="str">
        <f>Employee_dataset[[#This Row],[Employee_ID]]</f>
        <v>EMP1628</v>
      </c>
      <c r="B630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630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630" t="b">
        <f>_xlfn.LET(
     _xlpm.d, Employee_dataset[[#This Row],[Join_Date]],
     IF(
        ISNUMBER(_xlpm.d),TRUE,FALSE
       )
    )</f>
        <v>1</v>
      </c>
      <c r="E630" t="b">
        <f>IF(ISERROR(_xlfn.NUMBERVALUE(Employee_dataset[[#This Row],[Salary]])),FALSE,TRUE)</f>
        <v>1</v>
      </c>
      <c r="F630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630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631" spans="1:7" x14ac:dyDescent="0.3">
      <c r="A631" t="str">
        <f>Employee_dataset[[#This Row],[Employee_ID]]</f>
        <v>EMP1629</v>
      </c>
      <c r="B631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631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631" t="b">
        <f>_xlfn.LET(
     _xlpm.d, Employee_dataset[[#This Row],[Join_Date]],
     IF(
        ISNUMBER(_xlpm.d),TRUE,FALSE
       )
    )</f>
        <v>1</v>
      </c>
      <c r="E631" t="b">
        <f>IF(ISERROR(_xlfn.NUMBERVALUE(Employee_dataset[[#This Row],[Salary]])),FALSE,TRUE)</f>
        <v>1</v>
      </c>
      <c r="F631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631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632" spans="1:7" x14ac:dyDescent="0.3">
      <c r="A632" t="str">
        <f>Employee_dataset[[#This Row],[Employee_ID]]</f>
        <v>EMP1630</v>
      </c>
      <c r="B632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632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632" t="b">
        <f>_xlfn.LET(
     _xlpm.d, Employee_dataset[[#This Row],[Join_Date]],
     IF(
        ISNUMBER(_xlpm.d),TRUE,FALSE
       )
    )</f>
        <v>1</v>
      </c>
      <c r="E632" t="b">
        <f>IF(ISERROR(_xlfn.NUMBERVALUE(Employee_dataset[[#This Row],[Salary]])),FALSE,TRUE)</f>
        <v>1</v>
      </c>
      <c r="F632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632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633" spans="1:7" x14ac:dyDescent="0.3">
      <c r="A633" t="str">
        <f>Employee_dataset[[#This Row],[Employee_ID]]</f>
        <v>EMP1631</v>
      </c>
      <c r="B633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633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633" t="b">
        <f>_xlfn.LET(
     _xlpm.d, Employee_dataset[[#This Row],[Join_Date]],
     IF(
        ISNUMBER(_xlpm.d),TRUE,FALSE
       )
    )</f>
        <v>1</v>
      </c>
      <c r="E633" t="b">
        <f>IF(ISERROR(_xlfn.NUMBERVALUE(Employee_dataset[[#This Row],[Salary]])),FALSE,TRUE)</f>
        <v>1</v>
      </c>
      <c r="F633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633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634" spans="1:7" x14ac:dyDescent="0.3">
      <c r="A634" t="str">
        <f>Employee_dataset[[#This Row],[Employee_ID]]</f>
        <v>EMP1632</v>
      </c>
      <c r="B634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634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634" t="b">
        <f>_xlfn.LET(
     _xlpm.d, Employee_dataset[[#This Row],[Join_Date]],
     IF(
        ISNUMBER(_xlpm.d),TRUE,FALSE
       )
    )</f>
        <v>1</v>
      </c>
      <c r="E634" t="b">
        <f>IF(ISERROR(_xlfn.NUMBERVALUE(Employee_dataset[[#This Row],[Salary]])),FALSE,TRUE)</f>
        <v>1</v>
      </c>
      <c r="F634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634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635" spans="1:7" x14ac:dyDescent="0.3">
      <c r="A635" t="str">
        <f>Employee_dataset[[#This Row],[Employee_ID]]</f>
        <v>EMP1633</v>
      </c>
      <c r="B635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635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635" t="b">
        <f>_xlfn.LET(
     _xlpm.d, Employee_dataset[[#This Row],[Join_Date]],
     IF(
        ISNUMBER(_xlpm.d),TRUE,FALSE
       )
    )</f>
        <v>1</v>
      </c>
      <c r="E635" t="b">
        <f>IF(ISERROR(_xlfn.NUMBERVALUE(Employee_dataset[[#This Row],[Salary]])),FALSE,TRUE)</f>
        <v>1</v>
      </c>
      <c r="F635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635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636" spans="1:7" x14ac:dyDescent="0.3">
      <c r="A636" t="str">
        <f>Employee_dataset[[#This Row],[Employee_ID]]</f>
        <v>EMP1634</v>
      </c>
      <c r="B636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636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636" t="b">
        <f>_xlfn.LET(
     _xlpm.d, Employee_dataset[[#This Row],[Join_Date]],
     IF(
        ISNUMBER(_xlpm.d),TRUE,FALSE
       )
    )</f>
        <v>1</v>
      </c>
      <c r="E636" t="b">
        <f>IF(ISERROR(_xlfn.NUMBERVALUE(Employee_dataset[[#This Row],[Salary]])),FALSE,TRUE)</f>
        <v>1</v>
      </c>
      <c r="F636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636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637" spans="1:7" x14ac:dyDescent="0.3">
      <c r="A637" t="str">
        <f>Employee_dataset[[#This Row],[Employee_ID]]</f>
        <v>EMP1635</v>
      </c>
      <c r="B637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637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637" t="b">
        <f>_xlfn.LET(
     _xlpm.d, Employee_dataset[[#This Row],[Join_Date]],
     IF(
        ISNUMBER(_xlpm.d),TRUE,FALSE
       )
    )</f>
        <v>1</v>
      </c>
      <c r="E637" t="b">
        <f>IF(ISERROR(_xlfn.NUMBERVALUE(Employee_dataset[[#This Row],[Salary]])),FALSE,TRUE)</f>
        <v>1</v>
      </c>
      <c r="F637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637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638" spans="1:7" x14ac:dyDescent="0.3">
      <c r="A638" t="str">
        <f>Employee_dataset[[#This Row],[Employee_ID]]</f>
        <v>EMP1636</v>
      </c>
      <c r="B638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638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638" t="b">
        <f>_xlfn.LET(
     _xlpm.d, Employee_dataset[[#This Row],[Join_Date]],
     IF(
        ISNUMBER(_xlpm.d),TRUE,FALSE
       )
    )</f>
        <v>1</v>
      </c>
      <c r="E638" t="b">
        <f>IF(ISERROR(_xlfn.NUMBERVALUE(Employee_dataset[[#This Row],[Salary]])),FALSE,TRUE)</f>
        <v>0</v>
      </c>
      <c r="F638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>Salary</v>
      </c>
      <c r="G638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639" spans="1:7" x14ac:dyDescent="0.3">
      <c r="A639" t="str">
        <f>Employee_dataset[[#This Row],[Employee_ID]]</f>
        <v>EMP1637</v>
      </c>
      <c r="B639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639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639" t="b">
        <f>_xlfn.LET(
     _xlpm.d, Employee_dataset[[#This Row],[Join_Date]],
     IF(
        ISNUMBER(_xlpm.d),TRUE,FALSE
       )
    )</f>
        <v>1</v>
      </c>
      <c r="E639" t="b">
        <f>IF(ISERROR(_xlfn.NUMBERVALUE(Employee_dataset[[#This Row],[Salary]])),FALSE,TRUE)</f>
        <v>1</v>
      </c>
      <c r="F639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639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640" spans="1:7" x14ac:dyDescent="0.3">
      <c r="A640" t="str">
        <f>Employee_dataset[[#This Row],[Employee_ID]]</f>
        <v>EMP1638</v>
      </c>
      <c r="B640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640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640" t="b">
        <f>_xlfn.LET(
     _xlpm.d, Employee_dataset[[#This Row],[Join_Date]],
     IF(
        ISNUMBER(_xlpm.d),TRUE,FALSE
       )
    )</f>
        <v>1</v>
      </c>
      <c r="E640" t="b">
        <f>IF(ISERROR(_xlfn.NUMBERVALUE(Employee_dataset[[#This Row],[Salary]])),FALSE,TRUE)</f>
        <v>1</v>
      </c>
      <c r="F640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640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641" spans="1:7" x14ac:dyDescent="0.3">
      <c r="A641" t="str">
        <f>Employee_dataset[[#This Row],[Employee_ID]]</f>
        <v>EMP1639</v>
      </c>
      <c r="B641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641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641" t="b">
        <f>_xlfn.LET(
     _xlpm.d, Employee_dataset[[#This Row],[Join_Date]],
     IF(
        ISNUMBER(_xlpm.d),TRUE,FALSE
       )
    )</f>
        <v>1</v>
      </c>
      <c r="E641" t="b">
        <f>IF(ISERROR(_xlfn.NUMBERVALUE(Employee_dataset[[#This Row],[Salary]])),FALSE,TRUE)</f>
        <v>1</v>
      </c>
      <c r="F641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641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642" spans="1:7" x14ac:dyDescent="0.3">
      <c r="A642" t="str">
        <f>Employee_dataset[[#This Row],[Employee_ID]]</f>
        <v>EMP1640</v>
      </c>
      <c r="B642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642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642" t="b">
        <f>_xlfn.LET(
     _xlpm.d, Employee_dataset[[#This Row],[Join_Date]],
     IF(
        ISNUMBER(_xlpm.d),TRUE,FALSE
       )
    )</f>
        <v>1</v>
      </c>
      <c r="E642" t="b">
        <f>IF(ISERROR(_xlfn.NUMBERVALUE(Employee_dataset[[#This Row],[Salary]])),FALSE,TRUE)</f>
        <v>1</v>
      </c>
      <c r="F642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642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643" spans="1:7" x14ac:dyDescent="0.3">
      <c r="A643" t="str">
        <f>Employee_dataset[[#This Row],[Employee_ID]]</f>
        <v>EMP1641</v>
      </c>
      <c r="B643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643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643" t="b">
        <f>_xlfn.LET(
     _xlpm.d, Employee_dataset[[#This Row],[Join_Date]],
     IF(
        ISNUMBER(_xlpm.d),TRUE,FALSE
       )
    )</f>
        <v>1</v>
      </c>
      <c r="E643" t="b">
        <f>IF(ISERROR(_xlfn.NUMBERVALUE(Employee_dataset[[#This Row],[Salary]])),FALSE,TRUE)</f>
        <v>1</v>
      </c>
      <c r="F643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643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644" spans="1:7" x14ac:dyDescent="0.3">
      <c r="A644" t="str">
        <f>Employee_dataset[[#This Row],[Employee_ID]]</f>
        <v>EMP1642</v>
      </c>
      <c r="B644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644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644" t="b">
        <f>_xlfn.LET(
     _xlpm.d, Employee_dataset[[#This Row],[Join_Date]],
     IF(
        ISNUMBER(_xlpm.d),TRUE,FALSE
       )
    )</f>
        <v>1</v>
      </c>
      <c r="E644" t="b">
        <f>IF(ISERROR(_xlfn.NUMBERVALUE(Employee_dataset[[#This Row],[Salary]])),FALSE,TRUE)</f>
        <v>1</v>
      </c>
      <c r="F644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644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645" spans="1:7" x14ac:dyDescent="0.3">
      <c r="A645" t="str">
        <f>Employee_dataset[[#This Row],[Employee_ID]]</f>
        <v>EMP1643</v>
      </c>
      <c r="B645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645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645" t="b">
        <f>_xlfn.LET(
     _xlpm.d, Employee_dataset[[#This Row],[Join_Date]],
     IF(
        ISNUMBER(_xlpm.d),TRUE,FALSE
       )
    )</f>
        <v>1</v>
      </c>
      <c r="E645" t="b">
        <f>IF(ISERROR(_xlfn.NUMBERVALUE(Employee_dataset[[#This Row],[Salary]])),FALSE,TRUE)</f>
        <v>1</v>
      </c>
      <c r="F645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645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646" spans="1:7" x14ac:dyDescent="0.3">
      <c r="A646" t="str">
        <f>Employee_dataset[[#This Row],[Employee_ID]]</f>
        <v>EMP1644</v>
      </c>
      <c r="B646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646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646" t="b">
        <f>_xlfn.LET(
     _xlpm.d, Employee_dataset[[#This Row],[Join_Date]],
     IF(
        ISNUMBER(_xlpm.d),TRUE,FALSE
       )
    )</f>
        <v>1</v>
      </c>
      <c r="E646" t="b">
        <f>IF(ISERROR(_xlfn.NUMBERVALUE(Employee_dataset[[#This Row],[Salary]])),FALSE,TRUE)</f>
        <v>1</v>
      </c>
      <c r="F646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646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647" spans="1:7" x14ac:dyDescent="0.3">
      <c r="A647" t="str">
        <f>Employee_dataset[[#This Row],[Employee_ID]]</f>
        <v>EMP1645</v>
      </c>
      <c r="B647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647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647" t="b">
        <f>_xlfn.LET(
     _xlpm.d, Employee_dataset[[#This Row],[Join_Date]],
     IF(
        ISNUMBER(_xlpm.d),TRUE,FALSE
       )
    )</f>
        <v>1</v>
      </c>
      <c r="E647" t="b">
        <f>IF(ISERROR(_xlfn.NUMBERVALUE(Employee_dataset[[#This Row],[Salary]])),FALSE,TRUE)</f>
        <v>1</v>
      </c>
      <c r="F647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647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648" spans="1:7" x14ac:dyDescent="0.3">
      <c r="A648" t="str">
        <f>Employee_dataset[[#This Row],[Employee_ID]]</f>
        <v>EMP1646</v>
      </c>
      <c r="B648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648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648" t="b">
        <f>_xlfn.LET(
     _xlpm.d, Employee_dataset[[#This Row],[Join_Date]],
     IF(
        ISNUMBER(_xlpm.d),TRUE,FALSE
       )
    )</f>
        <v>1</v>
      </c>
      <c r="E648" t="b">
        <f>IF(ISERROR(_xlfn.NUMBERVALUE(Employee_dataset[[#This Row],[Salary]])),FALSE,TRUE)</f>
        <v>1</v>
      </c>
      <c r="F648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648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649" spans="1:7" x14ac:dyDescent="0.3">
      <c r="A649" t="str">
        <f>Employee_dataset[[#This Row],[Employee_ID]]</f>
        <v>EMP1647</v>
      </c>
      <c r="B649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649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649" t="b">
        <f>_xlfn.LET(
     _xlpm.d, Employee_dataset[[#This Row],[Join_Date]],
     IF(
        ISNUMBER(_xlpm.d),TRUE,FALSE
       )
    )</f>
        <v>1</v>
      </c>
      <c r="E649" t="b">
        <f>IF(ISERROR(_xlfn.NUMBERVALUE(Employee_dataset[[#This Row],[Salary]])),FALSE,TRUE)</f>
        <v>1</v>
      </c>
      <c r="F649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649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650" spans="1:7" x14ac:dyDescent="0.3">
      <c r="A650" t="str">
        <f>Employee_dataset[[#This Row],[Employee_ID]]</f>
        <v>EMP1648</v>
      </c>
      <c r="B650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650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650" t="b">
        <f>_xlfn.LET(
     _xlpm.d, Employee_dataset[[#This Row],[Join_Date]],
     IF(
        ISNUMBER(_xlpm.d),TRUE,FALSE
       )
    )</f>
        <v>1</v>
      </c>
      <c r="E650" t="b">
        <f>IF(ISERROR(_xlfn.NUMBERVALUE(Employee_dataset[[#This Row],[Salary]])),FALSE,TRUE)</f>
        <v>1</v>
      </c>
      <c r="F650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650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651" spans="1:7" x14ac:dyDescent="0.3">
      <c r="A651" t="str">
        <f>Employee_dataset[[#This Row],[Employee_ID]]</f>
        <v>EMP1649</v>
      </c>
      <c r="B651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651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651" t="b">
        <f>_xlfn.LET(
     _xlpm.d, Employee_dataset[[#This Row],[Join_Date]],
     IF(
        ISNUMBER(_xlpm.d),TRUE,FALSE
       )
    )</f>
        <v>1</v>
      </c>
      <c r="E651" t="b">
        <f>IF(ISERROR(_xlfn.NUMBERVALUE(Employee_dataset[[#This Row],[Salary]])),FALSE,TRUE)</f>
        <v>1</v>
      </c>
      <c r="F651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651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652" spans="1:7" x14ac:dyDescent="0.3">
      <c r="A652" t="str">
        <f>Employee_dataset[[#This Row],[Employee_ID]]</f>
        <v>EMP1650</v>
      </c>
      <c r="B652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652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652" t="b">
        <f>_xlfn.LET(
     _xlpm.d, Employee_dataset[[#This Row],[Join_Date]],
     IF(
        ISNUMBER(_xlpm.d),TRUE,FALSE
       )
    )</f>
        <v>1</v>
      </c>
      <c r="E652" t="b">
        <f>IF(ISERROR(_xlfn.NUMBERVALUE(Employee_dataset[[#This Row],[Salary]])),FALSE,TRUE)</f>
        <v>1</v>
      </c>
      <c r="F652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652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653" spans="1:7" x14ac:dyDescent="0.3">
      <c r="A653" t="str">
        <f>Employee_dataset[[#This Row],[Employee_ID]]</f>
        <v>EMP1651</v>
      </c>
      <c r="B653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653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653" t="b">
        <f>_xlfn.LET(
     _xlpm.d, Employee_dataset[[#This Row],[Join_Date]],
     IF(
        ISNUMBER(_xlpm.d),TRUE,FALSE
       )
    )</f>
        <v>1</v>
      </c>
      <c r="E653" t="b">
        <f>IF(ISERROR(_xlfn.NUMBERVALUE(Employee_dataset[[#This Row],[Salary]])),FALSE,TRUE)</f>
        <v>1</v>
      </c>
      <c r="F653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653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654" spans="1:7" x14ac:dyDescent="0.3">
      <c r="A654" t="str">
        <f>Employee_dataset[[#This Row],[Employee_ID]]</f>
        <v>EMP1652</v>
      </c>
      <c r="B654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654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654" t="b">
        <f>_xlfn.LET(
     _xlpm.d, Employee_dataset[[#This Row],[Join_Date]],
     IF(
        ISNUMBER(_xlpm.d),TRUE,FALSE
       )
    )</f>
        <v>1</v>
      </c>
      <c r="E654" t="b">
        <f>IF(ISERROR(_xlfn.NUMBERVALUE(Employee_dataset[[#This Row],[Salary]])),FALSE,TRUE)</f>
        <v>1</v>
      </c>
      <c r="F654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654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655" spans="1:7" x14ac:dyDescent="0.3">
      <c r="A655" t="str">
        <f>Employee_dataset[[#This Row],[Employee_ID]]</f>
        <v>EMP1653</v>
      </c>
      <c r="B655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655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655" t="b">
        <f>_xlfn.LET(
     _xlpm.d, Employee_dataset[[#This Row],[Join_Date]],
     IF(
        ISNUMBER(_xlpm.d),TRUE,FALSE
       )
    )</f>
        <v>1</v>
      </c>
      <c r="E655" t="b">
        <f>IF(ISERROR(_xlfn.NUMBERVALUE(Employee_dataset[[#This Row],[Salary]])),FALSE,TRUE)</f>
        <v>1</v>
      </c>
      <c r="F655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655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656" spans="1:7" x14ac:dyDescent="0.3">
      <c r="A656" t="str">
        <f>Employee_dataset[[#This Row],[Employee_ID]]</f>
        <v>EMP1654</v>
      </c>
      <c r="B656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656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656" t="b">
        <f>_xlfn.LET(
     _xlpm.d, Employee_dataset[[#This Row],[Join_Date]],
     IF(
        ISNUMBER(_xlpm.d),TRUE,FALSE
       )
    )</f>
        <v>1</v>
      </c>
      <c r="E656" t="b">
        <f>IF(ISERROR(_xlfn.NUMBERVALUE(Employee_dataset[[#This Row],[Salary]])),FALSE,TRUE)</f>
        <v>1</v>
      </c>
      <c r="F656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656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657" spans="1:7" x14ac:dyDescent="0.3">
      <c r="A657" t="str">
        <f>Employee_dataset[[#This Row],[Employee_ID]]</f>
        <v>EMP1655</v>
      </c>
      <c r="B657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657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657" t="b">
        <f>_xlfn.LET(
     _xlpm.d, Employee_dataset[[#This Row],[Join_Date]],
     IF(
        ISNUMBER(_xlpm.d),TRUE,FALSE
       )
    )</f>
        <v>1</v>
      </c>
      <c r="E657" t="b">
        <f>IF(ISERROR(_xlfn.NUMBERVALUE(Employee_dataset[[#This Row],[Salary]])),FALSE,TRUE)</f>
        <v>1</v>
      </c>
      <c r="F657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657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658" spans="1:7" x14ac:dyDescent="0.3">
      <c r="A658" t="str">
        <f>Employee_dataset[[#This Row],[Employee_ID]]</f>
        <v>EMP1656</v>
      </c>
      <c r="B658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658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658" t="b">
        <f>_xlfn.LET(
     _xlpm.d, Employee_dataset[[#This Row],[Join_Date]],
     IF(
        ISNUMBER(_xlpm.d),TRUE,FALSE
       )
    )</f>
        <v>1</v>
      </c>
      <c r="E658" t="b">
        <f>IF(ISERROR(_xlfn.NUMBERVALUE(Employee_dataset[[#This Row],[Salary]])),FALSE,TRUE)</f>
        <v>1</v>
      </c>
      <c r="F658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658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659" spans="1:7" x14ac:dyDescent="0.3">
      <c r="A659" t="str">
        <f>Employee_dataset[[#This Row],[Employee_ID]]</f>
        <v>EMP1657</v>
      </c>
      <c r="B659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659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659" t="b">
        <f>_xlfn.LET(
     _xlpm.d, Employee_dataset[[#This Row],[Join_Date]],
     IF(
        ISNUMBER(_xlpm.d),TRUE,FALSE
       )
    )</f>
        <v>1</v>
      </c>
      <c r="E659" t="b">
        <f>IF(ISERROR(_xlfn.NUMBERVALUE(Employee_dataset[[#This Row],[Salary]])),FALSE,TRUE)</f>
        <v>1</v>
      </c>
      <c r="F659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659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660" spans="1:7" x14ac:dyDescent="0.3">
      <c r="A660" t="str">
        <f>Employee_dataset[[#This Row],[Employee_ID]]</f>
        <v>EMP1658</v>
      </c>
      <c r="B660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660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0</v>
      </c>
      <c r="D660" t="b">
        <f>_xlfn.LET(
     _xlpm.d, Employee_dataset[[#This Row],[Join_Date]],
     IF(
        ISNUMBER(_xlpm.d),TRUE,FALSE
       )
    )</f>
        <v>1</v>
      </c>
      <c r="E660" t="b">
        <f>IF(ISERROR(_xlfn.NUMBERVALUE(Employee_dataset[[#This Row],[Salary]])),FALSE,TRUE)</f>
        <v>1</v>
      </c>
      <c r="F660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>Phone</v>
      </c>
      <c r="G660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661" spans="1:7" x14ac:dyDescent="0.3">
      <c r="A661" t="str">
        <f>Employee_dataset[[#This Row],[Employee_ID]]</f>
        <v>EMP1659</v>
      </c>
      <c r="B661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661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661" t="b">
        <f>_xlfn.LET(
     _xlpm.d, Employee_dataset[[#This Row],[Join_Date]],
     IF(
        ISNUMBER(_xlpm.d),TRUE,FALSE
       )
    )</f>
        <v>1</v>
      </c>
      <c r="E661" t="b">
        <f>IF(ISERROR(_xlfn.NUMBERVALUE(Employee_dataset[[#This Row],[Salary]])),FALSE,TRUE)</f>
        <v>1</v>
      </c>
      <c r="F661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661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662" spans="1:7" x14ac:dyDescent="0.3">
      <c r="A662" t="str">
        <f>Employee_dataset[[#This Row],[Employee_ID]]</f>
        <v>EMP1660</v>
      </c>
      <c r="B662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662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662" t="b">
        <f>_xlfn.LET(
     _xlpm.d, Employee_dataset[[#This Row],[Join_Date]],
     IF(
        ISNUMBER(_xlpm.d),TRUE,FALSE
       )
    )</f>
        <v>1</v>
      </c>
      <c r="E662" t="b">
        <f>IF(ISERROR(_xlfn.NUMBERVALUE(Employee_dataset[[#This Row],[Salary]])),FALSE,TRUE)</f>
        <v>1</v>
      </c>
      <c r="F662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662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663" spans="1:7" x14ac:dyDescent="0.3">
      <c r="A663" t="str">
        <f>Employee_dataset[[#This Row],[Employee_ID]]</f>
        <v>EMP1661</v>
      </c>
      <c r="B663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663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663" t="b">
        <f>_xlfn.LET(
     _xlpm.d, Employee_dataset[[#This Row],[Join_Date]],
     IF(
        ISNUMBER(_xlpm.d),TRUE,FALSE
       )
    )</f>
        <v>1</v>
      </c>
      <c r="E663" t="b">
        <f>IF(ISERROR(_xlfn.NUMBERVALUE(Employee_dataset[[#This Row],[Salary]])),FALSE,TRUE)</f>
        <v>1</v>
      </c>
      <c r="F663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663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664" spans="1:7" x14ac:dyDescent="0.3">
      <c r="A664" t="str">
        <f>Employee_dataset[[#This Row],[Employee_ID]]</f>
        <v>EMP1662</v>
      </c>
      <c r="B664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664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664" t="b">
        <f>_xlfn.LET(
     _xlpm.d, Employee_dataset[[#This Row],[Join_Date]],
     IF(
        ISNUMBER(_xlpm.d),TRUE,FALSE
       )
    )</f>
        <v>1</v>
      </c>
      <c r="E664" t="b">
        <f>IF(ISERROR(_xlfn.NUMBERVALUE(Employee_dataset[[#This Row],[Salary]])),FALSE,TRUE)</f>
        <v>1</v>
      </c>
      <c r="F664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664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665" spans="1:7" x14ac:dyDescent="0.3">
      <c r="A665" t="str">
        <f>Employee_dataset[[#This Row],[Employee_ID]]</f>
        <v>EMP1663</v>
      </c>
      <c r="B665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665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665" t="b">
        <f>_xlfn.LET(
     _xlpm.d, Employee_dataset[[#This Row],[Join_Date]],
     IF(
        ISNUMBER(_xlpm.d),TRUE,FALSE
       )
    )</f>
        <v>1</v>
      </c>
      <c r="E665" t="b">
        <f>IF(ISERROR(_xlfn.NUMBERVALUE(Employee_dataset[[#This Row],[Salary]])),FALSE,TRUE)</f>
        <v>1</v>
      </c>
      <c r="F665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665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666" spans="1:7" x14ac:dyDescent="0.3">
      <c r="A666" t="str">
        <f>Employee_dataset[[#This Row],[Employee_ID]]</f>
        <v>EMP1664</v>
      </c>
      <c r="B666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666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666" t="b">
        <f>_xlfn.LET(
     _xlpm.d, Employee_dataset[[#This Row],[Join_Date]],
     IF(
        ISNUMBER(_xlpm.d),TRUE,FALSE
       )
    )</f>
        <v>1</v>
      </c>
      <c r="E666" t="b">
        <f>IF(ISERROR(_xlfn.NUMBERVALUE(Employee_dataset[[#This Row],[Salary]])),FALSE,TRUE)</f>
        <v>1</v>
      </c>
      <c r="F666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666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667" spans="1:7" x14ac:dyDescent="0.3">
      <c r="A667" t="str">
        <f>Employee_dataset[[#This Row],[Employee_ID]]</f>
        <v>EMP1665</v>
      </c>
      <c r="B667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667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667" t="b">
        <f>_xlfn.LET(
     _xlpm.d, Employee_dataset[[#This Row],[Join_Date]],
     IF(
        ISNUMBER(_xlpm.d),TRUE,FALSE
       )
    )</f>
        <v>1</v>
      </c>
      <c r="E667" t="b">
        <f>IF(ISERROR(_xlfn.NUMBERVALUE(Employee_dataset[[#This Row],[Salary]])),FALSE,TRUE)</f>
        <v>1</v>
      </c>
      <c r="F667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667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668" spans="1:7" x14ac:dyDescent="0.3">
      <c r="A668" t="str">
        <f>Employee_dataset[[#This Row],[Employee_ID]]</f>
        <v>EMP1666</v>
      </c>
      <c r="B668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668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668" t="b">
        <f>_xlfn.LET(
     _xlpm.d, Employee_dataset[[#This Row],[Join_Date]],
     IF(
        ISNUMBER(_xlpm.d),TRUE,FALSE
       )
    )</f>
        <v>1</v>
      </c>
      <c r="E668" t="b">
        <f>IF(ISERROR(_xlfn.NUMBERVALUE(Employee_dataset[[#This Row],[Salary]])),FALSE,TRUE)</f>
        <v>1</v>
      </c>
      <c r="F668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668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669" spans="1:7" x14ac:dyDescent="0.3">
      <c r="A669" t="str">
        <f>Employee_dataset[[#This Row],[Employee_ID]]</f>
        <v>EMP1667</v>
      </c>
      <c r="B669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669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669" t="b">
        <f>_xlfn.LET(
     _xlpm.d, Employee_dataset[[#This Row],[Join_Date]],
     IF(
        ISNUMBER(_xlpm.d),TRUE,FALSE
       )
    )</f>
        <v>1</v>
      </c>
      <c r="E669" t="b">
        <f>IF(ISERROR(_xlfn.NUMBERVALUE(Employee_dataset[[#This Row],[Salary]])),FALSE,TRUE)</f>
        <v>1</v>
      </c>
      <c r="F669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669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670" spans="1:7" x14ac:dyDescent="0.3">
      <c r="A670" t="str">
        <f>Employee_dataset[[#This Row],[Employee_ID]]</f>
        <v>EMP1668</v>
      </c>
      <c r="B670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670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670" t="b">
        <f>_xlfn.LET(
     _xlpm.d, Employee_dataset[[#This Row],[Join_Date]],
     IF(
        ISNUMBER(_xlpm.d),TRUE,FALSE
       )
    )</f>
        <v>1</v>
      </c>
      <c r="E670" t="b">
        <f>IF(ISERROR(_xlfn.NUMBERVALUE(Employee_dataset[[#This Row],[Salary]])),FALSE,TRUE)</f>
        <v>1</v>
      </c>
      <c r="F670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670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671" spans="1:7" x14ac:dyDescent="0.3">
      <c r="A671" t="str">
        <f>Employee_dataset[[#This Row],[Employee_ID]]</f>
        <v>EMP1669</v>
      </c>
      <c r="B671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671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671" t="b">
        <f>_xlfn.LET(
     _xlpm.d, Employee_dataset[[#This Row],[Join_Date]],
     IF(
        ISNUMBER(_xlpm.d),TRUE,FALSE
       )
    )</f>
        <v>1</v>
      </c>
      <c r="E671" t="b">
        <f>IF(ISERROR(_xlfn.NUMBERVALUE(Employee_dataset[[#This Row],[Salary]])),FALSE,TRUE)</f>
        <v>1</v>
      </c>
      <c r="F671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671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672" spans="1:7" x14ac:dyDescent="0.3">
      <c r="A672" t="str">
        <f>Employee_dataset[[#This Row],[Employee_ID]]</f>
        <v>EMP1670</v>
      </c>
      <c r="B672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672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672" t="b">
        <f>_xlfn.LET(
     _xlpm.d, Employee_dataset[[#This Row],[Join_Date]],
     IF(
        ISNUMBER(_xlpm.d),TRUE,FALSE
       )
    )</f>
        <v>1</v>
      </c>
      <c r="E672" t="b">
        <f>IF(ISERROR(_xlfn.NUMBERVALUE(Employee_dataset[[#This Row],[Salary]])),FALSE,TRUE)</f>
        <v>1</v>
      </c>
      <c r="F672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672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673" spans="1:7" x14ac:dyDescent="0.3">
      <c r="A673" t="str">
        <f>Employee_dataset[[#This Row],[Employee_ID]]</f>
        <v>EMP1671</v>
      </c>
      <c r="B673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673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673" t="b">
        <f>_xlfn.LET(
     _xlpm.d, Employee_dataset[[#This Row],[Join_Date]],
     IF(
        ISNUMBER(_xlpm.d),TRUE,FALSE
       )
    )</f>
        <v>1</v>
      </c>
      <c r="E673" t="b">
        <f>IF(ISERROR(_xlfn.NUMBERVALUE(Employee_dataset[[#This Row],[Salary]])),FALSE,TRUE)</f>
        <v>1</v>
      </c>
      <c r="F673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673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674" spans="1:7" x14ac:dyDescent="0.3">
      <c r="A674" t="str">
        <f>Employee_dataset[[#This Row],[Employee_ID]]</f>
        <v>EMP1672</v>
      </c>
      <c r="B674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674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674" t="b">
        <f>_xlfn.LET(
     _xlpm.d, Employee_dataset[[#This Row],[Join_Date]],
     IF(
        ISNUMBER(_xlpm.d),TRUE,FALSE
       )
    )</f>
        <v>1</v>
      </c>
      <c r="E674" t="b">
        <f>IF(ISERROR(_xlfn.NUMBERVALUE(Employee_dataset[[#This Row],[Salary]])),FALSE,TRUE)</f>
        <v>1</v>
      </c>
      <c r="F674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674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675" spans="1:7" x14ac:dyDescent="0.3">
      <c r="A675" t="str">
        <f>Employee_dataset[[#This Row],[Employee_ID]]</f>
        <v>EMP1673</v>
      </c>
      <c r="B675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675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0</v>
      </c>
      <c r="D675" t="b">
        <f>_xlfn.LET(
     _xlpm.d, Employee_dataset[[#This Row],[Join_Date]],
     IF(
        ISNUMBER(_xlpm.d),TRUE,FALSE
       )
    )</f>
        <v>1</v>
      </c>
      <c r="E675" t="b">
        <f>IF(ISERROR(_xlfn.NUMBERVALUE(Employee_dataset[[#This Row],[Salary]])),FALSE,TRUE)</f>
        <v>1</v>
      </c>
      <c r="F675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>Phone</v>
      </c>
      <c r="G675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676" spans="1:7" x14ac:dyDescent="0.3">
      <c r="A676" t="str">
        <f>Employee_dataset[[#This Row],[Employee_ID]]</f>
        <v>EMP1674</v>
      </c>
      <c r="B676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676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676" t="b">
        <f>_xlfn.LET(
     _xlpm.d, Employee_dataset[[#This Row],[Join_Date]],
     IF(
        ISNUMBER(_xlpm.d),TRUE,FALSE
       )
    )</f>
        <v>1</v>
      </c>
      <c r="E676" t="b">
        <f>IF(ISERROR(_xlfn.NUMBERVALUE(Employee_dataset[[#This Row],[Salary]])),FALSE,TRUE)</f>
        <v>1</v>
      </c>
      <c r="F676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676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677" spans="1:7" x14ac:dyDescent="0.3">
      <c r="A677" t="str">
        <f>Employee_dataset[[#This Row],[Employee_ID]]</f>
        <v>EMP1675</v>
      </c>
      <c r="B677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677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677" t="b">
        <f>_xlfn.LET(
     _xlpm.d, Employee_dataset[[#This Row],[Join_Date]],
     IF(
        ISNUMBER(_xlpm.d),TRUE,FALSE
       )
    )</f>
        <v>1</v>
      </c>
      <c r="E677" t="b">
        <f>IF(ISERROR(_xlfn.NUMBERVALUE(Employee_dataset[[#This Row],[Salary]])),FALSE,TRUE)</f>
        <v>1</v>
      </c>
      <c r="F677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677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678" spans="1:7" x14ac:dyDescent="0.3">
      <c r="A678" t="str">
        <f>Employee_dataset[[#This Row],[Employee_ID]]</f>
        <v>EMP1676</v>
      </c>
      <c r="B678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678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678" t="b">
        <f>_xlfn.LET(
     _xlpm.d, Employee_dataset[[#This Row],[Join_Date]],
     IF(
        ISNUMBER(_xlpm.d),TRUE,FALSE
       )
    )</f>
        <v>1</v>
      </c>
      <c r="E678" t="b">
        <f>IF(ISERROR(_xlfn.NUMBERVALUE(Employee_dataset[[#This Row],[Salary]])),FALSE,TRUE)</f>
        <v>1</v>
      </c>
      <c r="F678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678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679" spans="1:7" x14ac:dyDescent="0.3">
      <c r="A679" t="str">
        <f>Employee_dataset[[#This Row],[Employee_ID]]</f>
        <v>EMP1677</v>
      </c>
      <c r="B679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679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679" t="b">
        <f>_xlfn.LET(
     _xlpm.d, Employee_dataset[[#This Row],[Join_Date]],
     IF(
        ISNUMBER(_xlpm.d),TRUE,FALSE
       )
    )</f>
        <v>1</v>
      </c>
      <c r="E679" t="b">
        <f>IF(ISERROR(_xlfn.NUMBERVALUE(Employee_dataset[[#This Row],[Salary]])),FALSE,TRUE)</f>
        <v>0</v>
      </c>
      <c r="F679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>Salary</v>
      </c>
      <c r="G679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680" spans="1:7" x14ac:dyDescent="0.3">
      <c r="A680" t="str">
        <f>Employee_dataset[[#This Row],[Employee_ID]]</f>
        <v>EMP1678</v>
      </c>
      <c r="B680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680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680" t="b">
        <f>_xlfn.LET(
     _xlpm.d, Employee_dataset[[#This Row],[Join_Date]],
     IF(
        ISNUMBER(_xlpm.d),TRUE,FALSE
       )
    )</f>
        <v>1</v>
      </c>
      <c r="E680" t="b">
        <f>IF(ISERROR(_xlfn.NUMBERVALUE(Employee_dataset[[#This Row],[Salary]])),FALSE,TRUE)</f>
        <v>1</v>
      </c>
      <c r="F680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680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681" spans="1:7" x14ac:dyDescent="0.3">
      <c r="A681" t="str">
        <f>Employee_dataset[[#This Row],[Employee_ID]]</f>
        <v>EMP1679</v>
      </c>
      <c r="B681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681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681" t="b">
        <f>_xlfn.LET(
     _xlpm.d, Employee_dataset[[#This Row],[Join_Date]],
     IF(
        ISNUMBER(_xlpm.d),TRUE,FALSE
       )
    )</f>
        <v>1</v>
      </c>
      <c r="E681" t="b">
        <f>IF(ISERROR(_xlfn.NUMBERVALUE(Employee_dataset[[#This Row],[Salary]])),FALSE,TRUE)</f>
        <v>1</v>
      </c>
      <c r="F681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681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682" spans="1:7" x14ac:dyDescent="0.3">
      <c r="A682" t="str">
        <f>Employee_dataset[[#This Row],[Employee_ID]]</f>
        <v>EMP1680</v>
      </c>
      <c r="B682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682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682" t="b">
        <f>_xlfn.LET(
     _xlpm.d, Employee_dataset[[#This Row],[Join_Date]],
     IF(
        ISNUMBER(_xlpm.d),TRUE,FALSE
       )
    )</f>
        <v>1</v>
      </c>
      <c r="E682" t="b">
        <f>IF(ISERROR(_xlfn.NUMBERVALUE(Employee_dataset[[#This Row],[Salary]])),FALSE,TRUE)</f>
        <v>1</v>
      </c>
      <c r="F682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682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683" spans="1:7" x14ac:dyDescent="0.3">
      <c r="A683" t="str">
        <f>Employee_dataset[[#This Row],[Employee_ID]]</f>
        <v>EMP1681</v>
      </c>
      <c r="B683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683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683" t="b">
        <f>_xlfn.LET(
     _xlpm.d, Employee_dataset[[#This Row],[Join_Date]],
     IF(
        ISNUMBER(_xlpm.d),TRUE,FALSE
       )
    )</f>
        <v>1</v>
      </c>
      <c r="E683" t="b">
        <f>IF(ISERROR(_xlfn.NUMBERVALUE(Employee_dataset[[#This Row],[Salary]])),FALSE,TRUE)</f>
        <v>1</v>
      </c>
      <c r="F683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683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684" spans="1:7" x14ac:dyDescent="0.3">
      <c r="A684" t="str">
        <f>Employee_dataset[[#This Row],[Employee_ID]]</f>
        <v>EMP1682</v>
      </c>
      <c r="B684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684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684" t="b">
        <f>_xlfn.LET(
     _xlpm.d, Employee_dataset[[#This Row],[Join_Date]],
     IF(
        ISNUMBER(_xlpm.d),TRUE,FALSE
       )
    )</f>
        <v>1</v>
      </c>
      <c r="E684" t="b">
        <f>IF(ISERROR(_xlfn.NUMBERVALUE(Employee_dataset[[#This Row],[Salary]])),FALSE,TRUE)</f>
        <v>1</v>
      </c>
      <c r="F684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684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685" spans="1:7" x14ac:dyDescent="0.3">
      <c r="A685" t="str">
        <f>Employee_dataset[[#This Row],[Employee_ID]]</f>
        <v>EMP1683</v>
      </c>
      <c r="B685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685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685" t="b">
        <f>_xlfn.LET(
     _xlpm.d, Employee_dataset[[#This Row],[Join_Date]],
     IF(
        ISNUMBER(_xlpm.d),TRUE,FALSE
       )
    )</f>
        <v>1</v>
      </c>
      <c r="E685" t="b">
        <f>IF(ISERROR(_xlfn.NUMBERVALUE(Employee_dataset[[#This Row],[Salary]])),FALSE,TRUE)</f>
        <v>1</v>
      </c>
      <c r="F685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685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686" spans="1:7" x14ac:dyDescent="0.3">
      <c r="A686" t="str">
        <f>Employee_dataset[[#This Row],[Employee_ID]]</f>
        <v>EMP1684</v>
      </c>
      <c r="B686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686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686" t="b">
        <f>_xlfn.LET(
     _xlpm.d, Employee_dataset[[#This Row],[Join_Date]],
     IF(
        ISNUMBER(_xlpm.d),TRUE,FALSE
       )
    )</f>
        <v>1</v>
      </c>
      <c r="E686" t="b">
        <f>IF(ISERROR(_xlfn.NUMBERVALUE(Employee_dataset[[#This Row],[Salary]])),FALSE,TRUE)</f>
        <v>1</v>
      </c>
      <c r="F686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686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687" spans="1:7" x14ac:dyDescent="0.3">
      <c r="A687" t="str">
        <f>Employee_dataset[[#This Row],[Employee_ID]]</f>
        <v>EMP1685</v>
      </c>
      <c r="B687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687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687" t="b">
        <f>_xlfn.LET(
     _xlpm.d, Employee_dataset[[#This Row],[Join_Date]],
     IF(
        ISNUMBER(_xlpm.d),TRUE,FALSE
       )
    )</f>
        <v>1</v>
      </c>
      <c r="E687" t="b">
        <f>IF(ISERROR(_xlfn.NUMBERVALUE(Employee_dataset[[#This Row],[Salary]])),FALSE,TRUE)</f>
        <v>1</v>
      </c>
      <c r="F687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687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688" spans="1:7" x14ac:dyDescent="0.3">
      <c r="A688" t="str">
        <f>Employee_dataset[[#This Row],[Employee_ID]]</f>
        <v>EMP1686</v>
      </c>
      <c r="B688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688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688" t="b">
        <f>_xlfn.LET(
     _xlpm.d, Employee_dataset[[#This Row],[Join_Date]],
     IF(
        ISNUMBER(_xlpm.d),TRUE,FALSE
       )
    )</f>
        <v>1</v>
      </c>
      <c r="E688" t="b">
        <f>IF(ISERROR(_xlfn.NUMBERVALUE(Employee_dataset[[#This Row],[Salary]])),FALSE,TRUE)</f>
        <v>1</v>
      </c>
      <c r="F688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688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689" spans="1:7" x14ac:dyDescent="0.3">
      <c r="A689" t="str">
        <f>Employee_dataset[[#This Row],[Employee_ID]]</f>
        <v>EMP1687</v>
      </c>
      <c r="B689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689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689" t="b">
        <f>_xlfn.LET(
     _xlpm.d, Employee_dataset[[#This Row],[Join_Date]],
     IF(
        ISNUMBER(_xlpm.d),TRUE,FALSE
       )
    )</f>
        <v>1</v>
      </c>
      <c r="E689" t="b">
        <f>IF(ISERROR(_xlfn.NUMBERVALUE(Employee_dataset[[#This Row],[Salary]])),FALSE,TRUE)</f>
        <v>1</v>
      </c>
      <c r="F689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689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690" spans="1:7" x14ac:dyDescent="0.3">
      <c r="A690" t="str">
        <f>Employee_dataset[[#This Row],[Employee_ID]]</f>
        <v>EMP1688</v>
      </c>
      <c r="B690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690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690" t="b">
        <f>_xlfn.LET(
     _xlpm.d, Employee_dataset[[#This Row],[Join_Date]],
     IF(
        ISNUMBER(_xlpm.d),TRUE,FALSE
       )
    )</f>
        <v>1</v>
      </c>
      <c r="E690" t="b">
        <f>IF(ISERROR(_xlfn.NUMBERVALUE(Employee_dataset[[#This Row],[Salary]])),FALSE,TRUE)</f>
        <v>1</v>
      </c>
      <c r="F690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690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691" spans="1:7" x14ac:dyDescent="0.3">
      <c r="A691" t="str">
        <f>Employee_dataset[[#This Row],[Employee_ID]]</f>
        <v>EMP1689</v>
      </c>
      <c r="B691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691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691" t="b">
        <f>_xlfn.LET(
     _xlpm.d, Employee_dataset[[#This Row],[Join_Date]],
     IF(
        ISNUMBER(_xlpm.d),TRUE,FALSE
       )
    )</f>
        <v>1</v>
      </c>
      <c r="E691" t="b">
        <f>IF(ISERROR(_xlfn.NUMBERVALUE(Employee_dataset[[#This Row],[Salary]])),FALSE,TRUE)</f>
        <v>1</v>
      </c>
      <c r="F691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691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692" spans="1:7" x14ac:dyDescent="0.3">
      <c r="A692" t="str">
        <f>Employee_dataset[[#This Row],[Employee_ID]]</f>
        <v>EMP1690</v>
      </c>
      <c r="B692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692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692" t="b">
        <f>_xlfn.LET(
     _xlpm.d, Employee_dataset[[#This Row],[Join_Date]],
     IF(
        ISNUMBER(_xlpm.d),TRUE,FALSE
       )
    )</f>
        <v>1</v>
      </c>
      <c r="E692" t="b">
        <f>IF(ISERROR(_xlfn.NUMBERVALUE(Employee_dataset[[#This Row],[Salary]])),FALSE,TRUE)</f>
        <v>1</v>
      </c>
      <c r="F692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692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693" spans="1:7" x14ac:dyDescent="0.3">
      <c r="A693" t="str">
        <f>Employee_dataset[[#This Row],[Employee_ID]]</f>
        <v>EMP1691</v>
      </c>
      <c r="B693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693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693" t="b">
        <f>_xlfn.LET(
     _xlpm.d, Employee_dataset[[#This Row],[Join_Date]],
     IF(
        ISNUMBER(_xlpm.d),TRUE,FALSE
       )
    )</f>
        <v>1</v>
      </c>
      <c r="E693" t="b">
        <f>IF(ISERROR(_xlfn.NUMBERVALUE(Employee_dataset[[#This Row],[Salary]])),FALSE,TRUE)</f>
        <v>1</v>
      </c>
      <c r="F693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693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694" spans="1:7" x14ac:dyDescent="0.3">
      <c r="A694" t="str">
        <f>Employee_dataset[[#This Row],[Employee_ID]]</f>
        <v>EMP1692</v>
      </c>
      <c r="B694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694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694" t="b">
        <f>_xlfn.LET(
     _xlpm.d, Employee_dataset[[#This Row],[Join_Date]],
     IF(
        ISNUMBER(_xlpm.d),TRUE,FALSE
       )
    )</f>
        <v>1</v>
      </c>
      <c r="E694" t="b">
        <f>IF(ISERROR(_xlfn.NUMBERVALUE(Employee_dataset[[#This Row],[Salary]])),FALSE,TRUE)</f>
        <v>1</v>
      </c>
      <c r="F694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694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695" spans="1:7" x14ac:dyDescent="0.3">
      <c r="A695" t="str">
        <f>Employee_dataset[[#This Row],[Employee_ID]]</f>
        <v>EMP1693</v>
      </c>
      <c r="B695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695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695" t="b">
        <f>_xlfn.LET(
     _xlpm.d, Employee_dataset[[#This Row],[Join_Date]],
     IF(
        ISNUMBER(_xlpm.d),TRUE,FALSE
       )
    )</f>
        <v>1</v>
      </c>
      <c r="E695" t="b">
        <f>IF(ISERROR(_xlfn.NUMBERVALUE(Employee_dataset[[#This Row],[Salary]])),FALSE,TRUE)</f>
        <v>1</v>
      </c>
      <c r="F695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695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696" spans="1:7" x14ac:dyDescent="0.3">
      <c r="A696" t="str">
        <f>Employee_dataset[[#This Row],[Employee_ID]]</f>
        <v>EMP1694</v>
      </c>
      <c r="B696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696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696" t="b">
        <f>_xlfn.LET(
     _xlpm.d, Employee_dataset[[#This Row],[Join_Date]],
     IF(
        ISNUMBER(_xlpm.d),TRUE,FALSE
       )
    )</f>
        <v>1</v>
      </c>
      <c r="E696" t="b">
        <f>IF(ISERROR(_xlfn.NUMBERVALUE(Employee_dataset[[#This Row],[Salary]])),FALSE,TRUE)</f>
        <v>1</v>
      </c>
      <c r="F696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696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697" spans="1:7" x14ac:dyDescent="0.3">
      <c r="A697" t="str">
        <f>Employee_dataset[[#This Row],[Employee_ID]]</f>
        <v>EMP1695</v>
      </c>
      <c r="B697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697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697" t="b">
        <f>_xlfn.LET(
     _xlpm.d, Employee_dataset[[#This Row],[Join_Date]],
     IF(
        ISNUMBER(_xlpm.d),TRUE,FALSE
       )
    )</f>
        <v>1</v>
      </c>
      <c r="E697" t="b">
        <f>IF(ISERROR(_xlfn.NUMBERVALUE(Employee_dataset[[#This Row],[Salary]])),FALSE,TRUE)</f>
        <v>1</v>
      </c>
      <c r="F697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697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698" spans="1:7" x14ac:dyDescent="0.3">
      <c r="A698" t="str">
        <f>Employee_dataset[[#This Row],[Employee_ID]]</f>
        <v>EMP1696</v>
      </c>
      <c r="B698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698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698" t="b">
        <f>_xlfn.LET(
     _xlpm.d, Employee_dataset[[#This Row],[Join_Date]],
     IF(
        ISNUMBER(_xlpm.d),TRUE,FALSE
       )
    )</f>
        <v>1</v>
      </c>
      <c r="E698" t="b">
        <f>IF(ISERROR(_xlfn.NUMBERVALUE(Employee_dataset[[#This Row],[Salary]])),FALSE,TRUE)</f>
        <v>1</v>
      </c>
      <c r="F698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698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699" spans="1:7" x14ac:dyDescent="0.3">
      <c r="A699" t="str">
        <f>Employee_dataset[[#This Row],[Employee_ID]]</f>
        <v>EMP1697</v>
      </c>
      <c r="B699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699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699" t="b">
        <f>_xlfn.LET(
     _xlpm.d, Employee_dataset[[#This Row],[Join_Date]],
     IF(
        ISNUMBER(_xlpm.d),TRUE,FALSE
       )
    )</f>
        <v>1</v>
      </c>
      <c r="E699" t="b">
        <f>IF(ISERROR(_xlfn.NUMBERVALUE(Employee_dataset[[#This Row],[Salary]])),FALSE,TRUE)</f>
        <v>1</v>
      </c>
      <c r="F699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699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700" spans="1:7" x14ac:dyDescent="0.3">
      <c r="A700" t="str">
        <f>Employee_dataset[[#This Row],[Employee_ID]]</f>
        <v>EMP1698</v>
      </c>
      <c r="B700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700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700" t="b">
        <f>_xlfn.LET(
     _xlpm.d, Employee_dataset[[#This Row],[Join_Date]],
     IF(
        ISNUMBER(_xlpm.d),TRUE,FALSE
       )
    )</f>
        <v>1</v>
      </c>
      <c r="E700" t="b">
        <f>IF(ISERROR(_xlfn.NUMBERVALUE(Employee_dataset[[#This Row],[Salary]])),FALSE,TRUE)</f>
        <v>1</v>
      </c>
      <c r="F700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700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701" spans="1:7" x14ac:dyDescent="0.3">
      <c r="A701" t="str">
        <f>Employee_dataset[[#This Row],[Employee_ID]]</f>
        <v>EMP1699</v>
      </c>
      <c r="B701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701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701" t="b">
        <f>_xlfn.LET(
     _xlpm.d, Employee_dataset[[#This Row],[Join_Date]],
     IF(
        ISNUMBER(_xlpm.d),TRUE,FALSE
       )
    )</f>
        <v>1</v>
      </c>
      <c r="E701" t="b">
        <f>IF(ISERROR(_xlfn.NUMBERVALUE(Employee_dataset[[#This Row],[Salary]])),FALSE,TRUE)</f>
        <v>1</v>
      </c>
      <c r="F701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701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702" spans="1:7" x14ac:dyDescent="0.3">
      <c r="A702" t="str">
        <f>Employee_dataset[[#This Row],[Employee_ID]]</f>
        <v>EMP1700</v>
      </c>
      <c r="B702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702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702" t="b">
        <f>_xlfn.LET(
     _xlpm.d, Employee_dataset[[#This Row],[Join_Date]],
     IF(
        ISNUMBER(_xlpm.d),TRUE,FALSE
       )
    )</f>
        <v>1</v>
      </c>
      <c r="E702" t="b">
        <f>IF(ISERROR(_xlfn.NUMBERVALUE(Employee_dataset[[#This Row],[Salary]])),FALSE,TRUE)</f>
        <v>0</v>
      </c>
      <c r="F702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>Salary</v>
      </c>
      <c r="G702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703" spans="1:7" x14ac:dyDescent="0.3">
      <c r="A703" t="str">
        <f>Employee_dataset[[#This Row],[Employee_ID]]</f>
        <v>EMP1701</v>
      </c>
      <c r="B703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703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703" t="b">
        <f>_xlfn.LET(
     _xlpm.d, Employee_dataset[[#This Row],[Join_Date]],
     IF(
        ISNUMBER(_xlpm.d),TRUE,FALSE
       )
    )</f>
        <v>1</v>
      </c>
      <c r="E703" t="b">
        <f>IF(ISERROR(_xlfn.NUMBERVALUE(Employee_dataset[[#This Row],[Salary]])),FALSE,TRUE)</f>
        <v>1</v>
      </c>
      <c r="F703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703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704" spans="1:7" x14ac:dyDescent="0.3">
      <c r="A704" t="str">
        <f>Employee_dataset[[#This Row],[Employee_ID]]</f>
        <v>EMP1702</v>
      </c>
      <c r="B704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704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704" t="b">
        <f>_xlfn.LET(
     _xlpm.d, Employee_dataset[[#This Row],[Join_Date]],
     IF(
        ISNUMBER(_xlpm.d),TRUE,FALSE
       )
    )</f>
        <v>1</v>
      </c>
      <c r="E704" t="b">
        <f>IF(ISERROR(_xlfn.NUMBERVALUE(Employee_dataset[[#This Row],[Salary]])),FALSE,TRUE)</f>
        <v>1</v>
      </c>
      <c r="F704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704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705" spans="1:7" x14ac:dyDescent="0.3">
      <c r="A705" t="str">
        <f>Employee_dataset[[#This Row],[Employee_ID]]</f>
        <v>EMP1703</v>
      </c>
      <c r="B705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705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705" t="b">
        <f>_xlfn.LET(
     _xlpm.d, Employee_dataset[[#This Row],[Join_Date]],
     IF(
        ISNUMBER(_xlpm.d),TRUE,FALSE
       )
    )</f>
        <v>1</v>
      </c>
      <c r="E705" t="b">
        <f>IF(ISERROR(_xlfn.NUMBERVALUE(Employee_dataset[[#This Row],[Salary]])),FALSE,TRUE)</f>
        <v>1</v>
      </c>
      <c r="F705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705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706" spans="1:7" x14ac:dyDescent="0.3">
      <c r="A706" t="str">
        <f>Employee_dataset[[#This Row],[Employee_ID]]</f>
        <v>EMP1704</v>
      </c>
      <c r="B706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706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706" t="b">
        <f>_xlfn.LET(
     _xlpm.d, Employee_dataset[[#This Row],[Join_Date]],
     IF(
        ISNUMBER(_xlpm.d),TRUE,FALSE
       )
    )</f>
        <v>1</v>
      </c>
      <c r="E706" t="b">
        <f>IF(ISERROR(_xlfn.NUMBERVALUE(Employee_dataset[[#This Row],[Salary]])),FALSE,TRUE)</f>
        <v>1</v>
      </c>
      <c r="F706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706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707" spans="1:7" x14ac:dyDescent="0.3">
      <c r="A707" t="str">
        <f>Employee_dataset[[#This Row],[Employee_ID]]</f>
        <v>EMP1705</v>
      </c>
      <c r="B707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707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707" t="b">
        <f>_xlfn.LET(
     _xlpm.d, Employee_dataset[[#This Row],[Join_Date]],
     IF(
        ISNUMBER(_xlpm.d),TRUE,FALSE
       )
    )</f>
        <v>1</v>
      </c>
      <c r="E707" t="b">
        <f>IF(ISERROR(_xlfn.NUMBERVALUE(Employee_dataset[[#This Row],[Salary]])),FALSE,TRUE)</f>
        <v>1</v>
      </c>
      <c r="F707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707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708" spans="1:7" x14ac:dyDescent="0.3">
      <c r="A708" t="str">
        <f>Employee_dataset[[#This Row],[Employee_ID]]</f>
        <v>EMP1706</v>
      </c>
      <c r="B708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708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708" t="b">
        <f>_xlfn.LET(
     _xlpm.d, Employee_dataset[[#This Row],[Join_Date]],
     IF(
        ISNUMBER(_xlpm.d),TRUE,FALSE
       )
    )</f>
        <v>1</v>
      </c>
      <c r="E708" t="b">
        <f>IF(ISERROR(_xlfn.NUMBERVALUE(Employee_dataset[[#This Row],[Salary]])),FALSE,TRUE)</f>
        <v>1</v>
      </c>
      <c r="F708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708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709" spans="1:7" x14ac:dyDescent="0.3">
      <c r="A709" t="str">
        <f>Employee_dataset[[#This Row],[Employee_ID]]</f>
        <v>EMP1707</v>
      </c>
      <c r="B709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709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709" t="b">
        <f>_xlfn.LET(
     _xlpm.d, Employee_dataset[[#This Row],[Join_Date]],
     IF(
        ISNUMBER(_xlpm.d),TRUE,FALSE
       )
    )</f>
        <v>1</v>
      </c>
      <c r="E709" t="b">
        <f>IF(ISERROR(_xlfn.NUMBERVALUE(Employee_dataset[[#This Row],[Salary]])),FALSE,TRUE)</f>
        <v>1</v>
      </c>
      <c r="F709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709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710" spans="1:7" x14ac:dyDescent="0.3">
      <c r="A710" t="str">
        <f>Employee_dataset[[#This Row],[Employee_ID]]</f>
        <v>EMP1708</v>
      </c>
      <c r="B710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710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710" t="b">
        <f>_xlfn.LET(
     _xlpm.d, Employee_dataset[[#This Row],[Join_Date]],
     IF(
        ISNUMBER(_xlpm.d),TRUE,FALSE
       )
    )</f>
        <v>1</v>
      </c>
      <c r="E710" t="b">
        <f>IF(ISERROR(_xlfn.NUMBERVALUE(Employee_dataset[[#This Row],[Salary]])),FALSE,TRUE)</f>
        <v>1</v>
      </c>
      <c r="F710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710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711" spans="1:7" x14ac:dyDescent="0.3">
      <c r="A711" t="str">
        <f>Employee_dataset[[#This Row],[Employee_ID]]</f>
        <v>EMP1709</v>
      </c>
      <c r="B711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711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711" t="b">
        <f>_xlfn.LET(
     _xlpm.d, Employee_dataset[[#This Row],[Join_Date]],
     IF(
        ISNUMBER(_xlpm.d),TRUE,FALSE
       )
    )</f>
        <v>1</v>
      </c>
      <c r="E711" t="b">
        <f>IF(ISERROR(_xlfn.NUMBERVALUE(Employee_dataset[[#This Row],[Salary]])),FALSE,TRUE)</f>
        <v>1</v>
      </c>
      <c r="F711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711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712" spans="1:7" x14ac:dyDescent="0.3">
      <c r="A712" t="str">
        <f>Employee_dataset[[#This Row],[Employee_ID]]</f>
        <v>EMP1710</v>
      </c>
      <c r="B712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712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712" t="b">
        <f>_xlfn.LET(
     _xlpm.d, Employee_dataset[[#This Row],[Join_Date]],
     IF(
        ISNUMBER(_xlpm.d),TRUE,FALSE
       )
    )</f>
        <v>1</v>
      </c>
      <c r="E712" t="b">
        <f>IF(ISERROR(_xlfn.NUMBERVALUE(Employee_dataset[[#This Row],[Salary]])),FALSE,TRUE)</f>
        <v>1</v>
      </c>
      <c r="F712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712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713" spans="1:7" x14ac:dyDescent="0.3">
      <c r="A713" t="str">
        <f>Employee_dataset[[#This Row],[Employee_ID]]</f>
        <v>EMP1711</v>
      </c>
      <c r="B713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713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713" t="b">
        <f>_xlfn.LET(
     _xlpm.d, Employee_dataset[[#This Row],[Join_Date]],
     IF(
        ISNUMBER(_xlpm.d),TRUE,FALSE
       )
    )</f>
        <v>1</v>
      </c>
      <c r="E713" t="b">
        <f>IF(ISERROR(_xlfn.NUMBERVALUE(Employee_dataset[[#This Row],[Salary]])),FALSE,TRUE)</f>
        <v>1</v>
      </c>
      <c r="F713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713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714" spans="1:7" x14ac:dyDescent="0.3">
      <c r="A714" t="str">
        <f>Employee_dataset[[#This Row],[Employee_ID]]</f>
        <v>EMP1712</v>
      </c>
      <c r="B714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714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714" t="b">
        <f>_xlfn.LET(
     _xlpm.d, Employee_dataset[[#This Row],[Join_Date]],
     IF(
        ISNUMBER(_xlpm.d),TRUE,FALSE
       )
    )</f>
        <v>1</v>
      </c>
      <c r="E714" t="b">
        <f>IF(ISERROR(_xlfn.NUMBERVALUE(Employee_dataset[[#This Row],[Salary]])),FALSE,TRUE)</f>
        <v>1</v>
      </c>
      <c r="F714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714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715" spans="1:7" x14ac:dyDescent="0.3">
      <c r="A715" t="str">
        <f>Employee_dataset[[#This Row],[Employee_ID]]</f>
        <v>EMP1713</v>
      </c>
      <c r="B715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715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715" t="b">
        <f>_xlfn.LET(
     _xlpm.d, Employee_dataset[[#This Row],[Join_Date]],
     IF(
        ISNUMBER(_xlpm.d),TRUE,FALSE
       )
    )</f>
        <v>1</v>
      </c>
      <c r="E715" t="b">
        <f>IF(ISERROR(_xlfn.NUMBERVALUE(Employee_dataset[[#This Row],[Salary]])),FALSE,TRUE)</f>
        <v>1</v>
      </c>
      <c r="F715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715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716" spans="1:7" x14ac:dyDescent="0.3">
      <c r="A716" t="str">
        <f>Employee_dataset[[#This Row],[Employee_ID]]</f>
        <v>EMP1714</v>
      </c>
      <c r="B716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716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716" t="b">
        <f>_xlfn.LET(
     _xlpm.d, Employee_dataset[[#This Row],[Join_Date]],
     IF(
        ISNUMBER(_xlpm.d),TRUE,FALSE
       )
    )</f>
        <v>1</v>
      </c>
      <c r="E716" t="b">
        <f>IF(ISERROR(_xlfn.NUMBERVALUE(Employee_dataset[[#This Row],[Salary]])),FALSE,TRUE)</f>
        <v>1</v>
      </c>
      <c r="F716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716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717" spans="1:7" x14ac:dyDescent="0.3">
      <c r="A717" t="str">
        <f>Employee_dataset[[#This Row],[Employee_ID]]</f>
        <v>EMP1715</v>
      </c>
      <c r="B717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717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717" t="b">
        <f>_xlfn.LET(
     _xlpm.d, Employee_dataset[[#This Row],[Join_Date]],
     IF(
        ISNUMBER(_xlpm.d),TRUE,FALSE
       )
    )</f>
        <v>1</v>
      </c>
      <c r="E717" t="b">
        <f>IF(ISERROR(_xlfn.NUMBERVALUE(Employee_dataset[[#This Row],[Salary]])),FALSE,TRUE)</f>
        <v>1</v>
      </c>
      <c r="F717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717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718" spans="1:7" x14ac:dyDescent="0.3">
      <c r="A718" t="str">
        <f>Employee_dataset[[#This Row],[Employee_ID]]</f>
        <v>EMP1716</v>
      </c>
      <c r="B718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718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718" t="b">
        <f>_xlfn.LET(
     _xlpm.d, Employee_dataset[[#This Row],[Join_Date]],
     IF(
        ISNUMBER(_xlpm.d),TRUE,FALSE
       )
    )</f>
        <v>1</v>
      </c>
      <c r="E718" t="b">
        <f>IF(ISERROR(_xlfn.NUMBERVALUE(Employee_dataset[[#This Row],[Salary]])),FALSE,TRUE)</f>
        <v>1</v>
      </c>
      <c r="F718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718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719" spans="1:7" x14ac:dyDescent="0.3">
      <c r="A719" t="str">
        <f>Employee_dataset[[#This Row],[Employee_ID]]</f>
        <v>EMP1717</v>
      </c>
      <c r="B719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719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719" t="b">
        <f>_xlfn.LET(
     _xlpm.d, Employee_dataset[[#This Row],[Join_Date]],
     IF(
        ISNUMBER(_xlpm.d),TRUE,FALSE
       )
    )</f>
        <v>1</v>
      </c>
      <c r="E719" t="b">
        <f>IF(ISERROR(_xlfn.NUMBERVALUE(Employee_dataset[[#This Row],[Salary]])),FALSE,TRUE)</f>
        <v>1</v>
      </c>
      <c r="F719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719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720" spans="1:7" x14ac:dyDescent="0.3">
      <c r="A720" t="str">
        <f>Employee_dataset[[#This Row],[Employee_ID]]</f>
        <v>EMP1718</v>
      </c>
      <c r="B720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720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720" t="b">
        <f>_xlfn.LET(
     _xlpm.d, Employee_dataset[[#This Row],[Join_Date]],
     IF(
        ISNUMBER(_xlpm.d),TRUE,FALSE
       )
    )</f>
        <v>1</v>
      </c>
      <c r="E720" t="b">
        <f>IF(ISERROR(_xlfn.NUMBERVALUE(Employee_dataset[[#This Row],[Salary]])),FALSE,TRUE)</f>
        <v>1</v>
      </c>
      <c r="F720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720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721" spans="1:7" x14ac:dyDescent="0.3">
      <c r="A721" t="str">
        <f>Employee_dataset[[#This Row],[Employee_ID]]</f>
        <v>EMP1719</v>
      </c>
      <c r="B721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721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721" t="b">
        <f>_xlfn.LET(
     _xlpm.d, Employee_dataset[[#This Row],[Join_Date]],
     IF(
        ISNUMBER(_xlpm.d),TRUE,FALSE
       )
    )</f>
        <v>1</v>
      </c>
      <c r="E721" t="b">
        <f>IF(ISERROR(_xlfn.NUMBERVALUE(Employee_dataset[[#This Row],[Salary]])),FALSE,TRUE)</f>
        <v>1</v>
      </c>
      <c r="F721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721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722" spans="1:7" x14ac:dyDescent="0.3">
      <c r="A722" t="str">
        <f>Employee_dataset[[#This Row],[Employee_ID]]</f>
        <v>EMP1720</v>
      </c>
      <c r="B722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722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0</v>
      </c>
      <c r="D722" t="b">
        <f>_xlfn.LET(
     _xlpm.d, Employee_dataset[[#This Row],[Join_Date]],
     IF(
        ISNUMBER(_xlpm.d),TRUE,FALSE
       )
    )</f>
        <v>1</v>
      </c>
      <c r="E722" t="b">
        <f>IF(ISERROR(_xlfn.NUMBERVALUE(Employee_dataset[[#This Row],[Salary]])),FALSE,TRUE)</f>
        <v>1</v>
      </c>
      <c r="F722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>Phone</v>
      </c>
      <c r="G722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723" spans="1:7" x14ac:dyDescent="0.3">
      <c r="A723" t="str">
        <f>Employee_dataset[[#This Row],[Employee_ID]]</f>
        <v>EMP1721</v>
      </c>
      <c r="B723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723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723" t="b">
        <f>_xlfn.LET(
     _xlpm.d, Employee_dataset[[#This Row],[Join_Date]],
     IF(
        ISNUMBER(_xlpm.d),TRUE,FALSE
       )
    )</f>
        <v>1</v>
      </c>
      <c r="E723" t="b">
        <f>IF(ISERROR(_xlfn.NUMBERVALUE(Employee_dataset[[#This Row],[Salary]])),FALSE,TRUE)</f>
        <v>1</v>
      </c>
      <c r="F723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723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724" spans="1:7" x14ac:dyDescent="0.3">
      <c r="A724" t="str">
        <f>Employee_dataset[[#This Row],[Employee_ID]]</f>
        <v>EMP1722</v>
      </c>
      <c r="B724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724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724" t="b">
        <f>_xlfn.LET(
     _xlpm.d, Employee_dataset[[#This Row],[Join_Date]],
     IF(
        ISNUMBER(_xlpm.d),TRUE,FALSE
       )
    )</f>
        <v>1</v>
      </c>
      <c r="E724" t="b">
        <f>IF(ISERROR(_xlfn.NUMBERVALUE(Employee_dataset[[#This Row],[Salary]])),FALSE,TRUE)</f>
        <v>1</v>
      </c>
      <c r="F724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724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725" spans="1:7" x14ac:dyDescent="0.3">
      <c r="A725" t="str">
        <f>Employee_dataset[[#This Row],[Employee_ID]]</f>
        <v>EMP1723</v>
      </c>
      <c r="B725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725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725" t="b">
        <f>_xlfn.LET(
     _xlpm.d, Employee_dataset[[#This Row],[Join_Date]],
     IF(
        ISNUMBER(_xlpm.d),TRUE,FALSE
       )
    )</f>
        <v>1</v>
      </c>
      <c r="E725" t="b">
        <f>IF(ISERROR(_xlfn.NUMBERVALUE(Employee_dataset[[#This Row],[Salary]])),FALSE,TRUE)</f>
        <v>1</v>
      </c>
      <c r="F725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725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726" spans="1:7" x14ac:dyDescent="0.3">
      <c r="A726" t="str">
        <f>Employee_dataset[[#This Row],[Employee_ID]]</f>
        <v>EMP1724</v>
      </c>
      <c r="B726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726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726" t="b">
        <f>_xlfn.LET(
     _xlpm.d, Employee_dataset[[#This Row],[Join_Date]],
     IF(
        ISNUMBER(_xlpm.d),TRUE,FALSE
       )
    )</f>
        <v>1</v>
      </c>
      <c r="E726" t="b">
        <f>IF(ISERROR(_xlfn.NUMBERVALUE(Employee_dataset[[#This Row],[Salary]])),FALSE,TRUE)</f>
        <v>1</v>
      </c>
      <c r="F726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726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727" spans="1:7" x14ac:dyDescent="0.3">
      <c r="A727" t="str">
        <f>Employee_dataset[[#This Row],[Employee_ID]]</f>
        <v>EMP1725</v>
      </c>
      <c r="B727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727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727" t="b">
        <f>_xlfn.LET(
     _xlpm.d, Employee_dataset[[#This Row],[Join_Date]],
     IF(
        ISNUMBER(_xlpm.d),TRUE,FALSE
       )
    )</f>
        <v>1</v>
      </c>
      <c r="E727" t="b">
        <f>IF(ISERROR(_xlfn.NUMBERVALUE(Employee_dataset[[#This Row],[Salary]])),FALSE,TRUE)</f>
        <v>1</v>
      </c>
      <c r="F727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727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728" spans="1:7" x14ac:dyDescent="0.3">
      <c r="A728" t="str">
        <f>Employee_dataset[[#This Row],[Employee_ID]]</f>
        <v>EMP1726</v>
      </c>
      <c r="B728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728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728" t="b">
        <f>_xlfn.LET(
     _xlpm.d, Employee_dataset[[#This Row],[Join_Date]],
     IF(
        ISNUMBER(_xlpm.d),TRUE,FALSE
       )
    )</f>
        <v>1</v>
      </c>
      <c r="E728" t="b">
        <f>IF(ISERROR(_xlfn.NUMBERVALUE(Employee_dataset[[#This Row],[Salary]])),FALSE,TRUE)</f>
        <v>1</v>
      </c>
      <c r="F728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728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729" spans="1:7" x14ac:dyDescent="0.3">
      <c r="A729" t="str">
        <f>Employee_dataset[[#This Row],[Employee_ID]]</f>
        <v>EMP1727</v>
      </c>
      <c r="B729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729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729" t="b">
        <f>_xlfn.LET(
     _xlpm.d, Employee_dataset[[#This Row],[Join_Date]],
     IF(
        ISNUMBER(_xlpm.d),TRUE,FALSE
       )
    )</f>
        <v>1</v>
      </c>
      <c r="E729" t="b">
        <f>IF(ISERROR(_xlfn.NUMBERVALUE(Employee_dataset[[#This Row],[Salary]])),FALSE,TRUE)</f>
        <v>1</v>
      </c>
      <c r="F729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729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730" spans="1:7" x14ac:dyDescent="0.3">
      <c r="A730" t="str">
        <f>Employee_dataset[[#This Row],[Employee_ID]]</f>
        <v>EMP1728</v>
      </c>
      <c r="B730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730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730" t="b">
        <f>_xlfn.LET(
     _xlpm.d, Employee_dataset[[#This Row],[Join_Date]],
     IF(
        ISNUMBER(_xlpm.d),TRUE,FALSE
       )
    )</f>
        <v>1</v>
      </c>
      <c r="E730" t="b">
        <f>IF(ISERROR(_xlfn.NUMBERVALUE(Employee_dataset[[#This Row],[Salary]])),FALSE,TRUE)</f>
        <v>1</v>
      </c>
      <c r="F730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730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731" spans="1:7" x14ac:dyDescent="0.3">
      <c r="A731" t="str">
        <f>Employee_dataset[[#This Row],[Employee_ID]]</f>
        <v>EMP1729</v>
      </c>
      <c r="B731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731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0</v>
      </c>
      <c r="D731" t="b">
        <f>_xlfn.LET(
     _xlpm.d, Employee_dataset[[#This Row],[Join_Date]],
     IF(
        ISNUMBER(_xlpm.d),TRUE,FALSE
       )
    )</f>
        <v>1</v>
      </c>
      <c r="E731" t="b">
        <f>IF(ISERROR(_xlfn.NUMBERVALUE(Employee_dataset[[#This Row],[Salary]])),FALSE,TRUE)</f>
        <v>1</v>
      </c>
      <c r="F731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>Phone</v>
      </c>
      <c r="G731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732" spans="1:7" x14ac:dyDescent="0.3">
      <c r="A732" t="str">
        <f>Employee_dataset[[#This Row],[Employee_ID]]</f>
        <v>EMP1730</v>
      </c>
      <c r="B732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732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732" t="b">
        <f>_xlfn.LET(
     _xlpm.d, Employee_dataset[[#This Row],[Join_Date]],
     IF(
        ISNUMBER(_xlpm.d),TRUE,FALSE
       )
    )</f>
        <v>1</v>
      </c>
      <c r="E732" t="b">
        <f>IF(ISERROR(_xlfn.NUMBERVALUE(Employee_dataset[[#This Row],[Salary]])),FALSE,TRUE)</f>
        <v>1</v>
      </c>
      <c r="F732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732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733" spans="1:7" x14ac:dyDescent="0.3">
      <c r="A733" t="str">
        <f>Employee_dataset[[#This Row],[Employee_ID]]</f>
        <v>EMP1731</v>
      </c>
      <c r="B733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733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733" t="b">
        <f>_xlfn.LET(
     _xlpm.d, Employee_dataset[[#This Row],[Join_Date]],
     IF(
        ISNUMBER(_xlpm.d),TRUE,FALSE
       )
    )</f>
        <v>1</v>
      </c>
      <c r="E733" t="b">
        <f>IF(ISERROR(_xlfn.NUMBERVALUE(Employee_dataset[[#This Row],[Salary]])),FALSE,TRUE)</f>
        <v>1</v>
      </c>
      <c r="F733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733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734" spans="1:7" x14ac:dyDescent="0.3">
      <c r="A734" t="str">
        <f>Employee_dataset[[#This Row],[Employee_ID]]</f>
        <v>EMP1732</v>
      </c>
      <c r="B734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734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734" t="b">
        <f>_xlfn.LET(
     _xlpm.d, Employee_dataset[[#This Row],[Join_Date]],
     IF(
        ISNUMBER(_xlpm.d),TRUE,FALSE
       )
    )</f>
        <v>1</v>
      </c>
      <c r="E734" t="b">
        <f>IF(ISERROR(_xlfn.NUMBERVALUE(Employee_dataset[[#This Row],[Salary]])),FALSE,TRUE)</f>
        <v>1</v>
      </c>
      <c r="F734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734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735" spans="1:7" x14ac:dyDescent="0.3">
      <c r="A735" t="str">
        <f>Employee_dataset[[#This Row],[Employee_ID]]</f>
        <v>EMP1733</v>
      </c>
      <c r="B735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735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735" t="b">
        <f>_xlfn.LET(
     _xlpm.d, Employee_dataset[[#This Row],[Join_Date]],
     IF(
        ISNUMBER(_xlpm.d),TRUE,FALSE
       )
    )</f>
        <v>1</v>
      </c>
      <c r="E735" t="b">
        <f>IF(ISERROR(_xlfn.NUMBERVALUE(Employee_dataset[[#This Row],[Salary]])),FALSE,TRUE)</f>
        <v>1</v>
      </c>
      <c r="F735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735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736" spans="1:7" x14ac:dyDescent="0.3">
      <c r="A736" t="str">
        <f>Employee_dataset[[#This Row],[Employee_ID]]</f>
        <v>EMP1734</v>
      </c>
      <c r="B736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736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736" t="b">
        <f>_xlfn.LET(
     _xlpm.d, Employee_dataset[[#This Row],[Join_Date]],
     IF(
        ISNUMBER(_xlpm.d),TRUE,FALSE
       )
    )</f>
        <v>1</v>
      </c>
      <c r="E736" t="b">
        <f>IF(ISERROR(_xlfn.NUMBERVALUE(Employee_dataset[[#This Row],[Salary]])),FALSE,TRUE)</f>
        <v>1</v>
      </c>
      <c r="F736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736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737" spans="1:7" x14ac:dyDescent="0.3">
      <c r="A737" t="str">
        <f>Employee_dataset[[#This Row],[Employee_ID]]</f>
        <v>EMP1735</v>
      </c>
      <c r="B737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737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737" t="b">
        <f>_xlfn.LET(
     _xlpm.d, Employee_dataset[[#This Row],[Join_Date]],
     IF(
        ISNUMBER(_xlpm.d),TRUE,FALSE
       )
    )</f>
        <v>1</v>
      </c>
      <c r="E737" t="b">
        <f>IF(ISERROR(_xlfn.NUMBERVALUE(Employee_dataset[[#This Row],[Salary]])),FALSE,TRUE)</f>
        <v>1</v>
      </c>
      <c r="F737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737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738" spans="1:7" x14ac:dyDescent="0.3">
      <c r="A738" t="str">
        <f>Employee_dataset[[#This Row],[Employee_ID]]</f>
        <v>EMP1736</v>
      </c>
      <c r="B738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738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0</v>
      </c>
      <c r="D738" t="b">
        <f>_xlfn.LET(
     _xlpm.d, Employee_dataset[[#This Row],[Join_Date]],
     IF(
        ISNUMBER(_xlpm.d),TRUE,FALSE
       )
    )</f>
        <v>1</v>
      </c>
      <c r="E738" t="b">
        <f>IF(ISERROR(_xlfn.NUMBERVALUE(Employee_dataset[[#This Row],[Salary]])),FALSE,TRUE)</f>
        <v>1</v>
      </c>
      <c r="F738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>Phone</v>
      </c>
      <c r="G738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739" spans="1:7" x14ac:dyDescent="0.3">
      <c r="A739" t="str">
        <f>Employee_dataset[[#This Row],[Employee_ID]]</f>
        <v>EMP1737</v>
      </c>
      <c r="B739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739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739" t="b">
        <f>_xlfn.LET(
     _xlpm.d, Employee_dataset[[#This Row],[Join_Date]],
     IF(
        ISNUMBER(_xlpm.d),TRUE,FALSE
       )
    )</f>
        <v>1</v>
      </c>
      <c r="E739" t="b">
        <f>IF(ISERROR(_xlfn.NUMBERVALUE(Employee_dataset[[#This Row],[Salary]])),FALSE,TRUE)</f>
        <v>1</v>
      </c>
      <c r="F739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739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740" spans="1:7" x14ac:dyDescent="0.3">
      <c r="A740" t="str">
        <f>Employee_dataset[[#This Row],[Employee_ID]]</f>
        <v>EMP1738</v>
      </c>
      <c r="B740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740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740" t="b">
        <f>_xlfn.LET(
     _xlpm.d, Employee_dataset[[#This Row],[Join_Date]],
     IF(
        ISNUMBER(_xlpm.d),TRUE,FALSE
       )
    )</f>
        <v>1</v>
      </c>
      <c r="E740" t="b">
        <f>IF(ISERROR(_xlfn.NUMBERVALUE(Employee_dataset[[#This Row],[Salary]])),FALSE,TRUE)</f>
        <v>1</v>
      </c>
      <c r="F740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740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741" spans="1:7" x14ac:dyDescent="0.3">
      <c r="A741" t="str">
        <f>Employee_dataset[[#This Row],[Employee_ID]]</f>
        <v>EMP1739</v>
      </c>
      <c r="B741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741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741" t="b">
        <f>_xlfn.LET(
     _xlpm.d, Employee_dataset[[#This Row],[Join_Date]],
     IF(
        ISNUMBER(_xlpm.d),TRUE,FALSE
       )
    )</f>
        <v>1</v>
      </c>
      <c r="E741" t="b">
        <f>IF(ISERROR(_xlfn.NUMBERVALUE(Employee_dataset[[#This Row],[Salary]])),FALSE,TRUE)</f>
        <v>1</v>
      </c>
      <c r="F741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741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742" spans="1:7" x14ac:dyDescent="0.3">
      <c r="A742" t="str">
        <f>Employee_dataset[[#This Row],[Employee_ID]]</f>
        <v>EMP1740</v>
      </c>
      <c r="B742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742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0</v>
      </c>
      <c r="D742" t="b">
        <f>_xlfn.LET(
     _xlpm.d, Employee_dataset[[#This Row],[Join_Date]],
     IF(
        ISNUMBER(_xlpm.d),TRUE,FALSE
       )
    )</f>
        <v>1</v>
      </c>
      <c r="E742" t="b">
        <f>IF(ISERROR(_xlfn.NUMBERVALUE(Employee_dataset[[#This Row],[Salary]])),FALSE,TRUE)</f>
        <v>1</v>
      </c>
      <c r="F742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>Phone</v>
      </c>
      <c r="G742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743" spans="1:7" x14ac:dyDescent="0.3">
      <c r="A743" t="str">
        <f>Employee_dataset[[#This Row],[Employee_ID]]</f>
        <v>EMP1741</v>
      </c>
      <c r="B743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743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743" t="b">
        <f>_xlfn.LET(
     _xlpm.d, Employee_dataset[[#This Row],[Join_Date]],
     IF(
        ISNUMBER(_xlpm.d),TRUE,FALSE
       )
    )</f>
        <v>1</v>
      </c>
      <c r="E743" t="b">
        <f>IF(ISERROR(_xlfn.NUMBERVALUE(Employee_dataset[[#This Row],[Salary]])),FALSE,TRUE)</f>
        <v>1</v>
      </c>
      <c r="F743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743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744" spans="1:7" x14ac:dyDescent="0.3">
      <c r="A744" t="str">
        <f>Employee_dataset[[#This Row],[Employee_ID]]</f>
        <v>EMP1742</v>
      </c>
      <c r="B744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744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0</v>
      </c>
      <c r="D744" t="b">
        <f>_xlfn.LET(
     _xlpm.d, Employee_dataset[[#This Row],[Join_Date]],
     IF(
        ISNUMBER(_xlpm.d),TRUE,FALSE
       )
    )</f>
        <v>1</v>
      </c>
      <c r="E744" t="b">
        <f>IF(ISERROR(_xlfn.NUMBERVALUE(Employee_dataset[[#This Row],[Salary]])),FALSE,TRUE)</f>
        <v>1</v>
      </c>
      <c r="F744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>Phone</v>
      </c>
      <c r="G744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745" spans="1:7" x14ac:dyDescent="0.3">
      <c r="A745" t="str">
        <f>Employee_dataset[[#This Row],[Employee_ID]]</f>
        <v>EMP1743</v>
      </c>
      <c r="B745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745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745" t="b">
        <f>_xlfn.LET(
     _xlpm.d, Employee_dataset[[#This Row],[Join_Date]],
     IF(
        ISNUMBER(_xlpm.d),TRUE,FALSE
       )
    )</f>
        <v>1</v>
      </c>
      <c r="E745" t="b">
        <f>IF(ISERROR(_xlfn.NUMBERVALUE(Employee_dataset[[#This Row],[Salary]])),FALSE,TRUE)</f>
        <v>1</v>
      </c>
      <c r="F745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745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746" spans="1:7" x14ac:dyDescent="0.3">
      <c r="A746" t="str">
        <f>Employee_dataset[[#This Row],[Employee_ID]]</f>
        <v>EMP1744</v>
      </c>
      <c r="B746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746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0</v>
      </c>
      <c r="D746" t="b">
        <f>_xlfn.LET(
     _xlpm.d, Employee_dataset[[#This Row],[Join_Date]],
     IF(
        ISNUMBER(_xlpm.d),TRUE,FALSE
       )
    )</f>
        <v>1</v>
      </c>
      <c r="E746" t="b">
        <f>IF(ISERROR(_xlfn.NUMBERVALUE(Employee_dataset[[#This Row],[Salary]])),FALSE,TRUE)</f>
        <v>1</v>
      </c>
      <c r="F746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>Phone</v>
      </c>
      <c r="G746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747" spans="1:7" x14ac:dyDescent="0.3">
      <c r="A747" t="str">
        <f>Employee_dataset[[#This Row],[Employee_ID]]</f>
        <v>EMP1745</v>
      </c>
      <c r="B747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747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747" t="b">
        <f>_xlfn.LET(
     _xlpm.d, Employee_dataset[[#This Row],[Join_Date]],
     IF(
        ISNUMBER(_xlpm.d),TRUE,FALSE
       )
    )</f>
        <v>1</v>
      </c>
      <c r="E747" t="b">
        <f>IF(ISERROR(_xlfn.NUMBERVALUE(Employee_dataset[[#This Row],[Salary]])),FALSE,TRUE)</f>
        <v>1</v>
      </c>
      <c r="F747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747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748" spans="1:7" x14ac:dyDescent="0.3">
      <c r="A748" t="str">
        <f>Employee_dataset[[#This Row],[Employee_ID]]</f>
        <v>EMP1746</v>
      </c>
      <c r="B748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748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748" t="b">
        <f>_xlfn.LET(
     _xlpm.d, Employee_dataset[[#This Row],[Join_Date]],
     IF(
        ISNUMBER(_xlpm.d),TRUE,FALSE
       )
    )</f>
        <v>1</v>
      </c>
      <c r="E748" t="b">
        <f>IF(ISERROR(_xlfn.NUMBERVALUE(Employee_dataset[[#This Row],[Salary]])),FALSE,TRUE)</f>
        <v>1</v>
      </c>
      <c r="F748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748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749" spans="1:7" x14ac:dyDescent="0.3">
      <c r="A749" t="str">
        <f>Employee_dataset[[#This Row],[Employee_ID]]</f>
        <v>EMP1747</v>
      </c>
      <c r="B749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749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749" t="b">
        <f>_xlfn.LET(
     _xlpm.d, Employee_dataset[[#This Row],[Join_Date]],
     IF(
        ISNUMBER(_xlpm.d),TRUE,FALSE
       )
    )</f>
        <v>1</v>
      </c>
      <c r="E749" t="b">
        <f>IF(ISERROR(_xlfn.NUMBERVALUE(Employee_dataset[[#This Row],[Salary]])),FALSE,TRUE)</f>
        <v>1</v>
      </c>
      <c r="F749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749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750" spans="1:7" x14ac:dyDescent="0.3">
      <c r="A750" t="str">
        <f>Employee_dataset[[#This Row],[Employee_ID]]</f>
        <v>EMP1748</v>
      </c>
      <c r="B750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750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750" t="b">
        <f>_xlfn.LET(
     _xlpm.d, Employee_dataset[[#This Row],[Join_Date]],
     IF(
        ISNUMBER(_xlpm.d),TRUE,FALSE
       )
    )</f>
        <v>1</v>
      </c>
      <c r="E750" t="b">
        <f>IF(ISERROR(_xlfn.NUMBERVALUE(Employee_dataset[[#This Row],[Salary]])),FALSE,TRUE)</f>
        <v>1</v>
      </c>
      <c r="F750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750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751" spans="1:7" x14ac:dyDescent="0.3">
      <c r="A751" t="str">
        <f>Employee_dataset[[#This Row],[Employee_ID]]</f>
        <v>EMP1749</v>
      </c>
      <c r="B751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751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751" t="b">
        <f>_xlfn.LET(
     _xlpm.d, Employee_dataset[[#This Row],[Join_Date]],
     IF(
        ISNUMBER(_xlpm.d),TRUE,FALSE
       )
    )</f>
        <v>1</v>
      </c>
      <c r="E751" t="b">
        <f>IF(ISERROR(_xlfn.NUMBERVALUE(Employee_dataset[[#This Row],[Salary]])),FALSE,TRUE)</f>
        <v>1</v>
      </c>
      <c r="F751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751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752" spans="1:7" x14ac:dyDescent="0.3">
      <c r="A752" t="str">
        <f>Employee_dataset[[#This Row],[Employee_ID]]</f>
        <v>EMP1750</v>
      </c>
      <c r="B752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752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752" t="b">
        <f>_xlfn.LET(
     _xlpm.d, Employee_dataset[[#This Row],[Join_Date]],
     IF(
        ISNUMBER(_xlpm.d),TRUE,FALSE
       )
    )</f>
        <v>1</v>
      </c>
      <c r="E752" t="b">
        <f>IF(ISERROR(_xlfn.NUMBERVALUE(Employee_dataset[[#This Row],[Salary]])),FALSE,TRUE)</f>
        <v>1</v>
      </c>
      <c r="F752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752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753" spans="1:7" x14ac:dyDescent="0.3">
      <c r="A753" t="str">
        <f>Employee_dataset[[#This Row],[Employee_ID]]</f>
        <v>EMP1751</v>
      </c>
      <c r="B753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753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0</v>
      </c>
      <c r="D753" t="b">
        <f>_xlfn.LET(
     _xlpm.d, Employee_dataset[[#This Row],[Join_Date]],
     IF(
        ISNUMBER(_xlpm.d),TRUE,FALSE
       )
    )</f>
        <v>1</v>
      </c>
      <c r="E753" t="b">
        <f>IF(ISERROR(_xlfn.NUMBERVALUE(Employee_dataset[[#This Row],[Salary]])),FALSE,TRUE)</f>
        <v>1</v>
      </c>
      <c r="F753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>Phone</v>
      </c>
      <c r="G753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754" spans="1:7" x14ac:dyDescent="0.3">
      <c r="A754" t="str">
        <f>Employee_dataset[[#This Row],[Employee_ID]]</f>
        <v>EMP1752</v>
      </c>
      <c r="B754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754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754" t="b">
        <f>_xlfn.LET(
     _xlpm.d, Employee_dataset[[#This Row],[Join_Date]],
     IF(
        ISNUMBER(_xlpm.d),TRUE,FALSE
       )
    )</f>
        <v>1</v>
      </c>
      <c r="E754" t="b">
        <f>IF(ISERROR(_xlfn.NUMBERVALUE(Employee_dataset[[#This Row],[Salary]])),FALSE,TRUE)</f>
        <v>1</v>
      </c>
      <c r="F754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754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755" spans="1:7" x14ac:dyDescent="0.3">
      <c r="A755" t="str">
        <f>Employee_dataset[[#This Row],[Employee_ID]]</f>
        <v>EMP1753</v>
      </c>
      <c r="B755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755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755" t="b">
        <f>_xlfn.LET(
     _xlpm.d, Employee_dataset[[#This Row],[Join_Date]],
     IF(
        ISNUMBER(_xlpm.d),TRUE,FALSE
       )
    )</f>
        <v>1</v>
      </c>
      <c r="E755" t="b">
        <f>IF(ISERROR(_xlfn.NUMBERVALUE(Employee_dataset[[#This Row],[Salary]])),FALSE,TRUE)</f>
        <v>1</v>
      </c>
      <c r="F755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755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756" spans="1:7" x14ac:dyDescent="0.3">
      <c r="A756" t="str">
        <f>Employee_dataset[[#This Row],[Employee_ID]]</f>
        <v>EMP1754</v>
      </c>
      <c r="B756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756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756" t="b">
        <f>_xlfn.LET(
     _xlpm.d, Employee_dataset[[#This Row],[Join_Date]],
     IF(
        ISNUMBER(_xlpm.d),TRUE,FALSE
       )
    )</f>
        <v>1</v>
      </c>
      <c r="E756" t="b">
        <f>IF(ISERROR(_xlfn.NUMBERVALUE(Employee_dataset[[#This Row],[Salary]])),FALSE,TRUE)</f>
        <v>1</v>
      </c>
      <c r="F756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756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757" spans="1:7" x14ac:dyDescent="0.3">
      <c r="A757" t="str">
        <f>Employee_dataset[[#This Row],[Employee_ID]]</f>
        <v>EMP1755</v>
      </c>
      <c r="B757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757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757" t="b">
        <f>_xlfn.LET(
     _xlpm.d, Employee_dataset[[#This Row],[Join_Date]],
     IF(
        ISNUMBER(_xlpm.d),TRUE,FALSE
       )
    )</f>
        <v>1</v>
      </c>
      <c r="E757" t="b">
        <f>IF(ISERROR(_xlfn.NUMBERVALUE(Employee_dataset[[#This Row],[Salary]])),FALSE,TRUE)</f>
        <v>1</v>
      </c>
      <c r="F757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757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758" spans="1:7" x14ac:dyDescent="0.3">
      <c r="A758" t="str">
        <f>Employee_dataset[[#This Row],[Employee_ID]]</f>
        <v>EMP1756</v>
      </c>
      <c r="B758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758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758" t="b">
        <f>_xlfn.LET(
     _xlpm.d, Employee_dataset[[#This Row],[Join_Date]],
     IF(
        ISNUMBER(_xlpm.d),TRUE,FALSE
       )
    )</f>
        <v>1</v>
      </c>
      <c r="E758" t="b">
        <f>IF(ISERROR(_xlfn.NUMBERVALUE(Employee_dataset[[#This Row],[Salary]])),FALSE,TRUE)</f>
        <v>1</v>
      </c>
      <c r="F758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758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759" spans="1:7" x14ac:dyDescent="0.3">
      <c r="A759" t="str">
        <f>Employee_dataset[[#This Row],[Employee_ID]]</f>
        <v>EMP1757</v>
      </c>
      <c r="B759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759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759" t="b">
        <f>_xlfn.LET(
     _xlpm.d, Employee_dataset[[#This Row],[Join_Date]],
     IF(
        ISNUMBER(_xlpm.d),TRUE,FALSE
       )
    )</f>
        <v>1</v>
      </c>
      <c r="E759" t="b">
        <f>IF(ISERROR(_xlfn.NUMBERVALUE(Employee_dataset[[#This Row],[Salary]])),FALSE,TRUE)</f>
        <v>1</v>
      </c>
      <c r="F759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759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760" spans="1:7" x14ac:dyDescent="0.3">
      <c r="A760" t="str">
        <f>Employee_dataset[[#This Row],[Employee_ID]]</f>
        <v>EMP1758</v>
      </c>
      <c r="B760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760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760" t="b">
        <f>_xlfn.LET(
     _xlpm.d, Employee_dataset[[#This Row],[Join_Date]],
     IF(
        ISNUMBER(_xlpm.d),TRUE,FALSE
       )
    )</f>
        <v>1</v>
      </c>
      <c r="E760" t="b">
        <f>IF(ISERROR(_xlfn.NUMBERVALUE(Employee_dataset[[#This Row],[Salary]])),FALSE,TRUE)</f>
        <v>1</v>
      </c>
      <c r="F760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760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761" spans="1:7" x14ac:dyDescent="0.3">
      <c r="A761" t="str">
        <f>Employee_dataset[[#This Row],[Employee_ID]]</f>
        <v>EMP1759</v>
      </c>
      <c r="B761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761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761" t="b">
        <f>_xlfn.LET(
     _xlpm.d, Employee_dataset[[#This Row],[Join_Date]],
     IF(
        ISNUMBER(_xlpm.d),TRUE,FALSE
       )
    )</f>
        <v>1</v>
      </c>
      <c r="E761" t="b">
        <f>IF(ISERROR(_xlfn.NUMBERVALUE(Employee_dataset[[#This Row],[Salary]])),FALSE,TRUE)</f>
        <v>1</v>
      </c>
      <c r="F761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761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762" spans="1:7" x14ac:dyDescent="0.3">
      <c r="A762" t="str">
        <f>Employee_dataset[[#This Row],[Employee_ID]]</f>
        <v>EMP1760</v>
      </c>
      <c r="B762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762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762" t="b">
        <f>_xlfn.LET(
     _xlpm.d, Employee_dataset[[#This Row],[Join_Date]],
     IF(
        ISNUMBER(_xlpm.d),TRUE,FALSE
       )
    )</f>
        <v>1</v>
      </c>
      <c r="E762" t="b">
        <f>IF(ISERROR(_xlfn.NUMBERVALUE(Employee_dataset[[#This Row],[Salary]])),FALSE,TRUE)</f>
        <v>1</v>
      </c>
      <c r="F762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762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763" spans="1:7" x14ac:dyDescent="0.3">
      <c r="A763" t="str">
        <f>Employee_dataset[[#This Row],[Employee_ID]]</f>
        <v>EMP1761</v>
      </c>
      <c r="B763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763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763" t="b">
        <f>_xlfn.LET(
     _xlpm.d, Employee_dataset[[#This Row],[Join_Date]],
     IF(
        ISNUMBER(_xlpm.d),TRUE,FALSE
       )
    )</f>
        <v>1</v>
      </c>
      <c r="E763" t="b">
        <f>IF(ISERROR(_xlfn.NUMBERVALUE(Employee_dataset[[#This Row],[Salary]])),FALSE,TRUE)</f>
        <v>1</v>
      </c>
      <c r="F763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763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764" spans="1:7" x14ac:dyDescent="0.3">
      <c r="A764" t="str">
        <f>Employee_dataset[[#This Row],[Employee_ID]]</f>
        <v>EMP1762</v>
      </c>
      <c r="B764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764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764" t="b">
        <f>_xlfn.LET(
     _xlpm.d, Employee_dataset[[#This Row],[Join_Date]],
     IF(
        ISNUMBER(_xlpm.d),TRUE,FALSE
       )
    )</f>
        <v>1</v>
      </c>
      <c r="E764" t="b">
        <f>IF(ISERROR(_xlfn.NUMBERVALUE(Employee_dataset[[#This Row],[Salary]])),FALSE,TRUE)</f>
        <v>1</v>
      </c>
      <c r="F764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764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765" spans="1:7" x14ac:dyDescent="0.3">
      <c r="A765" t="str">
        <f>Employee_dataset[[#This Row],[Employee_ID]]</f>
        <v>EMP1763</v>
      </c>
      <c r="B765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765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765" t="b">
        <f>_xlfn.LET(
     _xlpm.d, Employee_dataset[[#This Row],[Join_Date]],
     IF(
        ISNUMBER(_xlpm.d),TRUE,FALSE
       )
    )</f>
        <v>1</v>
      </c>
      <c r="E765" t="b">
        <f>IF(ISERROR(_xlfn.NUMBERVALUE(Employee_dataset[[#This Row],[Salary]])),FALSE,TRUE)</f>
        <v>1</v>
      </c>
      <c r="F765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765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766" spans="1:7" x14ac:dyDescent="0.3">
      <c r="A766" t="str">
        <f>Employee_dataset[[#This Row],[Employee_ID]]</f>
        <v>EMP1764</v>
      </c>
      <c r="B766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766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766" t="b">
        <f>_xlfn.LET(
     _xlpm.d, Employee_dataset[[#This Row],[Join_Date]],
     IF(
        ISNUMBER(_xlpm.d),TRUE,FALSE
       )
    )</f>
        <v>1</v>
      </c>
      <c r="E766" t="b">
        <f>IF(ISERROR(_xlfn.NUMBERVALUE(Employee_dataset[[#This Row],[Salary]])),FALSE,TRUE)</f>
        <v>1</v>
      </c>
      <c r="F766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766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767" spans="1:7" x14ac:dyDescent="0.3">
      <c r="A767" t="str">
        <f>Employee_dataset[[#This Row],[Employee_ID]]</f>
        <v>EMP1765</v>
      </c>
      <c r="B767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767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767" t="b">
        <f>_xlfn.LET(
     _xlpm.d, Employee_dataset[[#This Row],[Join_Date]],
     IF(
        ISNUMBER(_xlpm.d),TRUE,FALSE
       )
    )</f>
        <v>1</v>
      </c>
      <c r="E767" t="b">
        <f>IF(ISERROR(_xlfn.NUMBERVALUE(Employee_dataset[[#This Row],[Salary]])),FALSE,TRUE)</f>
        <v>1</v>
      </c>
      <c r="F767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767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768" spans="1:7" x14ac:dyDescent="0.3">
      <c r="A768" t="str">
        <f>Employee_dataset[[#This Row],[Employee_ID]]</f>
        <v>EMP1766</v>
      </c>
      <c r="B768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768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768" t="b">
        <f>_xlfn.LET(
     _xlpm.d, Employee_dataset[[#This Row],[Join_Date]],
     IF(
        ISNUMBER(_xlpm.d),TRUE,FALSE
       )
    )</f>
        <v>1</v>
      </c>
      <c r="E768" t="b">
        <f>IF(ISERROR(_xlfn.NUMBERVALUE(Employee_dataset[[#This Row],[Salary]])),FALSE,TRUE)</f>
        <v>1</v>
      </c>
      <c r="F768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768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769" spans="1:7" x14ac:dyDescent="0.3">
      <c r="A769" t="str">
        <f>Employee_dataset[[#This Row],[Employee_ID]]</f>
        <v>EMP1767</v>
      </c>
      <c r="B769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769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769" t="b">
        <f>_xlfn.LET(
     _xlpm.d, Employee_dataset[[#This Row],[Join_Date]],
     IF(
        ISNUMBER(_xlpm.d),TRUE,FALSE
       )
    )</f>
        <v>1</v>
      </c>
      <c r="E769" t="b">
        <f>IF(ISERROR(_xlfn.NUMBERVALUE(Employee_dataset[[#This Row],[Salary]])),FALSE,TRUE)</f>
        <v>1</v>
      </c>
      <c r="F769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769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770" spans="1:7" x14ac:dyDescent="0.3">
      <c r="A770" t="str">
        <f>Employee_dataset[[#This Row],[Employee_ID]]</f>
        <v>EMP1768</v>
      </c>
      <c r="B770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770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770" t="b">
        <f>_xlfn.LET(
     _xlpm.d, Employee_dataset[[#This Row],[Join_Date]],
     IF(
        ISNUMBER(_xlpm.d),TRUE,FALSE
       )
    )</f>
        <v>1</v>
      </c>
      <c r="E770" t="b">
        <f>IF(ISERROR(_xlfn.NUMBERVALUE(Employee_dataset[[#This Row],[Salary]])),FALSE,TRUE)</f>
        <v>1</v>
      </c>
      <c r="F770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770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771" spans="1:7" x14ac:dyDescent="0.3">
      <c r="A771" t="str">
        <f>Employee_dataset[[#This Row],[Employee_ID]]</f>
        <v>EMP1769</v>
      </c>
      <c r="B771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771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771" t="b">
        <f>_xlfn.LET(
     _xlpm.d, Employee_dataset[[#This Row],[Join_Date]],
     IF(
        ISNUMBER(_xlpm.d),TRUE,FALSE
       )
    )</f>
        <v>1</v>
      </c>
      <c r="E771" t="b">
        <f>IF(ISERROR(_xlfn.NUMBERVALUE(Employee_dataset[[#This Row],[Salary]])),FALSE,TRUE)</f>
        <v>1</v>
      </c>
      <c r="F771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771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772" spans="1:7" x14ac:dyDescent="0.3">
      <c r="A772" t="str">
        <f>Employee_dataset[[#This Row],[Employee_ID]]</f>
        <v>EMP1770</v>
      </c>
      <c r="B772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772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772" t="b">
        <f>_xlfn.LET(
     _xlpm.d, Employee_dataset[[#This Row],[Join_Date]],
     IF(
        ISNUMBER(_xlpm.d),TRUE,FALSE
       )
    )</f>
        <v>1</v>
      </c>
      <c r="E772" t="b">
        <f>IF(ISERROR(_xlfn.NUMBERVALUE(Employee_dataset[[#This Row],[Salary]])),FALSE,TRUE)</f>
        <v>0</v>
      </c>
      <c r="F772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>Salary</v>
      </c>
      <c r="G772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773" spans="1:7" x14ac:dyDescent="0.3">
      <c r="A773" t="str">
        <f>Employee_dataset[[#This Row],[Employee_ID]]</f>
        <v>EMP1771</v>
      </c>
      <c r="B773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773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0</v>
      </c>
      <c r="D773" t="b">
        <f>_xlfn.LET(
     _xlpm.d, Employee_dataset[[#This Row],[Join_Date]],
     IF(
        ISNUMBER(_xlpm.d),TRUE,FALSE
       )
    )</f>
        <v>1</v>
      </c>
      <c r="E773" t="b">
        <f>IF(ISERROR(_xlfn.NUMBERVALUE(Employee_dataset[[#This Row],[Salary]])),FALSE,TRUE)</f>
        <v>1</v>
      </c>
      <c r="F773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>Phone</v>
      </c>
      <c r="G773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774" spans="1:7" x14ac:dyDescent="0.3">
      <c r="A774" t="str">
        <f>Employee_dataset[[#This Row],[Employee_ID]]</f>
        <v>EMP1772</v>
      </c>
      <c r="B774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774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774" t="b">
        <f>_xlfn.LET(
     _xlpm.d, Employee_dataset[[#This Row],[Join_Date]],
     IF(
        ISNUMBER(_xlpm.d),TRUE,FALSE
       )
    )</f>
        <v>1</v>
      </c>
      <c r="E774" t="b">
        <f>IF(ISERROR(_xlfn.NUMBERVALUE(Employee_dataset[[#This Row],[Salary]])),FALSE,TRUE)</f>
        <v>1</v>
      </c>
      <c r="F774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774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775" spans="1:7" x14ac:dyDescent="0.3">
      <c r="A775" t="str">
        <f>Employee_dataset[[#This Row],[Employee_ID]]</f>
        <v>EMP1773</v>
      </c>
      <c r="B775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775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775" t="b">
        <f>_xlfn.LET(
     _xlpm.d, Employee_dataset[[#This Row],[Join_Date]],
     IF(
        ISNUMBER(_xlpm.d),TRUE,FALSE
       )
    )</f>
        <v>1</v>
      </c>
      <c r="E775" t="b">
        <f>IF(ISERROR(_xlfn.NUMBERVALUE(Employee_dataset[[#This Row],[Salary]])),FALSE,TRUE)</f>
        <v>1</v>
      </c>
      <c r="F775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775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776" spans="1:7" x14ac:dyDescent="0.3">
      <c r="A776" t="str">
        <f>Employee_dataset[[#This Row],[Employee_ID]]</f>
        <v>EMP1774</v>
      </c>
      <c r="B776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776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776" t="b">
        <f>_xlfn.LET(
     _xlpm.d, Employee_dataset[[#This Row],[Join_Date]],
     IF(
        ISNUMBER(_xlpm.d),TRUE,FALSE
       )
    )</f>
        <v>1</v>
      </c>
      <c r="E776" t="b">
        <f>IF(ISERROR(_xlfn.NUMBERVALUE(Employee_dataset[[#This Row],[Salary]])),FALSE,TRUE)</f>
        <v>1</v>
      </c>
      <c r="F776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776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777" spans="1:7" x14ac:dyDescent="0.3">
      <c r="A777" t="str">
        <f>Employee_dataset[[#This Row],[Employee_ID]]</f>
        <v>EMP1775</v>
      </c>
      <c r="B777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777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777" t="b">
        <f>_xlfn.LET(
     _xlpm.d, Employee_dataset[[#This Row],[Join_Date]],
     IF(
        ISNUMBER(_xlpm.d),TRUE,FALSE
       )
    )</f>
        <v>1</v>
      </c>
      <c r="E777" t="b">
        <f>IF(ISERROR(_xlfn.NUMBERVALUE(Employee_dataset[[#This Row],[Salary]])),FALSE,TRUE)</f>
        <v>1</v>
      </c>
      <c r="F777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777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778" spans="1:7" x14ac:dyDescent="0.3">
      <c r="A778" t="str">
        <f>Employee_dataset[[#This Row],[Employee_ID]]</f>
        <v>EMP1776</v>
      </c>
      <c r="B778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778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778" t="b">
        <f>_xlfn.LET(
     _xlpm.d, Employee_dataset[[#This Row],[Join_Date]],
     IF(
        ISNUMBER(_xlpm.d),TRUE,FALSE
       )
    )</f>
        <v>1</v>
      </c>
      <c r="E778" t="b">
        <f>IF(ISERROR(_xlfn.NUMBERVALUE(Employee_dataset[[#This Row],[Salary]])),FALSE,TRUE)</f>
        <v>1</v>
      </c>
      <c r="F778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778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779" spans="1:7" x14ac:dyDescent="0.3">
      <c r="A779" t="str">
        <f>Employee_dataset[[#This Row],[Employee_ID]]</f>
        <v>EMP1777</v>
      </c>
      <c r="B779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779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779" t="b">
        <f>_xlfn.LET(
     _xlpm.d, Employee_dataset[[#This Row],[Join_Date]],
     IF(
        ISNUMBER(_xlpm.d),TRUE,FALSE
       )
    )</f>
        <v>1</v>
      </c>
      <c r="E779" t="b">
        <f>IF(ISERROR(_xlfn.NUMBERVALUE(Employee_dataset[[#This Row],[Salary]])),FALSE,TRUE)</f>
        <v>1</v>
      </c>
      <c r="F779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779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780" spans="1:7" x14ac:dyDescent="0.3">
      <c r="A780" t="str">
        <f>Employee_dataset[[#This Row],[Employee_ID]]</f>
        <v>EMP1778</v>
      </c>
      <c r="B780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780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780" t="b">
        <f>_xlfn.LET(
     _xlpm.d, Employee_dataset[[#This Row],[Join_Date]],
     IF(
        ISNUMBER(_xlpm.d),TRUE,FALSE
       )
    )</f>
        <v>1</v>
      </c>
      <c r="E780" t="b">
        <f>IF(ISERROR(_xlfn.NUMBERVALUE(Employee_dataset[[#This Row],[Salary]])),FALSE,TRUE)</f>
        <v>1</v>
      </c>
      <c r="F780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780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781" spans="1:7" x14ac:dyDescent="0.3">
      <c r="A781" t="str">
        <f>Employee_dataset[[#This Row],[Employee_ID]]</f>
        <v>EMP1779</v>
      </c>
      <c r="B781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781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781" t="b">
        <f>_xlfn.LET(
     _xlpm.d, Employee_dataset[[#This Row],[Join_Date]],
     IF(
        ISNUMBER(_xlpm.d),TRUE,FALSE
       )
    )</f>
        <v>1</v>
      </c>
      <c r="E781" t="b">
        <f>IF(ISERROR(_xlfn.NUMBERVALUE(Employee_dataset[[#This Row],[Salary]])),FALSE,TRUE)</f>
        <v>1</v>
      </c>
      <c r="F781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781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782" spans="1:7" x14ac:dyDescent="0.3">
      <c r="A782" t="str">
        <f>Employee_dataset[[#This Row],[Employee_ID]]</f>
        <v>EMP1780</v>
      </c>
      <c r="B782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782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0</v>
      </c>
      <c r="D782" t="b">
        <f>_xlfn.LET(
     _xlpm.d, Employee_dataset[[#This Row],[Join_Date]],
     IF(
        ISNUMBER(_xlpm.d),TRUE,FALSE
       )
    )</f>
        <v>1</v>
      </c>
      <c r="E782" t="b">
        <f>IF(ISERROR(_xlfn.NUMBERVALUE(Employee_dataset[[#This Row],[Salary]])),FALSE,TRUE)</f>
        <v>1</v>
      </c>
      <c r="F782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>Phone</v>
      </c>
      <c r="G782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783" spans="1:7" x14ac:dyDescent="0.3">
      <c r="A783" t="str">
        <f>Employee_dataset[[#This Row],[Employee_ID]]</f>
        <v>EMP1781</v>
      </c>
      <c r="B783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783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783" t="b">
        <f>_xlfn.LET(
     _xlpm.d, Employee_dataset[[#This Row],[Join_Date]],
     IF(
        ISNUMBER(_xlpm.d),TRUE,FALSE
       )
    )</f>
        <v>1</v>
      </c>
      <c r="E783" t="b">
        <f>IF(ISERROR(_xlfn.NUMBERVALUE(Employee_dataset[[#This Row],[Salary]])),FALSE,TRUE)</f>
        <v>1</v>
      </c>
      <c r="F783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783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784" spans="1:7" x14ac:dyDescent="0.3">
      <c r="A784" t="str">
        <f>Employee_dataset[[#This Row],[Employee_ID]]</f>
        <v>EMP1782</v>
      </c>
      <c r="B784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784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0</v>
      </c>
      <c r="D784" t="b">
        <f>_xlfn.LET(
     _xlpm.d, Employee_dataset[[#This Row],[Join_Date]],
     IF(
        ISNUMBER(_xlpm.d),TRUE,FALSE
       )
    )</f>
        <v>1</v>
      </c>
      <c r="E784" t="b">
        <f>IF(ISERROR(_xlfn.NUMBERVALUE(Employee_dataset[[#This Row],[Salary]])),FALSE,TRUE)</f>
        <v>1</v>
      </c>
      <c r="F784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>Phone</v>
      </c>
      <c r="G784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785" spans="1:7" x14ac:dyDescent="0.3">
      <c r="A785" t="str">
        <f>Employee_dataset[[#This Row],[Employee_ID]]</f>
        <v>EMP1783</v>
      </c>
      <c r="B785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785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785" t="b">
        <f>_xlfn.LET(
     _xlpm.d, Employee_dataset[[#This Row],[Join_Date]],
     IF(
        ISNUMBER(_xlpm.d),TRUE,FALSE
       )
    )</f>
        <v>1</v>
      </c>
      <c r="E785" t="b">
        <f>IF(ISERROR(_xlfn.NUMBERVALUE(Employee_dataset[[#This Row],[Salary]])),FALSE,TRUE)</f>
        <v>1</v>
      </c>
      <c r="F785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785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786" spans="1:7" x14ac:dyDescent="0.3">
      <c r="A786" t="str">
        <f>Employee_dataset[[#This Row],[Employee_ID]]</f>
        <v>EMP1784</v>
      </c>
      <c r="B786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786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786" t="b">
        <f>_xlfn.LET(
     _xlpm.d, Employee_dataset[[#This Row],[Join_Date]],
     IF(
        ISNUMBER(_xlpm.d),TRUE,FALSE
       )
    )</f>
        <v>1</v>
      </c>
      <c r="E786" t="b">
        <f>IF(ISERROR(_xlfn.NUMBERVALUE(Employee_dataset[[#This Row],[Salary]])),FALSE,TRUE)</f>
        <v>1</v>
      </c>
      <c r="F786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786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787" spans="1:7" x14ac:dyDescent="0.3">
      <c r="A787" t="str">
        <f>Employee_dataset[[#This Row],[Employee_ID]]</f>
        <v>EMP1785</v>
      </c>
      <c r="B787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787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787" t="b">
        <f>_xlfn.LET(
     _xlpm.d, Employee_dataset[[#This Row],[Join_Date]],
     IF(
        ISNUMBER(_xlpm.d),TRUE,FALSE
       )
    )</f>
        <v>1</v>
      </c>
      <c r="E787" t="b">
        <f>IF(ISERROR(_xlfn.NUMBERVALUE(Employee_dataset[[#This Row],[Salary]])),FALSE,TRUE)</f>
        <v>1</v>
      </c>
      <c r="F787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787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788" spans="1:7" x14ac:dyDescent="0.3">
      <c r="A788" t="str">
        <f>Employee_dataset[[#This Row],[Employee_ID]]</f>
        <v>EMP1786</v>
      </c>
      <c r="B788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788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788" t="b">
        <f>_xlfn.LET(
     _xlpm.d, Employee_dataset[[#This Row],[Join_Date]],
     IF(
        ISNUMBER(_xlpm.d),TRUE,FALSE
       )
    )</f>
        <v>1</v>
      </c>
      <c r="E788" t="b">
        <f>IF(ISERROR(_xlfn.NUMBERVALUE(Employee_dataset[[#This Row],[Salary]])),FALSE,TRUE)</f>
        <v>1</v>
      </c>
      <c r="F788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788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789" spans="1:7" x14ac:dyDescent="0.3">
      <c r="A789" t="str">
        <f>Employee_dataset[[#This Row],[Employee_ID]]</f>
        <v>EMP1787</v>
      </c>
      <c r="B789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789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789" t="b">
        <f>_xlfn.LET(
     _xlpm.d, Employee_dataset[[#This Row],[Join_Date]],
     IF(
        ISNUMBER(_xlpm.d),TRUE,FALSE
       )
    )</f>
        <v>1</v>
      </c>
      <c r="E789" t="b">
        <f>IF(ISERROR(_xlfn.NUMBERVALUE(Employee_dataset[[#This Row],[Salary]])),FALSE,TRUE)</f>
        <v>1</v>
      </c>
      <c r="F789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789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790" spans="1:7" x14ac:dyDescent="0.3">
      <c r="A790" t="str">
        <f>Employee_dataset[[#This Row],[Employee_ID]]</f>
        <v>EMP1788</v>
      </c>
      <c r="B790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790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790" t="b">
        <f>_xlfn.LET(
     _xlpm.d, Employee_dataset[[#This Row],[Join_Date]],
     IF(
        ISNUMBER(_xlpm.d),TRUE,FALSE
       )
    )</f>
        <v>1</v>
      </c>
      <c r="E790" t="b">
        <f>IF(ISERROR(_xlfn.NUMBERVALUE(Employee_dataset[[#This Row],[Salary]])),FALSE,TRUE)</f>
        <v>1</v>
      </c>
      <c r="F790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790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791" spans="1:7" x14ac:dyDescent="0.3">
      <c r="A791" t="str">
        <f>Employee_dataset[[#This Row],[Employee_ID]]</f>
        <v>EMP1789</v>
      </c>
      <c r="B791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791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791" t="b">
        <f>_xlfn.LET(
     _xlpm.d, Employee_dataset[[#This Row],[Join_Date]],
     IF(
        ISNUMBER(_xlpm.d),TRUE,FALSE
       )
    )</f>
        <v>1</v>
      </c>
      <c r="E791" t="b">
        <f>IF(ISERROR(_xlfn.NUMBERVALUE(Employee_dataset[[#This Row],[Salary]])),FALSE,TRUE)</f>
        <v>1</v>
      </c>
      <c r="F791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791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792" spans="1:7" x14ac:dyDescent="0.3">
      <c r="A792" t="str">
        <f>Employee_dataset[[#This Row],[Employee_ID]]</f>
        <v>EMP1790</v>
      </c>
      <c r="B792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792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792" t="b">
        <f>_xlfn.LET(
     _xlpm.d, Employee_dataset[[#This Row],[Join_Date]],
     IF(
        ISNUMBER(_xlpm.d),TRUE,FALSE
       )
    )</f>
        <v>1</v>
      </c>
      <c r="E792" t="b">
        <f>IF(ISERROR(_xlfn.NUMBERVALUE(Employee_dataset[[#This Row],[Salary]])),FALSE,TRUE)</f>
        <v>1</v>
      </c>
      <c r="F792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792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793" spans="1:7" x14ac:dyDescent="0.3">
      <c r="A793" t="str">
        <f>Employee_dataset[[#This Row],[Employee_ID]]</f>
        <v>EMP1791</v>
      </c>
      <c r="B793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793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793" t="b">
        <f>_xlfn.LET(
     _xlpm.d, Employee_dataset[[#This Row],[Join_Date]],
     IF(
        ISNUMBER(_xlpm.d),TRUE,FALSE
       )
    )</f>
        <v>1</v>
      </c>
      <c r="E793" t="b">
        <f>IF(ISERROR(_xlfn.NUMBERVALUE(Employee_dataset[[#This Row],[Salary]])),FALSE,TRUE)</f>
        <v>1</v>
      </c>
      <c r="F793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793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794" spans="1:7" x14ac:dyDescent="0.3">
      <c r="A794" t="str">
        <f>Employee_dataset[[#This Row],[Employee_ID]]</f>
        <v>EMP1792</v>
      </c>
      <c r="B794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794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794" t="b">
        <f>_xlfn.LET(
     _xlpm.d, Employee_dataset[[#This Row],[Join_Date]],
     IF(
        ISNUMBER(_xlpm.d),TRUE,FALSE
       )
    )</f>
        <v>1</v>
      </c>
      <c r="E794" t="b">
        <f>IF(ISERROR(_xlfn.NUMBERVALUE(Employee_dataset[[#This Row],[Salary]])),FALSE,TRUE)</f>
        <v>1</v>
      </c>
      <c r="F794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794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795" spans="1:7" x14ac:dyDescent="0.3">
      <c r="A795" t="str">
        <f>Employee_dataset[[#This Row],[Employee_ID]]</f>
        <v>EMP1793</v>
      </c>
      <c r="B795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795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795" t="b">
        <f>_xlfn.LET(
     _xlpm.d, Employee_dataset[[#This Row],[Join_Date]],
     IF(
        ISNUMBER(_xlpm.d),TRUE,FALSE
       )
    )</f>
        <v>1</v>
      </c>
      <c r="E795" t="b">
        <f>IF(ISERROR(_xlfn.NUMBERVALUE(Employee_dataset[[#This Row],[Salary]])),FALSE,TRUE)</f>
        <v>1</v>
      </c>
      <c r="F795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795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796" spans="1:7" x14ac:dyDescent="0.3">
      <c r="A796" t="str">
        <f>Employee_dataset[[#This Row],[Employee_ID]]</f>
        <v>EMP1794</v>
      </c>
      <c r="B796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796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0</v>
      </c>
      <c r="D796" t="b">
        <f>_xlfn.LET(
     _xlpm.d, Employee_dataset[[#This Row],[Join_Date]],
     IF(
        ISNUMBER(_xlpm.d),TRUE,FALSE
       )
    )</f>
        <v>1</v>
      </c>
      <c r="E796" t="b">
        <f>IF(ISERROR(_xlfn.NUMBERVALUE(Employee_dataset[[#This Row],[Salary]])),FALSE,TRUE)</f>
        <v>1</v>
      </c>
      <c r="F796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>Phone</v>
      </c>
      <c r="G796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797" spans="1:7" x14ac:dyDescent="0.3">
      <c r="A797" t="str">
        <f>Employee_dataset[[#This Row],[Employee_ID]]</f>
        <v>EMP1795</v>
      </c>
      <c r="B797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797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797" t="b">
        <f>_xlfn.LET(
     _xlpm.d, Employee_dataset[[#This Row],[Join_Date]],
     IF(
        ISNUMBER(_xlpm.d),TRUE,FALSE
       )
    )</f>
        <v>1</v>
      </c>
      <c r="E797" t="b">
        <f>IF(ISERROR(_xlfn.NUMBERVALUE(Employee_dataset[[#This Row],[Salary]])),FALSE,TRUE)</f>
        <v>1</v>
      </c>
      <c r="F797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797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798" spans="1:7" x14ac:dyDescent="0.3">
      <c r="A798" t="str">
        <f>Employee_dataset[[#This Row],[Employee_ID]]</f>
        <v>EMP1796</v>
      </c>
      <c r="B798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798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798" t="b">
        <f>_xlfn.LET(
     _xlpm.d, Employee_dataset[[#This Row],[Join_Date]],
     IF(
        ISNUMBER(_xlpm.d),TRUE,FALSE
       )
    )</f>
        <v>1</v>
      </c>
      <c r="E798" t="b">
        <f>IF(ISERROR(_xlfn.NUMBERVALUE(Employee_dataset[[#This Row],[Salary]])),FALSE,TRUE)</f>
        <v>1</v>
      </c>
      <c r="F798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798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799" spans="1:7" x14ac:dyDescent="0.3">
      <c r="A799" t="str">
        <f>Employee_dataset[[#This Row],[Employee_ID]]</f>
        <v>EMP1797</v>
      </c>
      <c r="B799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799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799" t="b">
        <f>_xlfn.LET(
     _xlpm.d, Employee_dataset[[#This Row],[Join_Date]],
     IF(
        ISNUMBER(_xlpm.d),TRUE,FALSE
       )
    )</f>
        <v>1</v>
      </c>
      <c r="E799" t="b">
        <f>IF(ISERROR(_xlfn.NUMBERVALUE(Employee_dataset[[#This Row],[Salary]])),FALSE,TRUE)</f>
        <v>1</v>
      </c>
      <c r="F799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799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800" spans="1:7" x14ac:dyDescent="0.3">
      <c r="A800" t="str">
        <f>Employee_dataset[[#This Row],[Employee_ID]]</f>
        <v>EMP1798</v>
      </c>
      <c r="B800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800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800" t="b">
        <f>_xlfn.LET(
     _xlpm.d, Employee_dataset[[#This Row],[Join_Date]],
     IF(
        ISNUMBER(_xlpm.d),TRUE,FALSE
       )
    )</f>
        <v>1</v>
      </c>
      <c r="E800" t="b">
        <f>IF(ISERROR(_xlfn.NUMBERVALUE(Employee_dataset[[#This Row],[Salary]])),FALSE,TRUE)</f>
        <v>1</v>
      </c>
      <c r="F800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800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801" spans="1:7" x14ac:dyDescent="0.3">
      <c r="A801" t="str">
        <f>Employee_dataset[[#This Row],[Employee_ID]]</f>
        <v>EMP1799</v>
      </c>
      <c r="B801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801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801" t="b">
        <f>_xlfn.LET(
     _xlpm.d, Employee_dataset[[#This Row],[Join_Date]],
     IF(
        ISNUMBER(_xlpm.d),TRUE,FALSE
       )
    )</f>
        <v>1</v>
      </c>
      <c r="E801" t="b">
        <f>IF(ISERROR(_xlfn.NUMBERVALUE(Employee_dataset[[#This Row],[Salary]])),FALSE,TRUE)</f>
        <v>1</v>
      </c>
      <c r="F801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801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802" spans="1:7" x14ac:dyDescent="0.3">
      <c r="A802" t="str">
        <f>Employee_dataset[[#This Row],[Employee_ID]]</f>
        <v>EMP1800</v>
      </c>
      <c r="B802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802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802" t="b">
        <f>_xlfn.LET(
     _xlpm.d, Employee_dataset[[#This Row],[Join_Date]],
     IF(
        ISNUMBER(_xlpm.d),TRUE,FALSE
       )
    )</f>
        <v>1</v>
      </c>
      <c r="E802" t="b">
        <f>IF(ISERROR(_xlfn.NUMBERVALUE(Employee_dataset[[#This Row],[Salary]])),FALSE,TRUE)</f>
        <v>1</v>
      </c>
      <c r="F802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802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803" spans="1:7" x14ac:dyDescent="0.3">
      <c r="A803" t="str">
        <f>Employee_dataset[[#This Row],[Employee_ID]]</f>
        <v>EMP1801</v>
      </c>
      <c r="B803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803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803" t="b">
        <f>_xlfn.LET(
     _xlpm.d, Employee_dataset[[#This Row],[Join_Date]],
     IF(
        ISNUMBER(_xlpm.d),TRUE,FALSE
       )
    )</f>
        <v>1</v>
      </c>
      <c r="E803" t="b">
        <f>IF(ISERROR(_xlfn.NUMBERVALUE(Employee_dataset[[#This Row],[Salary]])),FALSE,TRUE)</f>
        <v>1</v>
      </c>
      <c r="F803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803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804" spans="1:7" x14ac:dyDescent="0.3">
      <c r="A804" t="str">
        <f>Employee_dataset[[#This Row],[Employee_ID]]</f>
        <v>EMP1802</v>
      </c>
      <c r="B804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804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804" t="b">
        <f>_xlfn.LET(
     _xlpm.d, Employee_dataset[[#This Row],[Join_Date]],
     IF(
        ISNUMBER(_xlpm.d),TRUE,FALSE
       )
    )</f>
        <v>1</v>
      </c>
      <c r="E804" t="b">
        <f>IF(ISERROR(_xlfn.NUMBERVALUE(Employee_dataset[[#This Row],[Salary]])),FALSE,TRUE)</f>
        <v>1</v>
      </c>
      <c r="F804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804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805" spans="1:7" x14ac:dyDescent="0.3">
      <c r="A805" t="str">
        <f>Employee_dataset[[#This Row],[Employee_ID]]</f>
        <v>EMP1803</v>
      </c>
      <c r="B805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805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805" t="b">
        <f>_xlfn.LET(
     _xlpm.d, Employee_dataset[[#This Row],[Join_Date]],
     IF(
        ISNUMBER(_xlpm.d),TRUE,FALSE
       )
    )</f>
        <v>1</v>
      </c>
      <c r="E805" t="b">
        <f>IF(ISERROR(_xlfn.NUMBERVALUE(Employee_dataset[[#This Row],[Salary]])),FALSE,TRUE)</f>
        <v>1</v>
      </c>
      <c r="F805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805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806" spans="1:7" x14ac:dyDescent="0.3">
      <c r="A806" t="str">
        <f>Employee_dataset[[#This Row],[Employee_ID]]</f>
        <v>EMP1804</v>
      </c>
      <c r="B806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806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806" t="b">
        <f>_xlfn.LET(
     _xlpm.d, Employee_dataset[[#This Row],[Join_Date]],
     IF(
        ISNUMBER(_xlpm.d),TRUE,FALSE
       )
    )</f>
        <v>1</v>
      </c>
      <c r="E806" t="b">
        <f>IF(ISERROR(_xlfn.NUMBERVALUE(Employee_dataset[[#This Row],[Salary]])),FALSE,TRUE)</f>
        <v>1</v>
      </c>
      <c r="F806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806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807" spans="1:7" x14ac:dyDescent="0.3">
      <c r="A807" t="str">
        <f>Employee_dataset[[#This Row],[Employee_ID]]</f>
        <v>EMP1805</v>
      </c>
      <c r="B807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807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807" t="b">
        <f>_xlfn.LET(
     _xlpm.d, Employee_dataset[[#This Row],[Join_Date]],
     IF(
        ISNUMBER(_xlpm.d),TRUE,FALSE
       )
    )</f>
        <v>1</v>
      </c>
      <c r="E807" t="b">
        <f>IF(ISERROR(_xlfn.NUMBERVALUE(Employee_dataset[[#This Row],[Salary]])),FALSE,TRUE)</f>
        <v>1</v>
      </c>
      <c r="F807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807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808" spans="1:7" x14ac:dyDescent="0.3">
      <c r="A808" t="str">
        <f>Employee_dataset[[#This Row],[Employee_ID]]</f>
        <v>EMP1806</v>
      </c>
      <c r="B808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808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808" t="b">
        <f>_xlfn.LET(
     _xlpm.d, Employee_dataset[[#This Row],[Join_Date]],
     IF(
        ISNUMBER(_xlpm.d),TRUE,FALSE
       )
    )</f>
        <v>1</v>
      </c>
      <c r="E808" t="b">
        <f>IF(ISERROR(_xlfn.NUMBERVALUE(Employee_dataset[[#This Row],[Salary]])),FALSE,TRUE)</f>
        <v>1</v>
      </c>
      <c r="F808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808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809" spans="1:7" x14ac:dyDescent="0.3">
      <c r="A809" t="str">
        <f>Employee_dataset[[#This Row],[Employee_ID]]</f>
        <v>EMP1807</v>
      </c>
      <c r="B809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809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809" t="b">
        <f>_xlfn.LET(
     _xlpm.d, Employee_dataset[[#This Row],[Join_Date]],
     IF(
        ISNUMBER(_xlpm.d),TRUE,FALSE
       )
    )</f>
        <v>1</v>
      </c>
      <c r="E809" t="b">
        <f>IF(ISERROR(_xlfn.NUMBERVALUE(Employee_dataset[[#This Row],[Salary]])),FALSE,TRUE)</f>
        <v>1</v>
      </c>
      <c r="F809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809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810" spans="1:7" x14ac:dyDescent="0.3">
      <c r="A810" t="str">
        <f>Employee_dataset[[#This Row],[Employee_ID]]</f>
        <v>EMP1808</v>
      </c>
      <c r="B810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810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810" t="b">
        <f>_xlfn.LET(
     _xlpm.d, Employee_dataset[[#This Row],[Join_Date]],
     IF(
        ISNUMBER(_xlpm.d),TRUE,FALSE
       )
    )</f>
        <v>1</v>
      </c>
      <c r="E810" t="b">
        <f>IF(ISERROR(_xlfn.NUMBERVALUE(Employee_dataset[[#This Row],[Salary]])),FALSE,TRUE)</f>
        <v>1</v>
      </c>
      <c r="F810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810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811" spans="1:7" x14ac:dyDescent="0.3">
      <c r="A811" t="str">
        <f>Employee_dataset[[#This Row],[Employee_ID]]</f>
        <v>EMP1809</v>
      </c>
      <c r="B811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811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811" t="b">
        <f>_xlfn.LET(
     _xlpm.d, Employee_dataset[[#This Row],[Join_Date]],
     IF(
        ISNUMBER(_xlpm.d),TRUE,FALSE
       )
    )</f>
        <v>1</v>
      </c>
      <c r="E811" t="b">
        <f>IF(ISERROR(_xlfn.NUMBERVALUE(Employee_dataset[[#This Row],[Salary]])),FALSE,TRUE)</f>
        <v>1</v>
      </c>
      <c r="F811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811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812" spans="1:7" x14ac:dyDescent="0.3">
      <c r="A812" t="str">
        <f>Employee_dataset[[#This Row],[Employee_ID]]</f>
        <v>EMP1810</v>
      </c>
      <c r="B812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812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812" t="b">
        <f>_xlfn.LET(
     _xlpm.d, Employee_dataset[[#This Row],[Join_Date]],
     IF(
        ISNUMBER(_xlpm.d),TRUE,FALSE
       )
    )</f>
        <v>1</v>
      </c>
      <c r="E812" t="b">
        <f>IF(ISERROR(_xlfn.NUMBERVALUE(Employee_dataset[[#This Row],[Salary]])),FALSE,TRUE)</f>
        <v>1</v>
      </c>
      <c r="F812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812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813" spans="1:7" x14ac:dyDescent="0.3">
      <c r="A813" t="str">
        <f>Employee_dataset[[#This Row],[Employee_ID]]</f>
        <v>EMP1811</v>
      </c>
      <c r="B813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813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813" t="b">
        <f>_xlfn.LET(
     _xlpm.d, Employee_dataset[[#This Row],[Join_Date]],
     IF(
        ISNUMBER(_xlpm.d),TRUE,FALSE
       )
    )</f>
        <v>1</v>
      </c>
      <c r="E813" t="b">
        <f>IF(ISERROR(_xlfn.NUMBERVALUE(Employee_dataset[[#This Row],[Salary]])),FALSE,TRUE)</f>
        <v>1</v>
      </c>
      <c r="F813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813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814" spans="1:7" x14ac:dyDescent="0.3">
      <c r="A814" t="str">
        <f>Employee_dataset[[#This Row],[Employee_ID]]</f>
        <v>EMP1812</v>
      </c>
      <c r="B814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814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814" t="b">
        <f>_xlfn.LET(
     _xlpm.d, Employee_dataset[[#This Row],[Join_Date]],
     IF(
        ISNUMBER(_xlpm.d),TRUE,FALSE
       )
    )</f>
        <v>1</v>
      </c>
      <c r="E814" t="b">
        <f>IF(ISERROR(_xlfn.NUMBERVALUE(Employee_dataset[[#This Row],[Salary]])),FALSE,TRUE)</f>
        <v>1</v>
      </c>
      <c r="F814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814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815" spans="1:7" x14ac:dyDescent="0.3">
      <c r="A815" t="str">
        <f>Employee_dataset[[#This Row],[Employee_ID]]</f>
        <v>EMP1813</v>
      </c>
      <c r="B815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815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0</v>
      </c>
      <c r="D815" t="b">
        <f>_xlfn.LET(
     _xlpm.d, Employee_dataset[[#This Row],[Join_Date]],
     IF(
        ISNUMBER(_xlpm.d),TRUE,FALSE
       )
    )</f>
        <v>1</v>
      </c>
      <c r="E815" t="b">
        <f>IF(ISERROR(_xlfn.NUMBERVALUE(Employee_dataset[[#This Row],[Salary]])),FALSE,TRUE)</f>
        <v>1</v>
      </c>
      <c r="F815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>Phone</v>
      </c>
      <c r="G815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816" spans="1:7" x14ac:dyDescent="0.3">
      <c r="A816" t="str">
        <f>Employee_dataset[[#This Row],[Employee_ID]]</f>
        <v>EMP1814</v>
      </c>
      <c r="B816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816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816" t="b">
        <f>_xlfn.LET(
     _xlpm.d, Employee_dataset[[#This Row],[Join_Date]],
     IF(
        ISNUMBER(_xlpm.d),TRUE,FALSE
       )
    )</f>
        <v>1</v>
      </c>
      <c r="E816" t="b">
        <f>IF(ISERROR(_xlfn.NUMBERVALUE(Employee_dataset[[#This Row],[Salary]])),FALSE,TRUE)</f>
        <v>1</v>
      </c>
      <c r="F816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816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817" spans="1:7" x14ac:dyDescent="0.3">
      <c r="A817" t="str">
        <f>Employee_dataset[[#This Row],[Employee_ID]]</f>
        <v>EMP1815</v>
      </c>
      <c r="B817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817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817" t="b">
        <f>_xlfn.LET(
     _xlpm.d, Employee_dataset[[#This Row],[Join_Date]],
     IF(
        ISNUMBER(_xlpm.d),TRUE,FALSE
       )
    )</f>
        <v>1</v>
      </c>
      <c r="E817" t="b">
        <f>IF(ISERROR(_xlfn.NUMBERVALUE(Employee_dataset[[#This Row],[Salary]])),FALSE,TRUE)</f>
        <v>1</v>
      </c>
      <c r="F817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817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818" spans="1:7" x14ac:dyDescent="0.3">
      <c r="A818" t="str">
        <f>Employee_dataset[[#This Row],[Employee_ID]]</f>
        <v>EMP1816</v>
      </c>
      <c r="B818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818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818" t="b">
        <f>_xlfn.LET(
     _xlpm.d, Employee_dataset[[#This Row],[Join_Date]],
     IF(
        ISNUMBER(_xlpm.d),TRUE,FALSE
       )
    )</f>
        <v>1</v>
      </c>
      <c r="E818" t="b">
        <f>IF(ISERROR(_xlfn.NUMBERVALUE(Employee_dataset[[#This Row],[Salary]])),FALSE,TRUE)</f>
        <v>1</v>
      </c>
      <c r="F818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818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819" spans="1:7" x14ac:dyDescent="0.3">
      <c r="A819" t="str">
        <f>Employee_dataset[[#This Row],[Employee_ID]]</f>
        <v>EMP1817</v>
      </c>
      <c r="B819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819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0</v>
      </c>
      <c r="D819" t="b">
        <f>_xlfn.LET(
     _xlpm.d, Employee_dataset[[#This Row],[Join_Date]],
     IF(
        ISNUMBER(_xlpm.d),TRUE,FALSE
       )
    )</f>
        <v>1</v>
      </c>
      <c r="E819" t="b">
        <f>IF(ISERROR(_xlfn.NUMBERVALUE(Employee_dataset[[#This Row],[Salary]])),FALSE,TRUE)</f>
        <v>1</v>
      </c>
      <c r="F819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>Phone</v>
      </c>
      <c r="G819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820" spans="1:7" x14ac:dyDescent="0.3">
      <c r="A820" t="str">
        <f>Employee_dataset[[#This Row],[Employee_ID]]</f>
        <v>EMP1818</v>
      </c>
      <c r="B820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820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820" t="b">
        <f>_xlfn.LET(
     _xlpm.d, Employee_dataset[[#This Row],[Join_Date]],
     IF(
        ISNUMBER(_xlpm.d),TRUE,FALSE
       )
    )</f>
        <v>1</v>
      </c>
      <c r="E820" t="b">
        <f>IF(ISERROR(_xlfn.NUMBERVALUE(Employee_dataset[[#This Row],[Salary]])),FALSE,TRUE)</f>
        <v>1</v>
      </c>
      <c r="F820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820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821" spans="1:7" x14ac:dyDescent="0.3">
      <c r="A821" t="str">
        <f>Employee_dataset[[#This Row],[Employee_ID]]</f>
        <v>EMP1819</v>
      </c>
      <c r="B821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821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821" t="b">
        <f>_xlfn.LET(
     _xlpm.d, Employee_dataset[[#This Row],[Join_Date]],
     IF(
        ISNUMBER(_xlpm.d),TRUE,FALSE
       )
    )</f>
        <v>1</v>
      </c>
      <c r="E821" t="b">
        <f>IF(ISERROR(_xlfn.NUMBERVALUE(Employee_dataset[[#This Row],[Salary]])),FALSE,TRUE)</f>
        <v>1</v>
      </c>
      <c r="F821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821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822" spans="1:7" x14ac:dyDescent="0.3">
      <c r="A822" t="str">
        <f>Employee_dataset[[#This Row],[Employee_ID]]</f>
        <v>EMP1820</v>
      </c>
      <c r="B822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822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822" t="b">
        <f>_xlfn.LET(
     _xlpm.d, Employee_dataset[[#This Row],[Join_Date]],
     IF(
        ISNUMBER(_xlpm.d),TRUE,FALSE
       )
    )</f>
        <v>1</v>
      </c>
      <c r="E822" t="b">
        <f>IF(ISERROR(_xlfn.NUMBERVALUE(Employee_dataset[[#This Row],[Salary]])),FALSE,TRUE)</f>
        <v>1</v>
      </c>
      <c r="F822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822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823" spans="1:7" x14ac:dyDescent="0.3">
      <c r="A823" t="str">
        <f>Employee_dataset[[#This Row],[Employee_ID]]</f>
        <v>EMP1821</v>
      </c>
      <c r="B823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823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823" t="b">
        <f>_xlfn.LET(
     _xlpm.d, Employee_dataset[[#This Row],[Join_Date]],
     IF(
        ISNUMBER(_xlpm.d),TRUE,FALSE
       )
    )</f>
        <v>1</v>
      </c>
      <c r="E823" t="b">
        <f>IF(ISERROR(_xlfn.NUMBERVALUE(Employee_dataset[[#This Row],[Salary]])),FALSE,TRUE)</f>
        <v>0</v>
      </c>
      <c r="F823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>Salary</v>
      </c>
      <c r="G823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824" spans="1:7" x14ac:dyDescent="0.3">
      <c r="A824" t="str">
        <f>Employee_dataset[[#This Row],[Employee_ID]]</f>
        <v>EMP1822</v>
      </c>
      <c r="B824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824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824" t="b">
        <f>_xlfn.LET(
     _xlpm.d, Employee_dataset[[#This Row],[Join_Date]],
     IF(
        ISNUMBER(_xlpm.d),TRUE,FALSE
       )
    )</f>
        <v>1</v>
      </c>
      <c r="E824" t="b">
        <f>IF(ISERROR(_xlfn.NUMBERVALUE(Employee_dataset[[#This Row],[Salary]])),FALSE,TRUE)</f>
        <v>1</v>
      </c>
      <c r="F824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824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825" spans="1:7" x14ac:dyDescent="0.3">
      <c r="A825" t="str">
        <f>Employee_dataset[[#This Row],[Employee_ID]]</f>
        <v>EMP1823</v>
      </c>
      <c r="B825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825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825" t="b">
        <f>_xlfn.LET(
     _xlpm.d, Employee_dataset[[#This Row],[Join_Date]],
     IF(
        ISNUMBER(_xlpm.d),TRUE,FALSE
       )
    )</f>
        <v>1</v>
      </c>
      <c r="E825" t="b">
        <f>IF(ISERROR(_xlfn.NUMBERVALUE(Employee_dataset[[#This Row],[Salary]])),FALSE,TRUE)</f>
        <v>1</v>
      </c>
      <c r="F825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825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826" spans="1:7" x14ac:dyDescent="0.3">
      <c r="A826" t="str">
        <f>Employee_dataset[[#This Row],[Employee_ID]]</f>
        <v>EMP1824</v>
      </c>
      <c r="B826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826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826" t="b">
        <f>_xlfn.LET(
     _xlpm.d, Employee_dataset[[#This Row],[Join_Date]],
     IF(
        ISNUMBER(_xlpm.d),TRUE,FALSE
       )
    )</f>
        <v>1</v>
      </c>
      <c r="E826" t="b">
        <f>IF(ISERROR(_xlfn.NUMBERVALUE(Employee_dataset[[#This Row],[Salary]])),FALSE,TRUE)</f>
        <v>1</v>
      </c>
      <c r="F826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826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827" spans="1:7" x14ac:dyDescent="0.3">
      <c r="A827" t="str">
        <f>Employee_dataset[[#This Row],[Employee_ID]]</f>
        <v>EMP1825</v>
      </c>
      <c r="B827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827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827" t="b">
        <f>_xlfn.LET(
     _xlpm.d, Employee_dataset[[#This Row],[Join_Date]],
     IF(
        ISNUMBER(_xlpm.d),TRUE,FALSE
       )
    )</f>
        <v>1</v>
      </c>
      <c r="E827" t="b">
        <f>IF(ISERROR(_xlfn.NUMBERVALUE(Employee_dataset[[#This Row],[Salary]])),FALSE,TRUE)</f>
        <v>1</v>
      </c>
      <c r="F827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827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828" spans="1:7" x14ac:dyDescent="0.3">
      <c r="A828" t="str">
        <f>Employee_dataset[[#This Row],[Employee_ID]]</f>
        <v>EMP1826</v>
      </c>
      <c r="B828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828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828" t="b">
        <f>_xlfn.LET(
     _xlpm.d, Employee_dataset[[#This Row],[Join_Date]],
     IF(
        ISNUMBER(_xlpm.d),TRUE,FALSE
       )
    )</f>
        <v>1</v>
      </c>
      <c r="E828" t="b">
        <f>IF(ISERROR(_xlfn.NUMBERVALUE(Employee_dataset[[#This Row],[Salary]])),FALSE,TRUE)</f>
        <v>1</v>
      </c>
      <c r="F828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828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829" spans="1:7" x14ac:dyDescent="0.3">
      <c r="A829" t="str">
        <f>Employee_dataset[[#This Row],[Employee_ID]]</f>
        <v>EMP1827</v>
      </c>
      <c r="B829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829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829" t="b">
        <f>_xlfn.LET(
     _xlpm.d, Employee_dataset[[#This Row],[Join_Date]],
     IF(
        ISNUMBER(_xlpm.d),TRUE,FALSE
       )
    )</f>
        <v>1</v>
      </c>
      <c r="E829" t="b">
        <f>IF(ISERROR(_xlfn.NUMBERVALUE(Employee_dataset[[#This Row],[Salary]])),FALSE,TRUE)</f>
        <v>1</v>
      </c>
      <c r="F829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829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830" spans="1:7" x14ac:dyDescent="0.3">
      <c r="A830" t="str">
        <f>Employee_dataset[[#This Row],[Employee_ID]]</f>
        <v>EMP1828</v>
      </c>
      <c r="B830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830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830" t="b">
        <f>_xlfn.LET(
     _xlpm.d, Employee_dataset[[#This Row],[Join_Date]],
     IF(
        ISNUMBER(_xlpm.d),TRUE,FALSE
       )
    )</f>
        <v>1</v>
      </c>
      <c r="E830" t="b">
        <f>IF(ISERROR(_xlfn.NUMBERVALUE(Employee_dataset[[#This Row],[Salary]])),FALSE,TRUE)</f>
        <v>1</v>
      </c>
      <c r="F830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830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831" spans="1:7" x14ac:dyDescent="0.3">
      <c r="A831" t="str">
        <f>Employee_dataset[[#This Row],[Employee_ID]]</f>
        <v>EMP1829</v>
      </c>
      <c r="B831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831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831" t="b">
        <f>_xlfn.LET(
     _xlpm.d, Employee_dataset[[#This Row],[Join_Date]],
     IF(
        ISNUMBER(_xlpm.d),TRUE,FALSE
       )
    )</f>
        <v>1</v>
      </c>
      <c r="E831" t="b">
        <f>IF(ISERROR(_xlfn.NUMBERVALUE(Employee_dataset[[#This Row],[Salary]])),FALSE,TRUE)</f>
        <v>1</v>
      </c>
      <c r="F831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831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832" spans="1:7" x14ac:dyDescent="0.3">
      <c r="A832" t="str">
        <f>Employee_dataset[[#This Row],[Employee_ID]]</f>
        <v>EMP1830</v>
      </c>
      <c r="B832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832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832" t="b">
        <f>_xlfn.LET(
     _xlpm.d, Employee_dataset[[#This Row],[Join_Date]],
     IF(
        ISNUMBER(_xlpm.d),TRUE,FALSE
       )
    )</f>
        <v>1</v>
      </c>
      <c r="E832" t="b">
        <f>IF(ISERROR(_xlfn.NUMBERVALUE(Employee_dataset[[#This Row],[Salary]])),FALSE,TRUE)</f>
        <v>1</v>
      </c>
      <c r="F832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832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833" spans="1:7" x14ac:dyDescent="0.3">
      <c r="A833" t="str">
        <f>Employee_dataset[[#This Row],[Employee_ID]]</f>
        <v>EMP1831</v>
      </c>
      <c r="B833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833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833" t="b">
        <f>_xlfn.LET(
     _xlpm.d, Employee_dataset[[#This Row],[Join_Date]],
     IF(
        ISNUMBER(_xlpm.d),TRUE,FALSE
       )
    )</f>
        <v>1</v>
      </c>
      <c r="E833" t="b">
        <f>IF(ISERROR(_xlfn.NUMBERVALUE(Employee_dataset[[#This Row],[Salary]])),FALSE,TRUE)</f>
        <v>1</v>
      </c>
      <c r="F833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833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834" spans="1:7" x14ac:dyDescent="0.3">
      <c r="A834" t="str">
        <f>Employee_dataset[[#This Row],[Employee_ID]]</f>
        <v>EMP1832</v>
      </c>
      <c r="B834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834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834" t="b">
        <f>_xlfn.LET(
     _xlpm.d, Employee_dataset[[#This Row],[Join_Date]],
     IF(
        ISNUMBER(_xlpm.d),TRUE,FALSE
       )
    )</f>
        <v>1</v>
      </c>
      <c r="E834" t="b">
        <f>IF(ISERROR(_xlfn.NUMBERVALUE(Employee_dataset[[#This Row],[Salary]])),FALSE,TRUE)</f>
        <v>1</v>
      </c>
      <c r="F834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834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835" spans="1:7" x14ac:dyDescent="0.3">
      <c r="A835" t="str">
        <f>Employee_dataset[[#This Row],[Employee_ID]]</f>
        <v>EMP1833</v>
      </c>
      <c r="B835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835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835" t="b">
        <f>_xlfn.LET(
     _xlpm.d, Employee_dataset[[#This Row],[Join_Date]],
     IF(
        ISNUMBER(_xlpm.d),TRUE,FALSE
       )
    )</f>
        <v>1</v>
      </c>
      <c r="E835" t="b">
        <f>IF(ISERROR(_xlfn.NUMBERVALUE(Employee_dataset[[#This Row],[Salary]])),FALSE,TRUE)</f>
        <v>1</v>
      </c>
      <c r="F835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835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836" spans="1:7" x14ac:dyDescent="0.3">
      <c r="A836" t="str">
        <f>Employee_dataset[[#This Row],[Employee_ID]]</f>
        <v>EMP1834</v>
      </c>
      <c r="B836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836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836" t="b">
        <f>_xlfn.LET(
     _xlpm.d, Employee_dataset[[#This Row],[Join_Date]],
     IF(
        ISNUMBER(_xlpm.d),TRUE,FALSE
       )
    )</f>
        <v>1</v>
      </c>
      <c r="E836" t="b">
        <f>IF(ISERROR(_xlfn.NUMBERVALUE(Employee_dataset[[#This Row],[Salary]])),FALSE,TRUE)</f>
        <v>1</v>
      </c>
      <c r="F836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836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837" spans="1:7" x14ac:dyDescent="0.3">
      <c r="A837" t="str">
        <f>Employee_dataset[[#This Row],[Employee_ID]]</f>
        <v>EMP1835</v>
      </c>
      <c r="B837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837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0</v>
      </c>
      <c r="D837" t="b">
        <f>_xlfn.LET(
     _xlpm.d, Employee_dataset[[#This Row],[Join_Date]],
     IF(
        ISNUMBER(_xlpm.d),TRUE,FALSE
       )
    )</f>
        <v>1</v>
      </c>
      <c r="E837" t="b">
        <f>IF(ISERROR(_xlfn.NUMBERVALUE(Employee_dataset[[#This Row],[Salary]])),FALSE,TRUE)</f>
        <v>1</v>
      </c>
      <c r="F837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>Phone</v>
      </c>
      <c r="G837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838" spans="1:7" x14ac:dyDescent="0.3">
      <c r="A838" t="str">
        <f>Employee_dataset[[#This Row],[Employee_ID]]</f>
        <v>EMP1836</v>
      </c>
      <c r="B838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838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838" t="b">
        <f>_xlfn.LET(
     _xlpm.d, Employee_dataset[[#This Row],[Join_Date]],
     IF(
        ISNUMBER(_xlpm.d),TRUE,FALSE
       )
    )</f>
        <v>1</v>
      </c>
      <c r="E838" t="b">
        <f>IF(ISERROR(_xlfn.NUMBERVALUE(Employee_dataset[[#This Row],[Salary]])),FALSE,TRUE)</f>
        <v>1</v>
      </c>
      <c r="F838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838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839" spans="1:7" x14ac:dyDescent="0.3">
      <c r="A839" t="str">
        <f>Employee_dataset[[#This Row],[Employee_ID]]</f>
        <v>EMP1837</v>
      </c>
      <c r="B839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839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839" t="b">
        <f>_xlfn.LET(
     _xlpm.d, Employee_dataset[[#This Row],[Join_Date]],
     IF(
        ISNUMBER(_xlpm.d),TRUE,FALSE
       )
    )</f>
        <v>1</v>
      </c>
      <c r="E839" t="b">
        <f>IF(ISERROR(_xlfn.NUMBERVALUE(Employee_dataset[[#This Row],[Salary]])),FALSE,TRUE)</f>
        <v>0</v>
      </c>
      <c r="F839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>Salary</v>
      </c>
      <c r="G839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840" spans="1:7" x14ac:dyDescent="0.3">
      <c r="A840" t="str">
        <f>Employee_dataset[[#This Row],[Employee_ID]]</f>
        <v>EMP1838</v>
      </c>
      <c r="B840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840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840" t="b">
        <f>_xlfn.LET(
     _xlpm.d, Employee_dataset[[#This Row],[Join_Date]],
     IF(
        ISNUMBER(_xlpm.d),TRUE,FALSE
       )
    )</f>
        <v>1</v>
      </c>
      <c r="E840" t="b">
        <f>IF(ISERROR(_xlfn.NUMBERVALUE(Employee_dataset[[#This Row],[Salary]])),FALSE,TRUE)</f>
        <v>1</v>
      </c>
      <c r="F840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840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841" spans="1:7" x14ac:dyDescent="0.3">
      <c r="A841" t="str">
        <f>Employee_dataset[[#This Row],[Employee_ID]]</f>
        <v>EMP1839</v>
      </c>
      <c r="B841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841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841" t="b">
        <f>_xlfn.LET(
     _xlpm.d, Employee_dataset[[#This Row],[Join_Date]],
     IF(
        ISNUMBER(_xlpm.d),TRUE,FALSE
       )
    )</f>
        <v>1</v>
      </c>
      <c r="E841" t="b">
        <f>IF(ISERROR(_xlfn.NUMBERVALUE(Employee_dataset[[#This Row],[Salary]])),FALSE,TRUE)</f>
        <v>1</v>
      </c>
      <c r="F841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841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842" spans="1:7" x14ac:dyDescent="0.3">
      <c r="A842" t="str">
        <f>Employee_dataset[[#This Row],[Employee_ID]]</f>
        <v>EMP1840</v>
      </c>
      <c r="B842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842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842" t="b">
        <f>_xlfn.LET(
     _xlpm.d, Employee_dataset[[#This Row],[Join_Date]],
     IF(
        ISNUMBER(_xlpm.d),TRUE,FALSE
       )
    )</f>
        <v>1</v>
      </c>
      <c r="E842" t="b">
        <f>IF(ISERROR(_xlfn.NUMBERVALUE(Employee_dataset[[#This Row],[Salary]])),FALSE,TRUE)</f>
        <v>1</v>
      </c>
      <c r="F842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842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843" spans="1:7" x14ac:dyDescent="0.3">
      <c r="A843" t="str">
        <f>Employee_dataset[[#This Row],[Employee_ID]]</f>
        <v>EMP1841</v>
      </c>
      <c r="B843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843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843" t="b">
        <f>_xlfn.LET(
     _xlpm.d, Employee_dataset[[#This Row],[Join_Date]],
     IF(
        ISNUMBER(_xlpm.d),TRUE,FALSE
       )
    )</f>
        <v>1</v>
      </c>
      <c r="E843" t="b">
        <f>IF(ISERROR(_xlfn.NUMBERVALUE(Employee_dataset[[#This Row],[Salary]])),FALSE,TRUE)</f>
        <v>1</v>
      </c>
      <c r="F843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843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844" spans="1:7" x14ac:dyDescent="0.3">
      <c r="A844" t="str">
        <f>Employee_dataset[[#This Row],[Employee_ID]]</f>
        <v>EMP1842</v>
      </c>
      <c r="B844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844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844" t="b">
        <f>_xlfn.LET(
     _xlpm.d, Employee_dataset[[#This Row],[Join_Date]],
     IF(
        ISNUMBER(_xlpm.d),TRUE,FALSE
       )
    )</f>
        <v>1</v>
      </c>
      <c r="E844" t="b">
        <f>IF(ISERROR(_xlfn.NUMBERVALUE(Employee_dataset[[#This Row],[Salary]])),FALSE,TRUE)</f>
        <v>1</v>
      </c>
      <c r="F844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844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845" spans="1:7" x14ac:dyDescent="0.3">
      <c r="A845" t="str">
        <f>Employee_dataset[[#This Row],[Employee_ID]]</f>
        <v>EMP1843</v>
      </c>
      <c r="B845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845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845" t="b">
        <f>_xlfn.LET(
     _xlpm.d, Employee_dataset[[#This Row],[Join_Date]],
     IF(
        ISNUMBER(_xlpm.d),TRUE,FALSE
       )
    )</f>
        <v>1</v>
      </c>
      <c r="E845" t="b">
        <f>IF(ISERROR(_xlfn.NUMBERVALUE(Employee_dataset[[#This Row],[Salary]])),FALSE,TRUE)</f>
        <v>1</v>
      </c>
      <c r="F845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845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846" spans="1:7" x14ac:dyDescent="0.3">
      <c r="A846" t="str">
        <f>Employee_dataset[[#This Row],[Employee_ID]]</f>
        <v>EMP1844</v>
      </c>
      <c r="B846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846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846" t="b">
        <f>_xlfn.LET(
     _xlpm.d, Employee_dataset[[#This Row],[Join_Date]],
     IF(
        ISNUMBER(_xlpm.d),TRUE,FALSE
       )
    )</f>
        <v>1</v>
      </c>
      <c r="E846" t="b">
        <f>IF(ISERROR(_xlfn.NUMBERVALUE(Employee_dataset[[#This Row],[Salary]])),FALSE,TRUE)</f>
        <v>1</v>
      </c>
      <c r="F846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846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847" spans="1:7" x14ac:dyDescent="0.3">
      <c r="A847" t="str">
        <f>Employee_dataset[[#This Row],[Employee_ID]]</f>
        <v>EMP1845</v>
      </c>
      <c r="B847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847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847" t="b">
        <f>_xlfn.LET(
     _xlpm.d, Employee_dataset[[#This Row],[Join_Date]],
     IF(
        ISNUMBER(_xlpm.d),TRUE,FALSE
       )
    )</f>
        <v>1</v>
      </c>
      <c r="E847" t="b">
        <f>IF(ISERROR(_xlfn.NUMBERVALUE(Employee_dataset[[#This Row],[Salary]])),FALSE,TRUE)</f>
        <v>1</v>
      </c>
      <c r="F847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847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848" spans="1:7" x14ac:dyDescent="0.3">
      <c r="A848" t="str">
        <f>Employee_dataset[[#This Row],[Employee_ID]]</f>
        <v>EMP1846</v>
      </c>
      <c r="B848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848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848" t="b">
        <f>_xlfn.LET(
     _xlpm.d, Employee_dataset[[#This Row],[Join_Date]],
     IF(
        ISNUMBER(_xlpm.d),TRUE,FALSE
       )
    )</f>
        <v>1</v>
      </c>
      <c r="E848" t="b">
        <f>IF(ISERROR(_xlfn.NUMBERVALUE(Employee_dataset[[#This Row],[Salary]])),FALSE,TRUE)</f>
        <v>1</v>
      </c>
      <c r="F848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848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849" spans="1:7" x14ac:dyDescent="0.3">
      <c r="A849" t="str">
        <f>Employee_dataset[[#This Row],[Employee_ID]]</f>
        <v>EMP1847</v>
      </c>
      <c r="B849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849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849" t="b">
        <f>_xlfn.LET(
     _xlpm.d, Employee_dataset[[#This Row],[Join_Date]],
     IF(
        ISNUMBER(_xlpm.d),TRUE,FALSE
       )
    )</f>
        <v>1</v>
      </c>
      <c r="E849" t="b">
        <f>IF(ISERROR(_xlfn.NUMBERVALUE(Employee_dataset[[#This Row],[Salary]])),FALSE,TRUE)</f>
        <v>1</v>
      </c>
      <c r="F849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849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850" spans="1:7" x14ac:dyDescent="0.3">
      <c r="A850" t="str">
        <f>Employee_dataset[[#This Row],[Employee_ID]]</f>
        <v>EMP1848</v>
      </c>
      <c r="B850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850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850" t="b">
        <f>_xlfn.LET(
     _xlpm.d, Employee_dataset[[#This Row],[Join_Date]],
     IF(
        ISNUMBER(_xlpm.d),TRUE,FALSE
       )
    )</f>
        <v>1</v>
      </c>
      <c r="E850" t="b">
        <f>IF(ISERROR(_xlfn.NUMBERVALUE(Employee_dataset[[#This Row],[Salary]])),FALSE,TRUE)</f>
        <v>1</v>
      </c>
      <c r="F850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850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851" spans="1:7" x14ac:dyDescent="0.3">
      <c r="A851" t="str">
        <f>Employee_dataset[[#This Row],[Employee_ID]]</f>
        <v>EMP1849</v>
      </c>
      <c r="B851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851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851" t="b">
        <f>_xlfn.LET(
     _xlpm.d, Employee_dataset[[#This Row],[Join_Date]],
     IF(
        ISNUMBER(_xlpm.d),TRUE,FALSE
       )
    )</f>
        <v>1</v>
      </c>
      <c r="E851" t="b">
        <f>IF(ISERROR(_xlfn.NUMBERVALUE(Employee_dataset[[#This Row],[Salary]])),FALSE,TRUE)</f>
        <v>1</v>
      </c>
      <c r="F851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851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852" spans="1:7" x14ac:dyDescent="0.3">
      <c r="A852" t="str">
        <f>Employee_dataset[[#This Row],[Employee_ID]]</f>
        <v>EMP1850</v>
      </c>
      <c r="B852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852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852" t="b">
        <f>_xlfn.LET(
     _xlpm.d, Employee_dataset[[#This Row],[Join_Date]],
     IF(
        ISNUMBER(_xlpm.d),TRUE,FALSE
       )
    )</f>
        <v>1</v>
      </c>
      <c r="E852" t="b">
        <f>IF(ISERROR(_xlfn.NUMBERVALUE(Employee_dataset[[#This Row],[Salary]])),FALSE,TRUE)</f>
        <v>1</v>
      </c>
      <c r="F852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852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853" spans="1:7" x14ac:dyDescent="0.3">
      <c r="A853" t="str">
        <f>Employee_dataset[[#This Row],[Employee_ID]]</f>
        <v>EMP1851</v>
      </c>
      <c r="B853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853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0</v>
      </c>
      <c r="D853" t="b">
        <f>_xlfn.LET(
     _xlpm.d, Employee_dataset[[#This Row],[Join_Date]],
     IF(
        ISNUMBER(_xlpm.d),TRUE,FALSE
       )
    )</f>
        <v>1</v>
      </c>
      <c r="E853" t="b">
        <f>IF(ISERROR(_xlfn.NUMBERVALUE(Employee_dataset[[#This Row],[Salary]])),FALSE,TRUE)</f>
        <v>1</v>
      </c>
      <c r="F853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>Phone</v>
      </c>
      <c r="G853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854" spans="1:7" x14ac:dyDescent="0.3">
      <c r="A854" t="str">
        <f>Employee_dataset[[#This Row],[Employee_ID]]</f>
        <v>EMP1852</v>
      </c>
      <c r="B854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854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854" t="b">
        <f>_xlfn.LET(
     _xlpm.d, Employee_dataset[[#This Row],[Join_Date]],
     IF(
        ISNUMBER(_xlpm.d),TRUE,FALSE
       )
    )</f>
        <v>1</v>
      </c>
      <c r="E854" t="b">
        <f>IF(ISERROR(_xlfn.NUMBERVALUE(Employee_dataset[[#This Row],[Salary]])),FALSE,TRUE)</f>
        <v>1</v>
      </c>
      <c r="F854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854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855" spans="1:7" x14ac:dyDescent="0.3">
      <c r="A855" t="str">
        <f>Employee_dataset[[#This Row],[Employee_ID]]</f>
        <v>EMP1853</v>
      </c>
      <c r="B855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855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855" t="b">
        <f>_xlfn.LET(
     _xlpm.d, Employee_dataset[[#This Row],[Join_Date]],
     IF(
        ISNUMBER(_xlpm.d),TRUE,FALSE
       )
    )</f>
        <v>1</v>
      </c>
      <c r="E855" t="b">
        <f>IF(ISERROR(_xlfn.NUMBERVALUE(Employee_dataset[[#This Row],[Salary]])),FALSE,TRUE)</f>
        <v>1</v>
      </c>
      <c r="F855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855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856" spans="1:7" x14ac:dyDescent="0.3">
      <c r="A856" t="str">
        <f>Employee_dataset[[#This Row],[Employee_ID]]</f>
        <v>EMP1854</v>
      </c>
      <c r="B856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856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856" t="b">
        <f>_xlfn.LET(
     _xlpm.d, Employee_dataset[[#This Row],[Join_Date]],
     IF(
        ISNUMBER(_xlpm.d),TRUE,FALSE
       )
    )</f>
        <v>1</v>
      </c>
      <c r="E856" t="b">
        <f>IF(ISERROR(_xlfn.NUMBERVALUE(Employee_dataset[[#This Row],[Salary]])),FALSE,TRUE)</f>
        <v>1</v>
      </c>
      <c r="F856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856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857" spans="1:7" x14ac:dyDescent="0.3">
      <c r="A857" t="str">
        <f>Employee_dataset[[#This Row],[Employee_ID]]</f>
        <v>EMP1855</v>
      </c>
      <c r="B857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857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857" t="b">
        <f>_xlfn.LET(
     _xlpm.d, Employee_dataset[[#This Row],[Join_Date]],
     IF(
        ISNUMBER(_xlpm.d),TRUE,FALSE
       )
    )</f>
        <v>1</v>
      </c>
      <c r="E857" t="b">
        <f>IF(ISERROR(_xlfn.NUMBERVALUE(Employee_dataset[[#This Row],[Salary]])),FALSE,TRUE)</f>
        <v>1</v>
      </c>
      <c r="F857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857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858" spans="1:7" x14ac:dyDescent="0.3">
      <c r="A858" t="str">
        <f>Employee_dataset[[#This Row],[Employee_ID]]</f>
        <v>EMP1856</v>
      </c>
      <c r="B858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858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858" t="b">
        <f>_xlfn.LET(
     _xlpm.d, Employee_dataset[[#This Row],[Join_Date]],
     IF(
        ISNUMBER(_xlpm.d),TRUE,FALSE
       )
    )</f>
        <v>1</v>
      </c>
      <c r="E858" t="b">
        <f>IF(ISERROR(_xlfn.NUMBERVALUE(Employee_dataset[[#This Row],[Salary]])),FALSE,TRUE)</f>
        <v>1</v>
      </c>
      <c r="F858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858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859" spans="1:7" x14ac:dyDescent="0.3">
      <c r="A859" t="str">
        <f>Employee_dataset[[#This Row],[Employee_ID]]</f>
        <v>EMP1857</v>
      </c>
      <c r="B859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859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0</v>
      </c>
      <c r="D859" t="b">
        <f>_xlfn.LET(
     _xlpm.d, Employee_dataset[[#This Row],[Join_Date]],
     IF(
        ISNUMBER(_xlpm.d),TRUE,FALSE
       )
    )</f>
        <v>1</v>
      </c>
      <c r="E859" t="b">
        <f>IF(ISERROR(_xlfn.NUMBERVALUE(Employee_dataset[[#This Row],[Salary]])),FALSE,TRUE)</f>
        <v>1</v>
      </c>
      <c r="F859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>Phone</v>
      </c>
      <c r="G859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860" spans="1:7" x14ac:dyDescent="0.3">
      <c r="A860" t="str">
        <f>Employee_dataset[[#This Row],[Employee_ID]]</f>
        <v>EMP1858</v>
      </c>
      <c r="B860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860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860" t="b">
        <f>_xlfn.LET(
     _xlpm.d, Employee_dataset[[#This Row],[Join_Date]],
     IF(
        ISNUMBER(_xlpm.d),TRUE,FALSE
       )
    )</f>
        <v>1</v>
      </c>
      <c r="E860" t="b">
        <f>IF(ISERROR(_xlfn.NUMBERVALUE(Employee_dataset[[#This Row],[Salary]])),FALSE,TRUE)</f>
        <v>1</v>
      </c>
      <c r="F860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860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861" spans="1:7" x14ac:dyDescent="0.3">
      <c r="A861" t="str">
        <f>Employee_dataset[[#This Row],[Employee_ID]]</f>
        <v>EMP1859</v>
      </c>
      <c r="B861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861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861" t="b">
        <f>_xlfn.LET(
     _xlpm.d, Employee_dataset[[#This Row],[Join_Date]],
     IF(
        ISNUMBER(_xlpm.d),TRUE,FALSE
       )
    )</f>
        <v>1</v>
      </c>
      <c r="E861" t="b">
        <f>IF(ISERROR(_xlfn.NUMBERVALUE(Employee_dataset[[#This Row],[Salary]])),FALSE,TRUE)</f>
        <v>1</v>
      </c>
      <c r="F861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861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862" spans="1:7" x14ac:dyDescent="0.3">
      <c r="A862" t="str">
        <f>Employee_dataset[[#This Row],[Employee_ID]]</f>
        <v>EMP1860</v>
      </c>
      <c r="B862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862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0</v>
      </c>
      <c r="D862" t="b">
        <f>_xlfn.LET(
     _xlpm.d, Employee_dataset[[#This Row],[Join_Date]],
     IF(
        ISNUMBER(_xlpm.d),TRUE,FALSE
       )
    )</f>
        <v>1</v>
      </c>
      <c r="E862" t="b">
        <f>IF(ISERROR(_xlfn.NUMBERVALUE(Employee_dataset[[#This Row],[Salary]])),FALSE,TRUE)</f>
        <v>1</v>
      </c>
      <c r="F862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>Phone</v>
      </c>
      <c r="G862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863" spans="1:7" x14ac:dyDescent="0.3">
      <c r="A863" t="str">
        <f>Employee_dataset[[#This Row],[Employee_ID]]</f>
        <v>EMP1861</v>
      </c>
      <c r="B863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863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863" t="b">
        <f>_xlfn.LET(
     _xlpm.d, Employee_dataset[[#This Row],[Join_Date]],
     IF(
        ISNUMBER(_xlpm.d),TRUE,FALSE
       )
    )</f>
        <v>1</v>
      </c>
      <c r="E863" t="b">
        <f>IF(ISERROR(_xlfn.NUMBERVALUE(Employee_dataset[[#This Row],[Salary]])),FALSE,TRUE)</f>
        <v>1</v>
      </c>
      <c r="F863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863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864" spans="1:7" x14ac:dyDescent="0.3">
      <c r="A864" t="str">
        <f>Employee_dataset[[#This Row],[Employee_ID]]</f>
        <v>EMP1862</v>
      </c>
      <c r="B864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864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864" t="b">
        <f>_xlfn.LET(
     _xlpm.d, Employee_dataset[[#This Row],[Join_Date]],
     IF(
        ISNUMBER(_xlpm.d),TRUE,FALSE
       )
    )</f>
        <v>1</v>
      </c>
      <c r="E864" t="b">
        <f>IF(ISERROR(_xlfn.NUMBERVALUE(Employee_dataset[[#This Row],[Salary]])),FALSE,TRUE)</f>
        <v>1</v>
      </c>
      <c r="F864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864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865" spans="1:7" x14ac:dyDescent="0.3">
      <c r="A865" t="str">
        <f>Employee_dataset[[#This Row],[Employee_ID]]</f>
        <v>EMP1863</v>
      </c>
      <c r="B865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865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865" t="b">
        <f>_xlfn.LET(
     _xlpm.d, Employee_dataset[[#This Row],[Join_Date]],
     IF(
        ISNUMBER(_xlpm.d),TRUE,FALSE
       )
    )</f>
        <v>1</v>
      </c>
      <c r="E865" t="b">
        <f>IF(ISERROR(_xlfn.NUMBERVALUE(Employee_dataset[[#This Row],[Salary]])),FALSE,TRUE)</f>
        <v>1</v>
      </c>
      <c r="F865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865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866" spans="1:7" x14ac:dyDescent="0.3">
      <c r="A866" t="str">
        <f>Employee_dataset[[#This Row],[Employee_ID]]</f>
        <v>EMP1864</v>
      </c>
      <c r="B866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866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866" t="b">
        <f>_xlfn.LET(
     _xlpm.d, Employee_dataset[[#This Row],[Join_Date]],
     IF(
        ISNUMBER(_xlpm.d),TRUE,FALSE
       )
    )</f>
        <v>1</v>
      </c>
      <c r="E866" t="b">
        <f>IF(ISERROR(_xlfn.NUMBERVALUE(Employee_dataset[[#This Row],[Salary]])),FALSE,TRUE)</f>
        <v>1</v>
      </c>
      <c r="F866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866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867" spans="1:7" x14ac:dyDescent="0.3">
      <c r="A867" t="str">
        <f>Employee_dataset[[#This Row],[Employee_ID]]</f>
        <v>EMP1865</v>
      </c>
      <c r="B867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867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867" t="b">
        <f>_xlfn.LET(
     _xlpm.d, Employee_dataset[[#This Row],[Join_Date]],
     IF(
        ISNUMBER(_xlpm.d),TRUE,FALSE
       )
    )</f>
        <v>1</v>
      </c>
      <c r="E867" t="b">
        <f>IF(ISERROR(_xlfn.NUMBERVALUE(Employee_dataset[[#This Row],[Salary]])),FALSE,TRUE)</f>
        <v>1</v>
      </c>
      <c r="F867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867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868" spans="1:7" x14ac:dyDescent="0.3">
      <c r="A868" t="str">
        <f>Employee_dataset[[#This Row],[Employee_ID]]</f>
        <v>EMP1866</v>
      </c>
      <c r="B868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868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868" t="b">
        <f>_xlfn.LET(
     _xlpm.d, Employee_dataset[[#This Row],[Join_Date]],
     IF(
        ISNUMBER(_xlpm.d),TRUE,FALSE
       )
    )</f>
        <v>1</v>
      </c>
      <c r="E868" t="b">
        <f>IF(ISERROR(_xlfn.NUMBERVALUE(Employee_dataset[[#This Row],[Salary]])),FALSE,TRUE)</f>
        <v>1</v>
      </c>
      <c r="F868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868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869" spans="1:7" x14ac:dyDescent="0.3">
      <c r="A869" t="str">
        <f>Employee_dataset[[#This Row],[Employee_ID]]</f>
        <v>EMP1867</v>
      </c>
      <c r="B869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869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869" t="b">
        <f>_xlfn.LET(
     _xlpm.d, Employee_dataset[[#This Row],[Join_Date]],
     IF(
        ISNUMBER(_xlpm.d),TRUE,FALSE
       )
    )</f>
        <v>1</v>
      </c>
      <c r="E869" t="b">
        <f>IF(ISERROR(_xlfn.NUMBERVALUE(Employee_dataset[[#This Row],[Salary]])),FALSE,TRUE)</f>
        <v>1</v>
      </c>
      <c r="F869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869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870" spans="1:7" x14ac:dyDescent="0.3">
      <c r="A870" t="str">
        <f>Employee_dataset[[#This Row],[Employee_ID]]</f>
        <v>EMP1868</v>
      </c>
      <c r="B870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870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870" t="b">
        <f>_xlfn.LET(
     _xlpm.d, Employee_dataset[[#This Row],[Join_Date]],
     IF(
        ISNUMBER(_xlpm.d),TRUE,FALSE
       )
    )</f>
        <v>1</v>
      </c>
      <c r="E870" t="b">
        <f>IF(ISERROR(_xlfn.NUMBERVALUE(Employee_dataset[[#This Row],[Salary]])),FALSE,TRUE)</f>
        <v>1</v>
      </c>
      <c r="F870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870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871" spans="1:7" x14ac:dyDescent="0.3">
      <c r="A871" t="str">
        <f>Employee_dataset[[#This Row],[Employee_ID]]</f>
        <v>EMP1869</v>
      </c>
      <c r="B871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871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871" t="b">
        <f>_xlfn.LET(
     _xlpm.d, Employee_dataset[[#This Row],[Join_Date]],
     IF(
        ISNUMBER(_xlpm.d),TRUE,FALSE
       )
    )</f>
        <v>1</v>
      </c>
      <c r="E871" t="b">
        <f>IF(ISERROR(_xlfn.NUMBERVALUE(Employee_dataset[[#This Row],[Salary]])),FALSE,TRUE)</f>
        <v>1</v>
      </c>
      <c r="F871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871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872" spans="1:7" x14ac:dyDescent="0.3">
      <c r="A872" t="str">
        <f>Employee_dataset[[#This Row],[Employee_ID]]</f>
        <v>EMP1870</v>
      </c>
      <c r="B872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872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872" t="b">
        <f>_xlfn.LET(
     _xlpm.d, Employee_dataset[[#This Row],[Join_Date]],
     IF(
        ISNUMBER(_xlpm.d),TRUE,FALSE
       )
    )</f>
        <v>1</v>
      </c>
      <c r="E872" t="b">
        <f>IF(ISERROR(_xlfn.NUMBERVALUE(Employee_dataset[[#This Row],[Salary]])),FALSE,TRUE)</f>
        <v>1</v>
      </c>
      <c r="F872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872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873" spans="1:7" x14ac:dyDescent="0.3">
      <c r="A873" t="str">
        <f>Employee_dataset[[#This Row],[Employee_ID]]</f>
        <v>EMP1871</v>
      </c>
      <c r="B873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873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0</v>
      </c>
      <c r="D873" t="b">
        <f>_xlfn.LET(
     _xlpm.d, Employee_dataset[[#This Row],[Join_Date]],
     IF(
        ISNUMBER(_xlpm.d),TRUE,FALSE
       )
    )</f>
        <v>1</v>
      </c>
      <c r="E873" t="b">
        <f>IF(ISERROR(_xlfn.NUMBERVALUE(Employee_dataset[[#This Row],[Salary]])),FALSE,TRUE)</f>
        <v>1</v>
      </c>
      <c r="F873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>Phone</v>
      </c>
      <c r="G873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874" spans="1:7" x14ac:dyDescent="0.3">
      <c r="A874" t="str">
        <f>Employee_dataset[[#This Row],[Employee_ID]]</f>
        <v>EMP1872</v>
      </c>
      <c r="B874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874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874" t="b">
        <f>_xlfn.LET(
     _xlpm.d, Employee_dataset[[#This Row],[Join_Date]],
     IF(
        ISNUMBER(_xlpm.d),TRUE,FALSE
       )
    )</f>
        <v>1</v>
      </c>
      <c r="E874" t="b">
        <f>IF(ISERROR(_xlfn.NUMBERVALUE(Employee_dataset[[#This Row],[Salary]])),FALSE,TRUE)</f>
        <v>1</v>
      </c>
      <c r="F874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874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875" spans="1:7" x14ac:dyDescent="0.3">
      <c r="A875" t="str">
        <f>Employee_dataset[[#This Row],[Employee_ID]]</f>
        <v>EMP1873</v>
      </c>
      <c r="B875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875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875" t="b">
        <f>_xlfn.LET(
     _xlpm.d, Employee_dataset[[#This Row],[Join_Date]],
     IF(
        ISNUMBER(_xlpm.d),TRUE,FALSE
       )
    )</f>
        <v>1</v>
      </c>
      <c r="E875" t="b">
        <f>IF(ISERROR(_xlfn.NUMBERVALUE(Employee_dataset[[#This Row],[Salary]])),FALSE,TRUE)</f>
        <v>1</v>
      </c>
      <c r="F875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875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876" spans="1:7" x14ac:dyDescent="0.3">
      <c r="A876" t="str">
        <f>Employee_dataset[[#This Row],[Employee_ID]]</f>
        <v>EMP1874</v>
      </c>
      <c r="B876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876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876" t="b">
        <f>_xlfn.LET(
     _xlpm.d, Employee_dataset[[#This Row],[Join_Date]],
     IF(
        ISNUMBER(_xlpm.d),TRUE,FALSE
       )
    )</f>
        <v>1</v>
      </c>
      <c r="E876" t="b">
        <f>IF(ISERROR(_xlfn.NUMBERVALUE(Employee_dataset[[#This Row],[Salary]])),FALSE,TRUE)</f>
        <v>1</v>
      </c>
      <c r="F876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876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877" spans="1:7" x14ac:dyDescent="0.3">
      <c r="A877" t="str">
        <f>Employee_dataset[[#This Row],[Employee_ID]]</f>
        <v>EMP1875</v>
      </c>
      <c r="B877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877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0</v>
      </c>
      <c r="D877" t="b">
        <f>_xlfn.LET(
     _xlpm.d, Employee_dataset[[#This Row],[Join_Date]],
     IF(
        ISNUMBER(_xlpm.d),TRUE,FALSE
       )
    )</f>
        <v>1</v>
      </c>
      <c r="E877" t="b">
        <f>IF(ISERROR(_xlfn.NUMBERVALUE(Employee_dataset[[#This Row],[Salary]])),FALSE,TRUE)</f>
        <v>1</v>
      </c>
      <c r="F877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>Phone</v>
      </c>
      <c r="G877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878" spans="1:7" x14ac:dyDescent="0.3">
      <c r="A878" t="str">
        <f>Employee_dataset[[#This Row],[Employee_ID]]</f>
        <v>EMP1876</v>
      </c>
      <c r="B878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878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878" t="b">
        <f>_xlfn.LET(
     _xlpm.d, Employee_dataset[[#This Row],[Join_Date]],
     IF(
        ISNUMBER(_xlpm.d),TRUE,FALSE
       )
    )</f>
        <v>1</v>
      </c>
      <c r="E878" t="b">
        <f>IF(ISERROR(_xlfn.NUMBERVALUE(Employee_dataset[[#This Row],[Salary]])),FALSE,TRUE)</f>
        <v>0</v>
      </c>
      <c r="F878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>Salary</v>
      </c>
      <c r="G878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879" spans="1:7" x14ac:dyDescent="0.3">
      <c r="A879" t="str">
        <f>Employee_dataset[[#This Row],[Employee_ID]]</f>
        <v>EMP1877</v>
      </c>
      <c r="B879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879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879" t="b">
        <f>_xlfn.LET(
     _xlpm.d, Employee_dataset[[#This Row],[Join_Date]],
     IF(
        ISNUMBER(_xlpm.d),TRUE,FALSE
       )
    )</f>
        <v>1</v>
      </c>
      <c r="E879" t="b">
        <f>IF(ISERROR(_xlfn.NUMBERVALUE(Employee_dataset[[#This Row],[Salary]])),FALSE,TRUE)</f>
        <v>1</v>
      </c>
      <c r="F879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879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880" spans="1:7" x14ac:dyDescent="0.3">
      <c r="A880" t="str">
        <f>Employee_dataset[[#This Row],[Employee_ID]]</f>
        <v>EMP1878</v>
      </c>
      <c r="B880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880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880" t="b">
        <f>_xlfn.LET(
     _xlpm.d, Employee_dataset[[#This Row],[Join_Date]],
     IF(
        ISNUMBER(_xlpm.d),TRUE,FALSE
       )
    )</f>
        <v>1</v>
      </c>
      <c r="E880" t="b">
        <f>IF(ISERROR(_xlfn.NUMBERVALUE(Employee_dataset[[#This Row],[Salary]])),FALSE,TRUE)</f>
        <v>1</v>
      </c>
      <c r="F880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880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881" spans="1:7" x14ac:dyDescent="0.3">
      <c r="A881" t="str">
        <f>Employee_dataset[[#This Row],[Employee_ID]]</f>
        <v>EMP1879</v>
      </c>
      <c r="B881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881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881" t="b">
        <f>_xlfn.LET(
     _xlpm.d, Employee_dataset[[#This Row],[Join_Date]],
     IF(
        ISNUMBER(_xlpm.d),TRUE,FALSE
       )
    )</f>
        <v>1</v>
      </c>
      <c r="E881" t="b">
        <f>IF(ISERROR(_xlfn.NUMBERVALUE(Employee_dataset[[#This Row],[Salary]])),FALSE,TRUE)</f>
        <v>1</v>
      </c>
      <c r="F881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881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882" spans="1:7" x14ac:dyDescent="0.3">
      <c r="A882" t="str">
        <f>Employee_dataset[[#This Row],[Employee_ID]]</f>
        <v>EMP1880</v>
      </c>
      <c r="B882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882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882" t="b">
        <f>_xlfn.LET(
     _xlpm.d, Employee_dataset[[#This Row],[Join_Date]],
     IF(
        ISNUMBER(_xlpm.d),TRUE,FALSE
       )
    )</f>
        <v>1</v>
      </c>
      <c r="E882" t="b">
        <f>IF(ISERROR(_xlfn.NUMBERVALUE(Employee_dataset[[#This Row],[Salary]])),FALSE,TRUE)</f>
        <v>1</v>
      </c>
      <c r="F882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882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883" spans="1:7" x14ac:dyDescent="0.3">
      <c r="A883" t="str">
        <f>Employee_dataset[[#This Row],[Employee_ID]]</f>
        <v>EMP1881</v>
      </c>
      <c r="B883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883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883" t="b">
        <f>_xlfn.LET(
     _xlpm.d, Employee_dataset[[#This Row],[Join_Date]],
     IF(
        ISNUMBER(_xlpm.d),TRUE,FALSE
       )
    )</f>
        <v>1</v>
      </c>
      <c r="E883" t="b">
        <f>IF(ISERROR(_xlfn.NUMBERVALUE(Employee_dataset[[#This Row],[Salary]])),FALSE,TRUE)</f>
        <v>1</v>
      </c>
      <c r="F883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883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884" spans="1:7" x14ac:dyDescent="0.3">
      <c r="A884" t="str">
        <f>Employee_dataset[[#This Row],[Employee_ID]]</f>
        <v>EMP1882</v>
      </c>
      <c r="B884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884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884" t="b">
        <f>_xlfn.LET(
     _xlpm.d, Employee_dataset[[#This Row],[Join_Date]],
     IF(
        ISNUMBER(_xlpm.d),TRUE,FALSE
       )
    )</f>
        <v>1</v>
      </c>
      <c r="E884" t="b">
        <f>IF(ISERROR(_xlfn.NUMBERVALUE(Employee_dataset[[#This Row],[Salary]])),FALSE,TRUE)</f>
        <v>1</v>
      </c>
      <c r="F884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884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885" spans="1:7" x14ac:dyDescent="0.3">
      <c r="A885" t="str">
        <f>Employee_dataset[[#This Row],[Employee_ID]]</f>
        <v>EMP1883</v>
      </c>
      <c r="B885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885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885" t="b">
        <f>_xlfn.LET(
     _xlpm.d, Employee_dataset[[#This Row],[Join_Date]],
     IF(
        ISNUMBER(_xlpm.d),TRUE,FALSE
       )
    )</f>
        <v>1</v>
      </c>
      <c r="E885" t="b">
        <f>IF(ISERROR(_xlfn.NUMBERVALUE(Employee_dataset[[#This Row],[Salary]])),FALSE,TRUE)</f>
        <v>1</v>
      </c>
      <c r="F885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885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886" spans="1:7" x14ac:dyDescent="0.3">
      <c r="A886" t="str">
        <f>Employee_dataset[[#This Row],[Employee_ID]]</f>
        <v>EMP1884</v>
      </c>
      <c r="B886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886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886" t="b">
        <f>_xlfn.LET(
     _xlpm.d, Employee_dataset[[#This Row],[Join_Date]],
     IF(
        ISNUMBER(_xlpm.d),TRUE,FALSE
       )
    )</f>
        <v>1</v>
      </c>
      <c r="E886" t="b">
        <f>IF(ISERROR(_xlfn.NUMBERVALUE(Employee_dataset[[#This Row],[Salary]])),FALSE,TRUE)</f>
        <v>1</v>
      </c>
      <c r="F886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886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887" spans="1:7" x14ac:dyDescent="0.3">
      <c r="A887" t="str">
        <f>Employee_dataset[[#This Row],[Employee_ID]]</f>
        <v>EMP1885</v>
      </c>
      <c r="B887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887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887" t="b">
        <f>_xlfn.LET(
     _xlpm.d, Employee_dataset[[#This Row],[Join_Date]],
     IF(
        ISNUMBER(_xlpm.d),TRUE,FALSE
       )
    )</f>
        <v>1</v>
      </c>
      <c r="E887" t="b">
        <f>IF(ISERROR(_xlfn.NUMBERVALUE(Employee_dataset[[#This Row],[Salary]])),FALSE,TRUE)</f>
        <v>1</v>
      </c>
      <c r="F887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887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888" spans="1:7" x14ac:dyDescent="0.3">
      <c r="A888" t="str">
        <f>Employee_dataset[[#This Row],[Employee_ID]]</f>
        <v>EMP1886</v>
      </c>
      <c r="B888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888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888" t="b">
        <f>_xlfn.LET(
     _xlpm.d, Employee_dataset[[#This Row],[Join_Date]],
     IF(
        ISNUMBER(_xlpm.d),TRUE,FALSE
       )
    )</f>
        <v>1</v>
      </c>
      <c r="E888" t="b">
        <f>IF(ISERROR(_xlfn.NUMBERVALUE(Employee_dataset[[#This Row],[Salary]])),FALSE,TRUE)</f>
        <v>1</v>
      </c>
      <c r="F888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888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889" spans="1:7" x14ac:dyDescent="0.3">
      <c r="A889" t="str">
        <f>Employee_dataset[[#This Row],[Employee_ID]]</f>
        <v>EMP1887</v>
      </c>
      <c r="B889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889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889" t="b">
        <f>_xlfn.LET(
     _xlpm.d, Employee_dataset[[#This Row],[Join_Date]],
     IF(
        ISNUMBER(_xlpm.d),TRUE,FALSE
       )
    )</f>
        <v>1</v>
      </c>
      <c r="E889" t="b">
        <f>IF(ISERROR(_xlfn.NUMBERVALUE(Employee_dataset[[#This Row],[Salary]])),FALSE,TRUE)</f>
        <v>1</v>
      </c>
      <c r="F889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889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890" spans="1:7" x14ac:dyDescent="0.3">
      <c r="A890" t="str">
        <f>Employee_dataset[[#This Row],[Employee_ID]]</f>
        <v>EMP1888</v>
      </c>
      <c r="B890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890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890" t="b">
        <f>_xlfn.LET(
     _xlpm.d, Employee_dataset[[#This Row],[Join_Date]],
     IF(
        ISNUMBER(_xlpm.d),TRUE,FALSE
       )
    )</f>
        <v>1</v>
      </c>
      <c r="E890" t="b">
        <f>IF(ISERROR(_xlfn.NUMBERVALUE(Employee_dataset[[#This Row],[Salary]])),FALSE,TRUE)</f>
        <v>1</v>
      </c>
      <c r="F890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890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891" spans="1:7" x14ac:dyDescent="0.3">
      <c r="A891" t="str">
        <f>Employee_dataset[[#This Row],[Employee_ID]]</f>
        <v>EMP1889</v>
      </c>
      <c r="B891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891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891" t="b">
        <f>_xlfn.LET(
     _xlpm.d, Employee_dataset[[#This Row],[Join_Date]],
     IF(
        ISNUMBER(_xlpm.d),TRUE,FALSE
       )
    )</f>
        <v>1</v>
      </c>
      <c r="E891" t="b">
        <f>IF(ISERROR(_xlfn.NUMBERVALUE(Employee_dataset[[#This Row],[Salary]])),FALSE,TRUE)</f>
        <v>1</v>
      </c>
      <c r="F891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891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892" spans="1:7" x14ac:dyDescent="0.3">
      <c r="A892" t="str">
        <f>Employee_dataset[[#This Row],[Employee_ID]]</f>
        <v>EMP1890</v>
      </c>
      <c r="B892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892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892" t="b">
        <f>_xlfn.LET(
     _xlpm.d, Employee_dataset[[#This Row],[Join_Date]],
     IF(
        ISNUMBER(_xlpm.d),TRUE,FALSE
       )
    )</f>
        <v>1</v>
      </c>
      <c r="E892" t="b">
        <f>IF(ISERROR(_xlfn.NUMBERVALUE(Employee_dataset[[#This Row],[Salary]])),FALSE,TRUE)</f>
        <v>1</v>
      </c>
      <c r="F892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892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893" spans="1:7" x14ac:dyDescent="0.3">
      <c r="A893" t="str">
        <f>Employee_dataset[[#This Row],[Employee_ID]]</f>
        <v>EMP1891</v>
      </c>
      <c r="B893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893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893" t="b">
        <f>_xlfn.LET(
     _xlpm.d, Employee_dataset[[#This Row],[Join_Date]],
     IF(
        ISNUMBER(_xlpm.d),TRUE,FALSE
       )
    )</f>
        <v>1</v>
      </c>
      <c r="E893" t="b">
        <f>IF(ISERROR(_xlfn.NUMBERVALUE(Employee_dataset[[#This Row],[Salary]])),FALSE,TRUE)</f>
        <v>1</v>
      </c>
      <c r="F893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893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894" spans="1:7" x14ac:dyDescent="0.3">
      <c r="A894" t="str">
        <f>Employee_dataset[[#This Row],[Employee_ID]]</f>
        <v>EMP1892</v>
      </c>
      <c r="B894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894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894" t="b">
        <f>_xlfn.LET(
     _xlpm.d, Employee_dataset[[#This Row],[Join_Date]],
     IF(
        ISNUMBER(_xlpm.d),TRUE,FALSE
       )
    )</f>
        <v>1</v>
      </c>
      <c r="E894" t="b">
        <f>IF(ISERROR(_xlfn.NUMBERVALUE(Employee_dataset[[#This Row],[Salary]])),FALSE,TRUE)</f>
        <v>1</v>
      </c>
      <c r="F894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894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895" spans="1:7" x14ac:dyDescent="0.3">
      <c r="A895" t="str">
        <f>Employee_dataset[[#This Row],[Employee_ID]]</f>
        <v>EMP1893</v>
      </c>
      <c r="B895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895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895" t="b">
        <f>_xlfn.LET(
     _xlpm.d, Employee_dataset[[#This Row],[Join_Date]],
     IF(
        ISNUMBER(_xlpm.d),TRUE,FALSE
       )
    )</f>
        <v>1</v>
      </c>
      <c r="E895" t="b">
        <f>IF(ISERROR(_xlfn.NUMBERVALUE(Employee_dataset[[#This Row],[Salary]])),FALSE,TRUE)</f>
        <v>1</v>
      </c>
      <c r="F895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895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896" spans="1:7" x14ac:dyDescent="0.3">
      <c r="A896" t="str">
        <f>Employee_dataset[[#This Row],[Employee_ID]]</f>
        <v>EMP1894</v>
      </c>
      <c r="B896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896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896" t="b">
        <f>_xlfn.LET(
     _xlpm.d, Employee_dataset[[#This Row],[Join_Date]],
     IF(
        ISNUMBER(_xlpm.d),TRUE,FALSE
       )
    )</f>
        <v>1</v>
      </c>
      <c r="E896" t="b">
        <f>IF(ISERROR(_xlfn.NUMBERVALUE(Employee_dataset[[#This Row],[Salary]])),FALSE,TRUE)</f>
        <v>1</v>
      </c>
      <c r="F896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896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897" spans="1:7" x14ac:dyDescent="0.3">
      <c r="A897" t="str">
        <f>Employee_dataset[[#This Row],[Employee_ID]]</f>
        <v>EMP1895</v>
      </c>
      <c r="B897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897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897" t="b">
        <f>_xlfn.LET(
     _xlpm.d, Employee_dataset[[#This Row],[Join_Date]],
     IF(
        ISNUMBER(_xlpm.d),TRUE,FALSE
       )
    )</f>
        <v>1</v>
      </c>
      <c r="E897" t="b">
        <f>IF(ISERROR(_xlfn.NUMBERVALUE(Employee_dataset[[#This Row],[Salary]])),FALSE,TRUE)</f>
        <v>1</v>
      </c>
      <c r="F897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897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898" spans="1:7" x14ac:dyDescent="0.3">
      <c r="A898" t="str">
        <f>Employee_dataset[[#This Row],[Employee_ID]]</f>
        <v>EMP1896</v>
      </c>
      <c r="B898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898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898" t="b">
        <f>_xlfn.LET(
     _xlpm.d, Employee_dataset[[#This Row],[Join_Date]],
     IF(
        ISNUMBER(_xlpm.d),TRUE,FALSE
       )
    )</f>
        <v>1</v>
      </c>
      <c r="E898" t="b">
        <f>IF(ISERROR(_xlfn.NUMBERVALUE(Employee_dataset[[#This Row],[Salary]])),FALSE,TRUE)</f>
        <v>1</v>
      </c>
      <c r="F898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898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899" spans="1:7" x14ac:dyDescent="0.3">
      <c r="A899" t="str">
        <f>Employee_dataset[[#This Row],[Employee_ID]]</f>
        <v>EMP1897</v>
      </c>
      <c r="B899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899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899" t="b">
        <f>_xlfn.LET(
     _xlpm.d, Employee_dataset[[#This Row],[Join_Date]],
     IF(
        ISNUMBER(_xlpm.d),TRUE,FALSE
       )
    )</f>
        <v>1</v>
      </c>
      <c r="E899" t="b">
        <f>IF(ISERROR(_xlfn.NUMBERVALUE(Employee_dataset[[#This Row],[Salary]])),FALSE,TRUE)</f>
        <v>1</v>
      </c>
      <c r="F899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899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900" spans="1:7" x14ac:dyDescent="0.3">
      <c r="A900" t="str">
        <f>Employee_dataset[[#This Row],[Employee_ID]]</f>
        <v>EMP1898</v>
      </c>
      <c r="B900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900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900" t="b">
        <f>_xlfn.LET(
     _xlpm.d, Employee_dataset[[#This Row],[Join_Date]],
     IF(
        ISNUMBER(_xlpm.d),TRUE,FALSE
       )
    )</f>
        <v>1</v>
      </c>
      <c r="E900" t="b">
        <f>IF(ISERROR(_xlfn.NUMBERVALUE(Employee_dataset[[#This Row],[Salary]])),FALSE,TRUE)</f>
        <v>1</v>
      </c>
      <c r="F900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900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901" spans="1:7" x14ac:dyDescent="0.3">
      <c r="A901" t="str">
        <f>Employee_dataset[[#This Row],[Employee_ID]]</f>
        <v>EMP1899</v>
      </c>
      <c r="B901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901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901" t="b">
        <f>_xlfn.LET(
     _xlpm.d, Employee_dataset[[#This Row],[Join_Date]],
     IF(
        ISNUMBER(_xlpm.d),TRUE,FALSE
       )
    )</f>
        <v>1</v>
      </c>
      <c r="E901" t="b">
        <f>IF(ISERROR(_xlfn.NUMBERVALUE(Employee_dataset[[#This Row],[Salary]])),FALSE,TRUE)</f>
        <v>0</v>
      </c>
      <c r="F901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>Salary</v>
      </c>
      <c r="G901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902" spans="1:7" x14ac:dyDescent="0.3">
      <c r="A902" t="str">
        <f>Employee_dataset[[#This Row],[Employee_ID]]</f>
        <v>EMP1900</v>
      </c>
      <c r="B902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902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902" t="b">
        <f>_xlfn.LET(
     _xlpm.d, Employee_dataset[[#This Row],[Join_Date]],
     IF(
        ISNUMBER(_xlpm.d),TRUE,FALSE
       )
    )</f>
        <v>1</v>
      </c>
      <c r="E902" t="b">
        <f>IF(ISERROR(_xlfn.NUMBERVALUE(Employee_dataset[[#This Row],[Salary]])),FALSE,TRUE)</f>
        <v>1</v>
      </c>
      <c r="F902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902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903" spans="1:7" x14ac:dyDescent="0.3">
      <c r="A903" t="str">
        <f>Employee_dataset[[#This Row],[Employee_ID]]</f>
        <v>EMP1901</v>
      </c>
      <c r="B903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903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903" t="b">
        <f>_xlfn.LET(
     _xlpm.d, Employee_dataset[[#This Row],[Join_Date]],
     IF(
        ISNUMBER(_xlpm.d),TRUE,FALSE
       )
    )</f>
        <v>1</v>
      </c>
      <c r="E903" t="b">
        <f>IF(ISERROR(_xlfn.NUMBERVALUE(Employee_dataset[[#This Row],[Salary]])),FALSE,TRUE)</f>
        <v>1</v>
      </c>
      <c r="F903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903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904" spans="1:7" x14ac:dyDescent="0.3">
      <c r="A904" t="str">
        <f>Employee_dataset[[#This Row],[Employee_ID]]</f>
        <v>EMP1902</v>
      </c>
      <c r="B904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904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904" t="b">
        <f>_xlfn.LET(
     _xlpm.d, Employee_dataset[[#This Row],[Join_Date]],
     IF(
        ISNUMBER(_xlpm.d),TRUE,FALSE
       )
    )</f>
        <v>1</v>
      </c>
      <c r="E904" t="b">
        <f>IF(ISERROR(_xlfn.NUMBERVALUE(Employee_dataset[[#This Row],[Salary]])),FALSE,TRUE)</f>
        <v>1</v>
      </c>
      <c r="F904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904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905" spans="1:7" x14ac:dyDescent="0.3">
      <c r="A905" t="str">
        <f>Employee_dataset[[#This Row],[Employee_ID]]</f>
        <v>EMP1903</v>
      </c>
      <c r="B905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905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905" t="b">
        <f>_xlfn.LET(
     _xlpm.d, Employee_dataset[[#This Row],[Join_Date]],
     IF(
        ISNUMBER(_xlpm.d),TRUE,FALSE
       )
    )</f>
        <v>1</v>
      </c>
      <c r="E905" t="b">
        <f>IF(ISERROR(_xlfn.NUMBERVALUE(Employee_dataset[[#This Row],[Salary]])),FALSE,TRUE)</f>
        <v>1</v>
      </c>
      <c r="F905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905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906" spans="1:7" x14ac:dyDescent="0.3">
      <c r="A906" t="str">
        <f>Employee_dataset[[#This Row],[Employee_ID]]</f>
        <v>EMP1904</v>
      </c>
      <c r="B906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906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906" t="b">
        <f>_xlfn.LET(
     _xlpm.d, Employee_dataset[[#This Row],[Join_Date]],
     IF(
        ISNUMBER(_xlpm.d),TRUE,FALSE
       )
    )</f>
        <v>1</v>
      </c>
      <c r="E906" t="b">
        <f>IF(ISERROR(_xlfn.NUMBERVALUE(Employee_dataset[[#This Row],[Salary]])),FALSE,TRUE)</f>
        <v>1</v>
      </c>
      <c r="F906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906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907" spans="1:7" x14ac:dyDescent="0.3">
      <c r="A907" t="str">
        <f>Employee_dataset[[#This Row],[Employee_ID]]</f>
        <v>EMP1905</v>
      </c>
      <c r="B907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907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907" t="b">
        <f>_xlfn.LET(
     _xlpm.d, Employee_dataset[[#This Row],[Join_Date]],
     IF(
        ISNUMBER(_xlpm.d),TRUE,FALSE
       )
    )</f>
        <v>1</v>
      </c>
      <c r="E907" t="b">
        <f>IF(ISERROR(_xlfn.NUMBERVALUE(Employee_dataset[[#This Row],[Salary]])),FALSE,TRUE)</f>
        <v>1</v>
      </c>
      <c r="F907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907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908" spans="1:7" x14ac:dyDescent="0.3">
      <c r="A908" t="str">
        <f>Employee_dataset[[#This Row],[Employee_ID]]</f>
        <v>EMP1906</v>
      </c>
      <c r="B908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908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908" t="b">
        <f>_xlfn.LET(
     _xlpm.d, Employee_dataset[[#This Row],[Join_Date]],
     IF(
        ISNUMBER(_xlpm.d),TRUE,FALSE
       )
    )</f>
        <v>1</v>
      </c>
      <c r="E908" t="b">
        <f>IF(ISERROR(_xlfn.NUMBERVALUE(Employee_dataset[[#This Row],[Salary]])),FALSE,TRUE)</f>
        <v>1</v>
      </c>
      <c r="F908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908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909" spans="1:7" x14ac:dyDescent="0.3">
      <c r="A909" t="str">
        <f>Employee_dataset[[#This Row],[Employee_ID]]</f>
        <v>EMP1907</v>
      </c>
      <c r="B909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909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909" t="b">
        <f>_xlfn.LET(
     _xlpm.d, Employee_dataset[[#This Row],[Join_Date]],
     IF(
        ISNUMBER(_xlpm.d),TRUE,FALSE
       )
    )</f>
        <v>1</v>
      </c>
      <c r="E909" t="b">
        <f>IF(ISERROR(_xlfn.NUMBERVALUE(Employee_dataset[[#This Row],[Salary]])),FALSE,TRUE)</f>
        <v>1</v>
      </c>
      <c r="F909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909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910" spans="1:7" x14ac:dyDescent="0.3">
      <c r="A910" t="str">
        <f>Employee_dataset[[#This Row],[Employee_ID]]</f>
        <v>EMP1908</v>
      </c>
      <c r="B910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910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910" t="b">
        <f>_xlfn.LET(
     _xlpm.d, Employee_dataset[[#This Row],[Join_Date]],
     IF(
        ISNUMBER(_xlpm.d),TRUE,FALSE
       )
    )</f>
        <v>1</v>
      </c>
      <c r="E910" t="b">
        <f>IF(ISERROR(_xlfn.NUMBERVALUE(Employee_dataset[[#This Row],[Salary]])),FALSE,TRUE)</f>
        <v>1</v>
      </c>
      <c r="F910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910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911" spans="1:7" x14ac:dyDescent="0.3">
      <c r="A911" t="str">
        <f>Employee_dataset[[#This Row],[Employee_ID]]</f>
        <v>EMP1909</v>
      </c>
      <c r="B911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911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911" t="b">
        <f>_xlfn.LET(
     _xlpm.d, Employee_dataset[[#This Row],[Join_Date]],
     IF(
        ISNUMBER(_xlpm.d),TRUE,FALSE
       )
    )</f>
        <v>1</v>
      </c>
      <c r="E911" t="b">
        <f>IF(ISERROR(_xlfn.NUMBERVALUE(Employee_dataset[[#This Row],[Salary]])),FALSE,TRUE)</f>
        <v>1</v>
      </c>
      <c r="F911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911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912" spans="1:7" x14ac:dyDescent="0.3">
      <c r="A912" t="str">
        <f>Employee_dataset[[#This Row],[Employee_ID]]</f>
        <v>EMP1910</v>
      </c>
      <c r="B912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912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912" t="b">
        <f>_xlfn.LET(
     _xlpm.d, Employee_dataset[[#This Row],[Join_Date]],
     IF(
        ISNUMBER(_xlpm.d),TRUE,FALSE
       )
    )</f>
        <v>1</v>
      </c>
      <c r="E912" t="b">
        <f>IF(ISERROR(_xlfn.NUMBERVALUE(Employee_dataset[[#This Row],[Salary]])),FALSE,TRUE)</f>
        <v>1</v>
      </c>
      <c r="F912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912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913" spans="1:7" x14ac:dyDescent="0.3">
      <c r="A913" t="str">
        <f>Employee_dataset[[#This Row],[Employee_ID]]</f>
        <v>EMP1911</v>
      </c>
      <c r="B913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913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913" t="b">
        <f>_xlfn.LET(
     _xlpm.d, Employee_dataset[[#This Row],[Join_Date]],
     IF(
        ISNUMBER(_xlpm.d),TRUE,FALSE
       )
    )</f>
        <v>1</v>
      </c>
      <c r="E913" t="b">
        <f>IF(ISERROR(_xlfn.NUMBERVALUE(Employee_dataset[[#This Row],[Salary]])),FALSE,TRUE)</f>
        <v>1</v>
      </c>
      <c r="F913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913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914" spans="1:7" x14ac:dyDescent="0.3">
      <c r="A914" t="str">
        <f>Employee_dataset[[#This Row],[Employee_ID]]</f>
        <v>EMP1912</v>
      </c>
      <c r="B914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914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0</v>
      </c>
      <c r="D914" t="b">
        <f>_xlfn.LET(
     _xlpm.d, Employee_dataset[[#This Row],[Join_Date]],
     IF(
        ISNUMBER(_xlpm.d),TRUE,FALSE
       )
    )</f>
        <v>1</v>
      </c>
      <c r="E914" t="b">
        <f>IF(ISERROR(_xlfn.NUMBERVALUE(Employee_dataset[[#This Row],[Salary]])),FALSE,TRUE)</f>
        <v>1</v>
      </c>
      <c r="F914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>Phone</v>
      </c>
      <c r="G914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915" spans="1:7" x14ac:dyDescent="0.3">
      <c r="A915" t="str">
        <f>Employee_dataset[[#This Row],[Employee_ID]]</f>
        <v>EMP1913</v>
      </c>
      <c r="B915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915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915" t="b">
        <f>_xlfn.LET(
     _xlpm.d, Employee_dataset[[#This Row],[Join_Date]],
     IF(
        ISNUMBER(_xlpm.d),TRUE,FALSE
       )
    )</f>
        <v>1</v>
      </c>
      <c r="E915" t="b">
        <f>IF(ISERROR(_xlfn.NUMBERVALUE(Employee_dataset[[#This Row],[Salary]])),FALSE,TRUE)</f>
        <v>1</v>
      </c>
      <c r="F915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915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916" spans="1:7" x14ac:dyDescent="0.3">
      <c r="A916" t="str">
        <f>Employee_dataset[[#This Row],[Employee_ID]]</f>
        <v>EMP1914</v>
      </c>
      <c r="B916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916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916" t="b">
        <f>_xlfn.LET(
     _xlpm.d, Employee_dataset[[#This Row],[Join_Date]],
     IF(
        ISNUMBER(_xlpm.d),TRUE,FALSE
       )
    )</f>
        <v>1</v>
      </c>
      <c r="E916" t="b">
        <f>IF(ISERROR(_xlfn.NUMBERVALUE(Employee_dataset[[#This Row],[Salary]])),FALSE,TRUE)</f>
        <v>1</v>
      </c>
      <c r="F916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916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917" spans="1:7" x14ac:dyDescent="0.3">
      <c r="A917" t="str">
        <f>Employee_dataset[[#This Row],[Employee_ID]]</f>
        <v>EMP1915</v>
      </c>
      <c r="B917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917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917" t="b">
        <f>_xlfn.LET(
     _xlpm.d, Employee_dataset[[#This Row],[Join_Date]],
     IF(
        ISNUMBER(_xlpm.d),TRUE,FALSE
       )
    )</f>
        <v>1</v>
      </c>
      <c r="E917" t="b">
        <f>IF(ISERROR(_xlfn.NUMBERVALUE(Employee_dataset[[#This Row],[Salary]])),FALSE,TRUE)</f>
        <v>1</v>
      </c>
      <c r="F917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917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918" spans="1:7" x14ac:dyDescent="0.3">
      <c r="A918" t="str">
        <f>Employee_dataset[[#This Row],[Employee_ID]]</f>
        <v>EMP1916</v>
      </c>
      <c r="B918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918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918" t="b">
        <f>_xlfn.LET(
     _xlpm.d, Employee_dataset[[#This Row],[Join_Date]],
     IF(
        ISNUMBER(_xlpm.d),TRUE,FALSE
       )
    )</f>
        <v>1</v>
      </c>
      <c r="E918" t="b">
        <f>IF(ISERROR(_xlfn.NUMBERVALUE(Employee_dataset[[#This Row],[Salary]])),FALSE,TRUE)</f>
        <v>1</v>
      </c>
      <c r="F918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918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919" spans="1:7" x14ac:dyDescent="0.3">
      <c r="A919" t="str">
        <f>Employee_dataset[[#This Row],[Employee_ID]]</f>
        <v>EMP1917</v>
      </c>
      <c r="B919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919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919" t="b">
        <f>_xlfn.LET(
     _xlpm.d, Employee_dataset[[#This Row],[Join_Date]],
     IF(
        ISNUMBER(_xlpm.d),TRUE,FALSE
       )
    )</f>
        <v>1</v>
      </c>
      <c r="E919" t="b">
        <f>IF(ISERROR(_xlfn.NUMBERVALUE(Employee_dataset[[#This Row],[Salary]])),FALSE,TRUE)</f>
        <v>1</v>
      </c>
      <c r="F919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919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920" spans="1:7" x14ac:dyDescent="0.3">
      <c r="A920" t="str">
        <f>Employee_dataset[[#This Row],[Employee_ID]]</f>
        <v>EMP1918</v>
      </c>
      <c r="B920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920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920" t="b">
        <f>_xlfn.LET(
     _xlpm.d, Employee_dataset[[#This Row],[Join_Date]],
     IF(
        ISNUMBER(_xlpm.d),TRUE,FALSE
       )
    )</f>
        <v>1</v>
      </c>
      <c r="E920" t="b">
        <f>IF(ISERROR(_xlfn.NUMBERVALUE(Employee_dataset[[#This Row],[Salary]])),FALSE,TRUE)</f>
        <v>1</v>
      </c>
      <c r="F920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920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921" spans="1:7" x14ac:dyDescent="0.3">
      <c r="A921" t="str">
        <f>Employee_dataset[[#This Row],[Employee_ID]]</f>
        <v>EMP1919</v>
      </c>
      <c r="B921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921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921" t="b">
        <f>_xlfn.LET(
     _xlpm.d, Employee_dataset[[#This Row],[Join_Date]],
     IF(
        ISNUMBER(_xlpm.d),TRUE,FALSE
       )
    )</f>
        <v>1</v>
      </c>
      <c r="E921" t="b">
        <f>IF(ISERROR(_xlfn.NUMBERVALUE(Employee_dataset[[#This Row],[Salary]])),FALSE,TRUE)</f>
        <v>1</v>
      </c>
      <c r="F921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921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922" spans="1:7" x14ac:dyDescent="0.3">
      <c r="A922" t="str">
        <f>Employee_dataset[[#This Row],[Employee_ID]]</f>
        <v>EMP1920</v>
      </c>
      <c r="B922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922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922" t="b">
        <f>_xlfn.LET(
     _xlpm.d, Employee_dataset[[#This Row],[Join_Date]],
     IF(
        ISNUMBER(_xlpm.d),TRUE,FALSE
       )
    )</f>
        <v>1</v>
      </c>
      <c r="E922" t="b">
        <f>IF(ISERROR(_xlfn.NUMBERVALUE(Employee_dataset[[#This Row],[Salary]])),FALSE,TRUE)</f>
        <v>1</v>
      </c>
      <c r="F922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922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923" spans="1:7" x14ac:dyDescent="0.3">
      <c r="A923" t="str">
        <f>Employee_dataset[[#This Row],[Employee_ID]]</f>
        <v>EMP1921</v>
      </c>
      <c r="B923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923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923" t="b">
        <f>_xlfn.LET(
     _xlpm.d, Employee_dataset[[#This Row],[Join_Date]],
     IF(
        ISNUMBER(_xlpm.d),TRUE,FALSE
       )
    )</f>
        <v>1</v>
      </c>
      <c r="E923" t="b">
        <f>IF(ISERROR(_xlfn.NUMBERVALUE(Employee_dataset[[#This Row],[Salary]])),FALSE,TRUE)</f>
        <v>1</v>
      </c>
      <c r="F923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923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924" spans="1:7" x14ac:dyDescent="0.3">
      <c r="A924" t="str">
        <f>Employee_dataset[[#This Row],[Employee_ID]]</f>
        <v>EMP1922</v>
      </c>
      <c r="B924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924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924" t="b">
        <f>_xlfn.LET(
     _xlpm.d, Employee_dataset[[#This Row],[Join_Date]],
     IF(
        ISNUMBER(_xlpm.d),TRUE,FALSE
       )
    )</f>
        <v>1</v>
      </c>
      <c r="E924" t="b">
        <f>IF(ISERROR(_xlfn.NUMBERVALUE(Employee_dataset[[#This Row],[Salary]])),FALSE,TRUE)</f>
        <v>1</v>
      </c>
      <c r="F924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924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925" spans="1:7" x14ac:dyDescent="0.3">
      <c r="A925" t="str">
        <f>Employee_dataset[[#This Row],[Employee_ID]]</f>
        <v>EMP1923</v>
      </c>
      <c r="B925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925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925" t="b">
        <f>_xlfn.LET(
     _xlpm.d, Employee_dataset[[#This Row],[Join_Date]],
     IF(
        ISNUMBER(_xlpm.d),TRUE,FALSE
       )
    )</f>
        <v>1</v>
      </c>
      <c r="E925" t="b">
        <f>IF(ISERROR(_xlfn.NUMBERVALUE(Employee_dataset[[#This Row],[Salary]])),FALSE,TRUE)</f>
        <v>1</v>
      </c>
      <c r="F925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925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926" spans="1:7" x14ac:dyDescent="0.3">
      <c r="A926" t="str">
        <f>Employee_dataset[[#This Row],[Employee_ID]]</f>
        <v>EMP1924</v>
      </c>
      <c r="B926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926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926" t="b">
        <f>_xlfn.LET(
     _xlpm.d, Employee_dataset[[#This Row],[Join_Date]],
     IF(
        ISNUMBER(_xlpm.d),TRUE,FALSE
       )
    )</f>
        <v>1</v>
      </c>
      <c r="E926" t="b">
        <f>IF(ISERROR(_xlfn.NUMBERVALUE(Employee_dataset[[#This Row],[Salary]])),FALSE,TRUE)</f>
        <v>1</v>
      </c>
      <c r="F926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926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927" spans="1:7" x14ac:dyDescent="0.3">
      <c r="A927" t="str">
        <f>Employee_dataset[[#This Row],[Employee_ID]]</f>
        <v>EMP1925</v>
      </c>
      <c r="B927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927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927" t="b">
        <f>_xlfn.LET(
     _xlpm.d, Employee_dataset[[#This Row],[Join_Date]],
     IF(
        ISNUMBER(_xlpm.d),TRUE,FALSE
       )
    )</f>
        <v>1</v>
      </c>
      <c r="E927" t="b">
        <f>IF(ISERROR(_xlfn.NUMBERVALUE(Employee_dataset[[#This Row],[Salary]])),FALSE,TRUE)</f>
        <v>1</v>
      </c>
      <c r="F927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927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928" spans="1:7" x14ac:dyDescent="0.3">
      <c r="A928" t="str">
        <f>Employee_dataset[[#This Row],[Employee_ID]]</f>
        <v>EMP1926</v>
      </c>
      <c r="B928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928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928" t="b">
        <f>_xlfn.LET(
     _xlpm.d, Employee_dataset[[#This Row],[Join_Date]],
     IF(
        ISNUMBER(_xlpm.d),TRUE,FALSE
       )
    )</f>
        <v>1</v>
      </c>
      <c r="E928" t="b">
        <f>IF(ISERROR(_xlfn.NUMBERVALUE(Employee_dataset[[#This Row],[Salary]])),FALSE,TRUE)</f>
        <v>1</v>
      </c>
      <c r="F928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928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929" spans="1:7" x14ac:dyDescent="0.3">
      <c r="A929" t="str">
        <f>Employee_dataset[[#This Row],[Employee_ID]]</f>
        <v>EMP1927</v>
      </c>
      <c r="B929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929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929" t="b">
        <f>_xlfn.LET(
     _xlpm.d, Employee_dataset[[#This Row],[Join_Date]],
     IF(
        ISNUMBER(_xlpm.d),TRUE,FALSE
       )
    )</f>
        <v>1</v>
      </c>
      <c r="E929" t="b">
        <f>IF(ISERROR(_xlfn.NUMBERVALUE(Employee_dataset[[#This Row],[Salary]])),FALSE,TRUE)</f>
        <v>1</v>
      </c>
      <c r="F929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929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930" spans="1:7" x14ac:dyDescent="0.3">
      <c r="A930" t="str">
        <f>Employee_dataset[[#This Row],[Employee_ID]]</f>
        <v>EMP1928</v>
      </c>
      <c r="B930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930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930" t="b">
        <f>_xlfn.LET(
     _xlpm.d, Employee_dataset[[#This Row],[Join_Date]],
     IF(
        ISNUMBER(_xlpm.d),TRUE,FALSE
       )
    )</f>
        <v>1</v>
      </c>
      <c r="E930" t="b">
        <f>IF(ISERROR(_xlfn.NUMBERVALUE(Employee_dataset[[#This Row],[Salary]])),FALSE,TRUE)</f>
        <v>1</v>
      </c>
      <c r="F930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930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931" spans="1:7" x14ac:dyDescent="0.3">
      <c r="A931" t="str">
        <f>Employee_dataset[[#This Row],[Employee_ID]]</f>
        <v>EMP1929</v>
      </c>
      <c r="B931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931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931" t="b">
        <f>_xlfn.LET(
     _xlpm.d, Employee_dataset[[#This Row],[Join_Date]],
     IF(
        ISNUMBER(_xlpm.d),TRUE,FALSE
       )
    )</f>
        <v>1</v>
      </c>
      <c r="E931" t="b">
        <f>IF(ISERROR(_xlfn.NUMBERVALUE(Employee_dataset[[#This Row],[Salary]])),FALSE,TRUE)</f>
        <v>1</v>
      </c>
      <c r="F931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931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932" spans="1:7" x14ac:dyDescent="0.3">
      <c r="A932" t="str">
        <f>Employee_dataset[[#This Row],[Employee_ID]]</f>
        <v>EMP1930</v>
      </c>
      <c r="B932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932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932" t="b">
        <f>_xlfn.LET(
     _xlpm.d, Employee_dataset[[#This Row],[Join_Date]],
     IF(
        ISNUMBER(_xlpm.d),TRUE,FALSE
       )
    )</f>
        <v>1</v>
      </c>
      <c r="E932" t="b">
        <f>IF(ISERROR(_xlfn.NUMBERVALUE(Employee_dataset[[#This Row],[Salary]])),FALSE,TRUE)</f>
        <v>1</v>
      </c>
      <c r="F932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932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933" spans="1:7" x14ac:dyDescent="0.3">
      <c r="A933" t="str">
        <f>Employee_dataset[[#This Row],[Employee_ID]]</f>
        <v>EMP1931</v>
      </c>
      <c r="B933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933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933" t="b">
        <f>_xlfn.LET(
     _xlpm.d, Employee_dataset[[#This Row],[Join_Date]],
     IF(
        ISNUMBER(_xlpm.d),TRUE,FALSE
       )
    )</f>
        <v>1</v>
      </c>
      <c r="E933" t="b">
        <f>IF(ISERROR(_xlfn.NUMBERVALUE(Employee_dataset[[#This Row],[Salary]])),FALSE,TRUE)</f>
        <v>1</v>
      </c>
      <c r="F933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933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934" spans="1:7" x14ac:dyDescent="0.3">
      <c r="A934" t="str">
        <f>Employee_dataset[[#This Row],[Employee_ID]]</f>
        <v>EMP1932</v>
      </c>
      <c r="B934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934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934" t="b">
        <f>_xlfn.LET(
     _xlpm.d, Employee_dataset[[#This Row],[Join_Date]],
     IF(
        ISNUMBER(_xlpm.d),TRUE,FALSE
       )
    )</f>
        <v>1</v>
      </c>
      <c r="E934" t="b">
        <f>IF(ISERROR(_xlfn.NUMBERVALUE(Employee_dataset[[#This Row],[Salary]])),FALSE,TRUE)</f>
        <v>1</v>
      </c>
      <c r="F934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934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935" spans="1:7" x14ac:dyDescent="0.3">
      <c r="A935" t="str">
        <f>Employee_dataset[[#This Row],[Employee_ID]]</f>
        <v>EMP1933</v>
      </c>
      <c r="B935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935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935" t="b">
        <f>_xlfn.LET(
     _xlpm.d, Employee_dataset[[#This Row],[Join_Date]],
     IF(
        ISNUMBER(_xlpm.d),TRUE,FALSE
       )
    )</f>
        <v>1</v>
      </c>
      <c r="E935" t="b">
        <f>IF(ISERROR(_xlfn.NUMBERVALUE(Employee_dataset[[#This Row],[Salary]])),FALSE,TRUE)</f>
        <v>1</v>
      </c>
      <c r="F935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935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936" spans="1:7" x14ac:dyDescent="0.3">
      <c r="A936" t="str">
        <f>Employee_dataset[[#This Row],[Employee_ID]]</f>
        <v>EMP1934</v>
      </c>
      <c r="B936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936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936" t="b">
        <f>_xlfn.LET(
     _xlpm.d, Employee_dataset[[#This Row],[Join_Date]],
     IF(
        ISNUMBER(_xlpm.d),TRUE,FALSE
       )
    )</f>
        <v>1</v>
      </c>
      <c r="E936" t="b">
        <f>IF(ISERROR(_xlfn.NUMBERVALUE(Employee_dataset[[#This Row],[Salary]])),FALSE,TRUE)</f>
        <v>1</v>
      </c>
      <c r="F936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936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937" spans="1:7" x14ac:dyDescent="0.3">
      <c r="A937" t="str">
        <f>Employee_dataset[[#This Row],[Employee_ID]]</f>
        <v>EMP1935</v>
      </c>
      <c r="B937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937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937" t="b">
        <f>_xlfn.LET(
     _xlpm.d, Employee_dataset[[#This Row],[Join_Date]],
     IF(
        ISNUMBER(_xlpm.d),TRUE,FALSE
       )
    )</f>
        <v>1</v>
      </c>
      <c r="E937" t="b">
        <f>IF(ISERROR(_xlfn.NUMBERVALUE(Employee_dataset[[#This Row],[Salary]])),FALSE,TRUE)</f>
        <v>1</v>
      </c>
      <c r="F937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937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938" spans="1:7" x14ac:dyDescent="0.3">
      <c r="A938" t="str">
        <f>Employee_dataset[[#This Row],[Employee_ID]]</f>
        <v>EMP1936</v>
      </c>
      <c r="B938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938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938" t="b">
        <f>_xlfn.LET(
     _xlpm.d, Employee_dataset[[#This Row],[Join_Date]],
     IF(
        ISNUMBER(_xlpm.d),TRUE,FALSE
       )
    )</f>
        <v>1</v>
      </c>
      <c r="E938" t="b">
        <f>IF(ISERROR(_xlfn.NUMBERVALUE(Employee_dataset[[#This Row],[Salary]])),FALSE,TRUE)</f>
        <v>0</v>
      </c>
      <c r="F938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>Salary</v>
      </c>
      <c r="G938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939" spans="1:7" x14ac:dyDescent="0.3">
      <c r="A939" t="str">
        <f>Employee_dataset[[#This Row],[Employee_ID]]</f>
        <v>EMP1937</v>
      </c>
      <c r="B939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939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939" t="b">
        <f>_xlfn.LET(
     _xlpm.d, Employee_dataset[[#This Row],[Join_Date]],
     IF(
        ISNUMBER(_xlpm.d),TRUE,FALSE
       )
    )</f>
        <v>1</v>
      </c>
      <c r="E939" t="b">
        <f>IF(ISERROR(_xlfn.NUMBERVALUE(Employee_dataset[[#This Row],[Salary]])),FALSE,TRUE)</f>
        <v>1</v>
      </c>
      <c r="F939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939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940" spans="1:7" x14ac:dyDescent="0.3">
      <c r="A940" t="str">
        <f>Employee_dataset[[#This Row],[Employee_ID]]</f>
        <v>EMP1938</v>
      </c>
      <c r="B940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940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940" t="b">
        <f>_xlfn.LET(
     _xlpm.d, Employee_dataset[[#This Row],[Join_Date]],
     IF(
        ISNUMBER(_xlpm.d),TRUE,FALSE
       )
    )</f>
        <v>1</v>
      </c>
      <c r="E940" t="b">
        <f>IF(ISERROR(_xlfn.NUMBERVALUE(Employee_dataset[[#This Row],[Salary]])),FALSE,TRUE)</f>
        <v>1</v>
      </c>
      <c r="F940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940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941" spans="1:7" x14ac:dyDescent="0.3">
      <c r="A941" t="str">
        <f>Employee_dataset[[#This Row],[Employee_ID]]</f>
        <v>EMP1939</v>
      </c>
      <c r="B941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941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941" t="b">
        <f>_xlfn.LET(
     _xlpm.d, Employee_dataset[[#This Row],[Join_Date]],
     IF(
        ISNUMBER(_xlpm.d),TRUE,FALSE
       )
    )</f>
        <v>1</v>
      </c>
      <c r="E941" t="b">
        <f>IF(ISERROR(_xlfn.NUMBERVALUE(Employee_dataset[[#This Row],[Salary]])),FALSE,TRUE)</f>
        <v>1</v>
      </c>
      <c r="F941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941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942" spans="1:7" x14ac:dyDescent="0.3">
      <c r="A942" t="str">
        <f>Employee_dataset[[#This Row],[Employee_ID]]</f>
        <v>EMP1940</v>
      </c>
      <c r="B942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942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942" t="b">
        <f>_xlfn.LET(
     _xlpm.d, Employee_dataset[[#This Row],[Join_Date]],
     IF(
        ISNUMBER(_xlpm.d),TRUE,FALSE
       )
    )</f>
        <v>1</v>
      </c>
      <c r="E942" t="b">
        <f>IF(ISERROR(_xlfn.NUMBERVALUE(Employee_dataset[[#This Row],[Salary]])),FALSE,TRUE)</f>
        <v>0</v>
      </c>
      <c r="F942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>Salary</v>
      </c>
      <c r="G942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943" spans="1:7" x14ac:dyDescent="0.3">
      <c r="A943" t="str">
        <f>Employee_dataset[[#This Row],[Employee_ID]]</f>
        <v>EMP1941</v>
      </c>
      <c r="B943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943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943" t="b">
        <f>_xlfn.LET(
     _xlpm.d, Employee_dataset[[#This Row],[Join_Date]],
     IF(
        ISNUMBER(_xlpm.d),TRUE,FALSE
       )
    )</f>
        <v>1</v>
      </c>
      <c r="E943" t="b">
        <f>IF(ISERROR(_xlfn.NUMBERVALUE(Employee_dataset[[#This Row],[Salary]])),FALSE,TRUE)</f>
        <v>1</v>
      </c>
      <c r="F943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943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944" spans="1:7" x14ac:dyDescent="0.3">
      <c r="A944" t="str">
        <f>Employee_dataset[[#This Row],[Employee_ID]]</f>
        <v>EMP1942</v>
      </c>
      <c r="B944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944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944" t="b">
        <f>_xlfn.LET(
     _xlpm.d, Employee_dataset[[#This Row],[Join_Date]],
     IF(
        ISNUMBER(_xlpm.d),TRUE,FALSE
       )
    )</f>
        <v>1</v>
      </c>
      <c r="E944" t="b">
        <f>IF(ISERROR(_xlfn.NUMBERVALUE(Employee_dataset[[#This Row],[Salary]])),FALSE,TRUE)</f>
        <v>1</v>
      </c>
      <c r="F944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944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945" spans="1:7" x14ac:dyDescent="0.3">
      <c r="A945" t="str">
        <f>Employee_dataset[[#This Row],[Employee_ID]]</f>
        <v>EMP1943</v>
      </c>
      <c r="B945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945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945" t="b">
        <f>_xlfn.LET(
     _xlpm.d, Employee_dataset[[#This Row],[Join_Date]],
     IF(
        ISNUMBER(_xlpm.d),TRUE,FALSE
       )
    )</f>
        <v>1</v>
      </c>
      <c r="E945" t="b">
        <f>IF(ISERROR(_xlfn.NUMBERVALUE(Employee_dataset[[#This Row],[Salary]])),FALSE,TRUE)</f>
        <v>1</v>
      </c>
      <c r="F945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945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946" spans="1:7" x14ac:dyDescent="0.3">
      <c r="A946" t="str">
        <f>Employee_dataset[[#This Row],[Employee_ID]]</f>
        <v>EMP1944</v>
      </c>
      <c r="B946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946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946" t="b">
        <f>_xlfn.LET(
     _xlpm.d, Employee_dataset[[#This Row],[Join_Date]],
     IF(
        ISNUMBER(_xlpm.d),TRUE,FALSE
       )
    )</f>
        <v>1</v>
      </c>
      <c r="E946" t="b">
        <f>IF(ISERROR(_xlfn.NUMBERVALUE(Employee_dataset[[#This Row],[Salary]])),FALSE,TRUE)</f>
        <v>1</v>
      </c>
      <c r="F946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946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947" spans="1:7" x14ac:dyDescent="0.3">
      <c r="A947" t="str">
        <f>Employee_dataset[[#This Row],[Employee_ID]]</f>
        <v>EMP1945</v>
      </c>
      <c r="B947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947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947" t="b">
        <f>_xlfn.LET(
     _xlpm.d, Employee_dataset[[#This Row],[Join_Date]],
     IF(
        ISNUMBER(_xlpm.d),TRUE,FALSE
       )
    )</f>
        <v>1</v>
      </c>
      <c r="E947" t="b">
        <f>IF(ISERROR(_xlfn.NUMBERVALUE(Employee_dataset[[#This Row],[Salary]])),FALSE,TRUE)</f>
        <v>1</v>
      </c>
      <c r="F947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947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948" spans="1:7" x14ac:dyDescent="0.3">
      <c r="A948" t="str">
        <f>Employee_dataset[[#This Row],[Employee_ID]]</f>
        <v>EMP1946</v>
      </c>
      <c r="B948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948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0</v>
      </c>
      <c r="D948" t="b">
        <f>_xlfn.LET(
     _xlpm.d, Employee_dataset[[#This Row],[Join_Date]],
     IF(
        ISNUMBER(_xlpm.d),TRUE,FALSE
       )
    )</f>
        <v>1</v>
      </c>
      <c r="E948" t="b">
        <f>IF(ISERROR(_xlfn.NUMBERVALUE(Employee_dataset[[#This Row],[Salary]])),FALSE,TRUE)</f>
        <v>1</v>
      </c>
      <c r="F948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>Phone</v>
      </c>
      <c r="G948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949" spans="1:7" x14ac:dyDescent="0.3">
      <c r="A949" t="str">
        <f>Employee_dataset[[#This Row],[Employee_ID]]</f>
        <v>EMP1947</v>
      </c>
      <c r="B949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949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949" t="b">
        <f>_xlfn.LET(
     _xlpm.d, Employee_dataset[[#This Row],[Join_Date]],
     IF(
        ISNUMBER(_xlpm.d),TRUE,FALSE
       )
    )</f>
        <v>1</v>
      </c>
      <c r="E949" t="b">
        <f>IF(ISERROR(_xlfn.NUMBERVALUE(Employee_dataset[[#This Row],[Salary]])),FALSE,TRUE)</f>
        <v>1</v>
      </c>
      <c r="F949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949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950" spans="1:7" x14ac:dyDescent="0.3">
      <c r="A950" t="str">
        <f>Employee_dataset[[#This Row],[Employee_ID]]</f>
        <v>EMP1948</v>
      </c>
      <c r="B950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950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0</v>
      </c>
      <c r="D950" t="b">
        <f>_xlfn.LET(
     _xlpm.d, Employee_dataset[[#This Row],[Join_Date]],
     IF(
        ISNUMBER(_xlpm.d),TRUE,FALSE
       )
    )</f>
        <v>1</v>
      </c>
      <c r="E950" t="b">
        <f>IF(ISERROR(_xlfn.NUMBERVALUE(Employee_dataset[[#This Row],[Salary]])),FALSE,TRUE)</f>
        <v>0</v>
      </c>
      <c r="F950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>Phone, Salary</v>
      </c>
      <c r="G950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951" spans="1:7" x14ac:dyDescent="0.3">
      <c r="A951" t="str">
        <f>Employee_dataset[[#This Row],[Employee_ID]]</f>
        <v>EMP1949</v>
      </c>
      <c r="B951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951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951" t="b">
        <f>_xlfn.LET(
     _xlpm.d, Employee_dataset[[#This Row],[Join_Date]],
     IF(
        ISNUMBER(_xlpm.d),TRUE,FALSE
       )
    )</f>
        <v>1</v>
      </c>
      <c r="E951" t="b">
        <f>IF(ISERROR(_xlfn.NUMBERVALUE(Employee_dataset[[#This Row],[Salary]])),FALSE,TRUE)</f>
        <v>1</v>
      </c>
      <c r="F951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951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952" spans="1:7" x14ac:dyDescent="0.3">
      <c r="A952" t="str">
        <f>Employee_dataset[[#This Row],[Employee_ID]]</f>
        <v>EMP1950</v>
      </c>
      <c r="B952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952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952" t="b">
        <f>_xlfn.LET(
     _xlpm.d, Employee_dataset[[#This Row],[Join_Date]],
     IF(
        ISNUMBER(_xlpm.d),TRUE,FALSE
       )
    )</f>
        <v>1</v>
      </c>
      <c r="E952" t="b">
        <f>IF(ISERROR(_xlfn.NUMBERVALUE(Employee_dataset[[#This Row],[Salary]])),FALSE,TRUE)</f>
        <v>1</v>
      </c>
      <c r="F952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952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953" spans="1:7" x14ac:dyDescent="0.3">
      <c r="A953" t="str">
        <f>Employee_dataset[[#This Row],[Employee_ID]]</f>
        <v>EMP1951</v>
      </c>
      <c r="B953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953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953" t="b">
        <f>_xlfn.LET(
     _xlpm.d, Employee_dataset[[#This Row],[Join_Date]],
     IF(
        ISNUMBER(_xlpm.d),TRUE,FALSE
       )
    )</f>
        <v>1</v>
      </c>
      <c r="E953" t="b">
        <f>IF(ISERROR(_xlfn.NUMBERVALUE(Employee_dataset[[#This Row],[Salary]])),FALSE,TRUE)</f>
        <v>1</v>
      </c>
      <c r="F953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953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954" spans="1:7" x14ac:dyDescent="0.3">
      <c r="A954" t="str">
        <f>Employee_dataset[[#This Row],[Employee_ID]]</f>
        <v>EMP1952</v>
      </c>
      <c r="B954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954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954" t="b">
        <f>_xlfn.LET(
     _xlpm.d, Employee_dataset[[#This Row],[Join_Date]],
     IF(
        ISNUMBER(_xlpm.d),TRUE,FALSE
       )
    )</f>
        <v>1</v>
      </c>
      <c r="E954" t="b">
        <f>IF(ISERROR(_xlfn.NUMBERVALUE(Employee_dataset[[#This Row],[Salary]])),FALSE,TRUE)</f>
        <v>1</v>
      </c>
      <c r="F954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954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955" spans="1:7" x14ac:dyDescent="0.3">
      <c r="A955" t="str">
        <f>Employee_dataset[[#This Row],[Employee_ID]]</f>
        <v>EMP1953</v>
      </c>
      <c r="B955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955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955" t="b">
        <f>_xlfn.LET(
     _xlpm.d, Employee_dataset[[#This Row],[Join_Date]],
     IF(
        ISNUMBER(_xlpm.d),TRUE,FALSE
       )
    )</f>
        <v>1</v>
      </c>
      <c r="E955" t="b">
        <f>IF(ISERROR(_xlfn.NUMBERVALUE(Employee_dataset[[#This Row],[Salary]])),FALSE,TRUE)</f>
        <v>0</v>
      </c>
      <c r="F955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>Salary</v>
      </c>
      <c r="G955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956" spans="1:7" x14ac:dyDescent="0.3">
      <c r="A956" t="str">
        <f>Employee_dataset[[#This Row],[Employee_ID]]</f>
        <v>EMP1954</v>
      </c>
      <c r="B956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956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956" t="b">
        <f>_xlfn.LET(
     _xlpm.d, Employee_dataset[[#This Row],[Join_Date]],
     IF(
        ISNUMBER(_xlpm.d),TRUE,FALSE
       )
    )</f>
        <v>1</v>
      </c>
      <c r="E956" t="b">
        <f>IF(ISERROR(_xlfn.NUMBERVALUE(Employee_dataset[[#This Row],[Salary]])),FALSE,TRUE)</f>
        <v>1</v>
      </c>
      <c r="F956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956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957" spans="1:7" x14ac:dyDescent="0.3">
      <c r="A957" t="str">
        <f>Employee_dataset[[#This Row],[Employee_ID]]</f>
        <v>EMP1955</v>
      </c>
      <c r="B957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957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957" t="b">
        <f>_xlfn.LET(
     _xlpm.d, Employee_dataset[[#This Row],[Join_Date]],
     IF(
        ISNUMBER(_xlpm.d),TRUE,FALSE
       )
    )</f>
        <v>1</v>
      </c>
      <c r="E957" t="b">
        <f>IF(ISERROR(_xlfn.NUMBERVALUE(Employee_dataset[[#This Row],[Salary]])),FALSE,TRUE)</f>
        <v>1</v>
      </c>
      <c r="F957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957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958" spans="1:7" x14ac:dyDescent="0.3">
      <c r="A958" t="str">
        <f>Employee_dataset[[#This Row],[Employee_ID]]</f>
        <v>EMP1956</v>
      </c>
      <c r="B958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958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958" t="b">
        <f>_xlfn.LET(
     _xlpm.d, Employee_dataset[[#This Row],[Join_Date]],
     IF(
        ISNUMBER(_xlpm.d),TRUE,FALSE
       )
    )</f>
        <v>1</v>
      </c>
      <c r="E958" t="b">
        <f>IF(ISERROR(_xlfn.NUMBERVALUE(Employee_dataset[[#This Row],[Salary]])),FALSE,TRUE)</f>
        <v>0</v>
      </c>
      <c r="F958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>Salary</v>
      </c>
      <c r="G958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959" spans="1:7" x14ac:dyDescent="0.3">
      <c r="A959" t="str">
        <f>Employee_dataset[[#This Row],[Employee_ID]]</f>
        <v>EMP1957</v>
      </c>
      <c r="B959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959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959" t="b">
        <f>_xlfn.LET(
     _xlpm.d, Employee_dataset[[#This Row],[Join_Date]],
     IF(
        ISNUMBER(_xlpm.d),TRUE,FALSE
       )
    )</f>
        <v>1</v>
      </c>
      <c r="E959" t="b">
        <f>IF(ISERROR(_xlfn.NUMBERVALUE(Employee_dataset[[#This Row],[Salary]])),FALSE,TRUE)</f>
        <v>1</v>
      </c>
      <c r="F959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959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960" spans="1:7" x14ac:dyDescent="0.3">
      <c r="A960" t="str">
        <f>Employee_dataset[[#This Row],[Employee_ID]]</f>
        <v>EMP1958</v>
      </c>
      <c r="B960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960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960" t="b">
        <f>_xlfn.LET(
     _xlpm.d, Employee_dataset[[#This Row],[Join_Date]],
     IF(
        ISNUMBER(_xlpm.d),TRUE,FALSE
       )
    )</f>
        <v>1</v>
      </c>
      <c r="E960" t="b">
        <f>IF(ISERROR(_xlfn.NUMBERVALUE(Employee_dataset[[#This Row],[Salary]])),FALSE,TRUE)</f>
        <v>1</v>
      </c>
      <c r="F960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960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961" spans="1:7" x14ac:dyDescent="0.3">
      <c r="A961" t="str">
        <f>Employee_dataset[[#This Row],[Employee_ID]]</f>
        <v>EMP1959</v>
      </c>
      <c r="B961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961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961" t="b">
        <f>_xlfn.LET(
     _xlpm.d, Employee_dataset[[#This Row],[Join_Date]],
     IF(
        ISNUMBER(_xlpm.d),TRUE,FALSE
       )
    )</f>
        <v>1</v>
      </c>
      <c r="E961" t="b">
        <f>IF(ISERROR(_xlfn.NUMBERVALUE(Employee_dataset[[#This Row],[Salary]])),FALSE,TRUE)</f>
        <v>1</v>
      </c>
      <c r="F961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961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962" spans="1:7" x14ac:dyDescent="0.3">
      <c r="A962" t="str">
        <f>Employee_dataset[[#This Row],[Employee_ID]]</f>
        <v>EMP1960</v>
      </c>
      <c r="B962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962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962" t="b">
        <f>_xlfn.LET(
     _xlpm.d, Employee_dataset[[#This Row],[Join_Date]],
     IF(
        ISNUMBER(_xlpm.d),TRUE,FALSE
       )
    )</f>
        <v>1</v>
      </c>
      <c r="E962" t="b">
        <f>IF(ISERROR(_xlfn.NUMBERVALUE(Employee_dataset[[#This Row],[Salary]])),FALSE,TRUE)</f>
        <v>1</v>
      </c>
      <c r="F962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962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963" spans="1:7" x14ac:dyDescent="0.3">
      <c r="A963" t="str">
        <f>Employee_dataset[[#This Row],[Employee_ID]]</f>
        <v>EMP1961</v>
      </c>
      <c r="B963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963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963" t="b">
        <f>_xlfn.LET(
     _xlpm.d, Employee_dataset[[#This Row],[Join_Date]],
     IF(
        ISNUMBER(_xlpm.d),TRUE,FALSE
       )
    )</f>
        <v>1</v>
      </c>
      <c r="E963" t="b">
        <f>IF(ISERROR(_xlfn.NUMBERVALUE(Employee_dataset[[#This Row],[Salary]])),FALSE,TRUE)</f>
        <v>1</v>
      </c>
      <c r="F963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963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964" spans="1:7" x14ac:dyDescent="0.3">
      <c r="A964" t="str">
        <f>Employee_dataset[[#This Row],[Employee_ID]]</f>
        <v>EMP1962</v>
      </c>
      <c r="B964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964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964" t="b">
        <f>_xlfn.LET(
     _xlpm.d, Employee_dataset[[#This Row],[Join_Date]],
     IF(
        ISNUMBER(_xlpm.d),TRUE,FALSE
       )
    )</f>
        <v>1</v>
      </c>
      <c r="E964" t="b">
        <f>IF(ISERROR(_xlfn.NUMBERVALUE(Employee_dataset[[#This Row],[Salary]])),FALSE,TRUE)</f>
        <v>1</v>
      </c>
      <c r="F964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964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965" spans="1:7" x14ac:dyDescent="0.3">
      <c r="A965" t="str">
        <f>Employee_dataset[[#This Row],[Employee_ID]]</f>
        <v>EMP1963</v>
      </c>
      <c r="B965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965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965" t="b">
        <f>_xlfn.LET(
     _xlpm.d, Employee_dataset[[#This Row],[Join_Date]],
     IF(
        ISNUMBER(_xlpm.d),TRUE,FALSE
       )
    )</f>
        <v>1</v>
      </c>
      <c r="E965" t="b">
        <f>IF(ISERROR(_xlfn.NUMBERVALUE(Employee_dataset[[#This Row],[Salary]])),FALSE,TRUE)</f>
        <v>0</v>
      </c>
      <c r="F965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>Salary</v>
      </c>
      <c r="G965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966" spans="1:7" x14ac:dyDescent="0.3">
      <c r="A966" t="str">
        <f>Employee_dataset[[#This Row],[Employee_ID]]</f>
        <v>EMP1964</v>
      </c>
      <c r="B966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966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966" t="b">
        <f>_xlfn.LET(
     _xlpm.d, Employee_dataset[[#This Row],[Join_Date]],
     IF(
        ISNUMBER(_xlpm.d),TRUE,FALSE
       )
    )</f>
        <v>1</v>
      </c>
      <c r="E966" t="b">
        <f>IF(ISERROR(_xlfn.NUMBERVALUE(Employee_dataset[[#This Row],[Salary]])),FALSE,TRUE)</f>
        <v>1</v>
      </c>
      <c r="F966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966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967" spans="1:7" x14ac:dyDescent="0.3">
      <c r="A967" t="str">
        <f>Employee_dataset[[#This Row],[Employee_ID]]</f>
        <v>EMP1965</v>
      </c>
      <c r="B967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967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967" t="b">
        <f>_xlfn.LET(
     _xlpm.d, Employee_dataset[[#This Row],[Join_Date]],
     IF(
        ISNUMBER(_xlpm.d),TRUE,FALSE
       )
    )</f>
        <v>1</v>
      </c>
      <c r="E967" t="b">
        <f>IF(ISERROR(_xlfn.NUMBERVALUE(Employee_dataset[[#This Row],[Salary]])),FALSE,TRUE)</f>
        <v>1</v>
      </c>
      <c r="F967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967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968" spans="1:7" x14ac:dyDescent="0.3">
      <c r="A968" t="str">
        <f>Employee_dataset[[#This Row],[Employee_ID]]</f>
        <v>EMP1966</v>
      </c>
      <c r="B968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968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968" t="b">
        <f>_xlfn.LET(
     _xlpm.d, Employee_dataset[[#This Row],[Join_Date]],
     IF(
        ISNUMBER(_xlpm.d),TRUE,FALSE
       )
    )</f>
        <v>1</v>
      </c>
      <c r="E968" t="b">
        <f>IF(ISERROR(_xlfn.NUMBERVALUE(Employee_dataset[[#This Row],[Salary]])),FALSE,TRUE)</f>
        <v>1</v>
      </c>
      <c r="F968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968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969" spans="1:7" x14ac:dyDescent="0.3">
      <c r="A969" t="str">
        <f>Employee_dataset[[#This Row],[Employee_ID]]</f>
        <v>EMP1967</v>
      </c>
      <c r="B969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969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969" t="b">
        <f>_xlfn.LET(
     _xlpm.d, Employee_dataset[[#This Row],[Join_Date]],
     IF(
        ISNUMBER(_xlpm.d),TRUE,FALSE
       )
    )</f>
        <v>1</v>
      </c>
      <c r="E969" t="b">
        <f>IF(ISERROR(_xlfn.NUMBERVALUE(Employee_dataset[[#This Row],[Salary]])),FALSE,TRUE)</f>
        <v>1</v>
      </c>
      <c r="F969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969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970" spans="1:7" x14ac:dyDescent="0.3">
      <c r="A970" t="str">
        <f>Employee_dataset[[#This Row],[Employee_ID]]</f>
        <v>EMP1968</v>
      </c>
      <c r="B970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970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970" t="b">
        <f>_xlfn.LET(
     _xlpm.d, Employee_dataset[[#This Row],[Join_Date]],
     IF(
        ISNUMBER(_xlpm.d),TRUE,FALSE
       )
    )</f>
        <v>1</v>
      </c>
      <c r="E970" t="b">
        <f>IF(ISERROR(_xlfn.NUMBERVALUE(Employee_dataset[[#This Row],[Salary]])),FALSE,TRUE)</f>
        <v>1</v>
      </c>
      <c r="F970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970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971" spans="1:7" x14ac:dyDescent="0.3">
      <c r="A971" t="str">
        <f>Employee_dataset[[#This Row],[Employee_ID]]</f>
        <v>EMP1969</v>
      </c>
      <c r="B971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971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971" t="b">
        <f>_xlfn.LET(
     _xlpm.d, Employee_dataset[[#This Row],[Join_Date]],
     IF(
        ISNUMBER(_xlpm.d),TRUE,FALSE
       )
    )</f>
        <v>1</v>
      </c>
      <c r="E971" t="b">
        <f>IF(ISERROR(_xlfn.NUMBERVALUE(Employee_dataset[[#This Row],[Salary]])),FALSE,TRUE)</f>
        <v>1</v>
      </c>
      <c r="F971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971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972" spans="1:7" x14ac:dyDescent="0.3">
      <c r="A972" t="str">
        <f>Employee_dataset[[#This Row],[Employee_ID]]</f>
        <v>EMP1970</v>
      </c>
      <c r="B972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972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972" t="b">
        <f>_xlfn.LET(
     _xlpm.d, Employee_dataset[[#This Row],[Join_Date]],
     IF(
        ISNUMBER(_xlpm.d),TRUE,FALSE
       )
    )</f>
        <v>1</v>
      </c>
      <c r="E972" t="b">
        <f>IF(ISERROR(_xlfn.NUMBERVALUE(Employee_dataset[[#This Row],[Salary]])),FALSE,TRUE)</f>
        <v>1</v>
      </c>
      <c r="F972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972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973" spans="1:7" x14ac:dyDescent="0.3">
      <c r="A973" t="str">
        <f>Employee_dataset[[#This Row],[Employee_ID]]</f>
        <v>EMP1971</v>
      </c>
      <c r="B973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973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973" t="b">
        <f>_xlfn.LET(
     _xlpm.d, Employee_dataset[[#This Row],[Join_Date]],
     IF(
        ISNUMBER(_xlpm.d),TRUE,FALSE
       )
    )</f>
        <v>1</v>
      </c>
      <c r="E973" t="b">
        <f>IF(ISERROR(_xlfn.NUMBERVALUE(Employee_dataset[[#This Row],[Salary]])),FALSE,TRUE)</f>
        <v>1</v>
      </c>
      <c r="F973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973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974" spans="1:7" x14ac:dyDescent="0.3">
      <c r="A974" t="str">
        <f>Employee_dataset[[#This Row],[Employee_ID]]</f>
        <v>EMP1972</v>
      </c>
      <c r="B974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974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974" t="b">
        <f>_xlfn.LET(
     _xlpm.d, Employee_dataset[[#This Row],[Join_Date]],
     IF(
        ISNUMBER(_xlpm.d),TRUE,FALSE
       )
    )</f>
        <v>1</v>
      </c>
      <c r="E974" t="b">
        <f>IF(ISERROR(_xlfn.NUMBERVALUE(Employee_dataset[[#This Row],[Salary]])),FALSE,TRUE)</f>
        <v>1</v>
      </c>
      <c r="F974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974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975" spans="1:7" x14ac:dyDescent="0.3">
      <c r="A975" t="str">
        <f>Employee_dataset[[#This Row],[Employee_ID]]</f>
        <v>EMP1973</v>
      </c>
      <c r="B975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975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975" t="b">
        <f>_xlfn.LET(
     _xlpm.d, Employee_dataset[[#This Row],[Join_Date]],
     IF(
        ISNUMBER(_xlpm.d),TRUE,FALSE
       )
    )</f>
        <v>1</v>
      </c>
      <c r="E975" t="b">
        <f>IF(ISERROR(_xlfn.NUMBERVALUE(Employee_dataset[[#This Row],[Salary]])),FALSE,TRUE)</f>
        <v>1</v>
      </c>
      <c r="F975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975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976" spans="1:7" x14ac:dyDescent="0.3">
      <c r="A976" t="str">
        <f>Employee_dataset[[#This Row],[Employee_ID]]</f>
        <v>EMP1974</v>
      </c>
      <c r="B976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976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976" t="b">
        <f>_xlfn.LET(
     _xlpm.d, Employee_dataset[[#This Row],[Join_Date]],
     IF(
        ISNUMBER(_xlpm.d),TRUE,FALSE
       )
    )</f>
        <v>1</v>
      </c>
      <c r="E976" t="b">
        <f>IF(ISERROR(_xlfn.NUMBERVALUE(Employee_dataset[[#This Row],[Salary]])),FALSE,TRUE)</f>
        <v>1</v>
      </c>
      <c r="F976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976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977" spans="1:7" x14ac:dyDescent="0.3">
      <c r="A977" t="str">
        <f>Employee_dataset[[#This Row],[Employee_ID]]</f>
        <v>EMP1975</v>
      </c>
      <c r="B977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977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977" t="b">
        <f>_xlfn.LET(
     _xlpm.d, Employee_dataset[[#This Row],[Join_Date]],
     IF(
        ISNUMBER(_xlpm.d),TRUE,FALSE
       )
    )</f>
        <v>1</v>
      </c>
      <c r="E977" t="b">
        <f>IF(ISERROR(_xlfn.NUMBERVALUE(Employee_dataset[[#This Row],[Salary]])),FALSE,TRUE)</f>
        <v>1</v>
      </c>
      <c r="F977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977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978" spans="1:7" x14ac:dyDescent="0.3">
      <c r="A978" t="str">
        <f>Employee_dataset[[#This Row],[Employee_ID]]</f>
        <v>EMP1976</v>
      </c>
      <c r="B978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978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978" t="b">
        <f>_xlfn.LET(
     _xlpm.d, Employee_dataset[[#This Row],[Join_Date]],
     IF(
        ISNUMBER(_xlpm.d),TRUE,FALSE
       )
    )</f>
        <v>1</v>
      </c>
      <c r="E978" t="b">
        <f>IF(ISERROR(_xlfn.NUMBERVALUE(Employee_dataset[[#This Row],[Salary]])),FALSE,TRUE)</f>
        <v>1</v>
      </c>
      <c r="F978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978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979" spans="1:7" x14ac:dyDescent="0.3">
      <c r="A979" t="str">
        <f>Employee_dataset[[#This Row],[Employee_ID]]</f>
        <v>EMP1977</v>
      </c>
      <c r="B979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979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979" t="b">
        <f>_xlfn.LET(
     _xlpm.d, Employee_dataset[[#This Row],[Join_Date]],
     IF(
        ISNUMBER(_xlpm.d),TRUE,FALSE
       )
    )</f>
        <v>1</v>
      </c>
      <c r="E979" t="b">
        <f>IF(ISERROR(_xlfn.NUMBERVALUE(Employee_dataset[[#This Row],[Salary]])),FALSE,TRUE)</f>
        <v>1</v>
      </c>
      <c r="F979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979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980" spans="1:7" x14ac:dyDescent="0.3">
      <c r="A980" t="str">
        <f>Employee_dataset[[#This Row],[Employee_ID]]</f>
        <v>EMP1978</v>
      </c>
      <c r="B980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980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980" t="b">
        <f>_xlfn.LET(
     _xlpm.d, Employee_dataset[[#This Row],[Join_Date]],
     IF(
        ISNUMBER(_xlpm.d),TRUE,FALSE
       )
    )</f>
        <v>1</v>
      </c>
      <c r="E980" t="b">
        <f>IF(ISERROR(_xlfn.NUMBERVALUE(Employee_dataset[[#This Row],[Salary]])),FALSE,TRUE)</f>
        <v>1</v>
      </c>
      <c r="F980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980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981" spans="1:7" x14ac:dyDescent="0.3">
      <c r="A981" t="str">
        <f>Employee_dataset[[#This Row],[Employee_ID]]</f>
        <v>EMP1979</v>
      </c>
      <c r="B981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981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981" t="b">
        <f>_xlfn.LET(
     _xlpm.d, Employee_dataset[[#This Row],[Join_Date]],
     IF(
        ISNUMBER(_xlpm.d),TRUE,FALSE
       )
    )</f>
        <v>1</v>
      </c>
      <c r="E981" t="b">
        <f>IF(ISERROR(_xlfn.NUMBERVALUE(Employee_dataset[[#This Row],[Salary]])),FALSE,TRUE)</f>
        <v>1</v>
      </c>
      <c r="F981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981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982" spans="1:7" x14ac:dyDescent="0.3">
      <c r="A982" t="str">
        <f>Employee_dataset[[#This Row],[Employee_ID]]</f>
        <v>EMP1980</v>
      </c>
      <c r="B982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982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982" t="b">
        <f>_xlfn.LET(
     _xlpm.d, Employee_dataset[[#This Row],[Join_Date]],
     IF(
        ISNUMBER(_xlpm.d),TRUE,FALSE
       )
    )</f>
        <v>1</v>
      </c>
      <c r="E982" t="b">
        <f>IF(ISERROR(_xlfn.NUMBERVALUE(Employee_dataset[[#This Row],[Salary]])),FALSE,TRUE)</f>
        <v>1</v>
      </c>
      <c r="F982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982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983" spans="1:7" x14ac:dyDescent="0.3">
      <c r="A983" t="str">
        <f>Employee_dataset[[#This Row],[Employee_ID]]</f>
        <v>EMP1981</v>
      </c>
      <c r="B983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983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983" t="b">
        <f>_xlfn.LET(
     _xlpm.d, Employee_dataset[[#This Row],[Join_Date]],
     IF(
        ISNUMBER(_xlpm.d),TRUE,FALSE
       )
    )</f>
        <v>1</v>
      </c>
      <c r="E983" t="b">
        <f>IF(ISERROR(_xlfn.NUMBERVALUE(Employee_dataset[[#This Row],[Salary]])),FALSE,TRUE)</f>
        <v>1</v>
      </c>
      <c r="F983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983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984" spans="1:7" x14ac:dyDescent="0.3">
      <c r="A984" t="str">
        <f>Employee_dataset[[#This Row],[Employee_ID]]</f>
        <v>EMP1982</v>
      </c>
      <c r="B984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984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984" t="b">
        <f>_xlfn.LET(
     _xlpm.d, Employee_dataset[[#This Row],[Join_Date]],
     IF(
        ISNUMBER(_xlpm.d),TRUE,FALSE
       )
    )</f>
        <v>1</v>
      </c>
      <c r="E984" t="b">
        <f>IF(ISERROR(_xlfn.NUMBERVALUE(Employee_dataset[[#This Row],[Salary]])),FALSE,TRUE)</f>
        <v>1</v>
      </c>
      <c r="F984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984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985" spans="1:7" x14ac:dyDescent="0.3">
      <c r="A985" t="str">
        <f>Employee_dataset[[#This Row],[Employee_ID]]</f>
        <v>EMP1983</v>
      </c>
      <c r="B985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985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985" t="b">
        <f>_xlfn.LET(
     _xlpm.d, Employee_dataset[[#This Row],[Join_Date]],
     IF(
        ISNUMBER(_xlpm.d),TRUE,FALSE
       )
    )</f>
        <v>1</v>
      </c>
      <c r="E985" t="b">
        <f>IF(ISERROR(_xlfn.NUMBERVALUE(Employee_dataset[[#This Row],[Salary]])),FALSE,TRUE)</f>
        <v>1</v>
      </c>
      <c r="F985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985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986" spans="1:7" x14ac:dyDescent="0.3">
      <c r="A986" t="str">
        <f>Employee_dataset[[#This Row],[Employee_ID]]</f>
        <v>EMP1984</v>
      </c>
      <c r="B986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986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986" t="b">
        <f>_xlfn.LET(
     _xlpm.d, Employee_dataset[[#This Row],[Join_Date]],
     IF(
        ISNUMBER(_xlpm.d),TRUE,FALSE
       )
    )</f>
        <v>1</v>
      </c>
      <c r="E986" t="b">
        <f>IF(ISERROR(_xlfn.NUMBERVALUE(Employee_dataset[[#This Row],[Salary]])),FALSE,TRUE)</f>
        <v>1</v>
      </c>
      <c r="F986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986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987" spans="1:7" x14ac:dyDescent="0.3">
      <c r="A987" t="str">
        <f>Employee_dataset[[#This Row],[Employee_ID]]</f>
        <v>EMP1985</v>
      </c>
      <c r="B987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987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987" t="b">
        <f>_xlfn.LET(
     _xlpm.d, Employee_dataset[[#This Row],[Join_Date]],
     IF(
        ISNUMBER(_xlpm.d),TRUE,FALSE
       )
    )</f>
        <v>1</v>
      </c>
      <c r="E987" t="b">
        <f>IF(ISERROR(_xlfn.NUMBERVALUE(Employee_dataset[[#This Row],[Salary]])),FALSE,TRUE)</f>
        <v>1</v>
      </c>
      <c r="F987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987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988" spans="1:7" x14ac:dyDescent="0.3">
      <c r="A988" t="str">
        <f>Employee_dataset[[#This Row],[Employee_ID]]</f>
        <v>EMP1986</v>
      </c>
      <c r="B988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988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0</v>
      </c>
      <c r="D988" t="b">
        <f>_xlfn.LET(
     _xlpm.d, Employee_dataset[[#This Row],[Join_Date]],
     IF(
        ISNUMBER(_xlpm.d),TRUE,FALSE
       )
    )</f>
        <v>1</v>
      </c>
      <c r="E988" t="b">
        <f>IF(ISERROR(_xlfn.NUMBERVALUE(Employee_dataset[[#This Row],[Salary]])),FALSE,TRUE)</f>
        <v>1</v>
      </c>
      <c r="F988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>Phone</v>
      </c>
      <c r="G988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989" spans="1:7" x14ac:dyDescent="0.3">
      <c r="A989" t="str">
        <f>Employee_dataset[[#This Row],[Employee_ID]]</f>
        <v>EMP1987</v>
      </c>
      <c r="B989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989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989" t="b">
        <f>_xlfn.LET(
     _xlpm.d, Employee_dataset[[#This Row],[Join_Date]],
     IF(
        ISNUMBER(_xlpm.d),TRUE,FALSE
       )
    )</f>
        <v>1</v>
      </c>
      <c r="E989" t="b">
        <f>IF(ISERROR(_xlfn.NUMBERVALUE(Employee_dataset[[#This Row],[Salary]])),FALSE,TRUE)</f>
        <v>1</v>
      </c>
      <c r="F989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989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990" spans="1:7" x14ac:dyDescent="0.3">
      <c r="A990" t="str">
        <f>Employee_dataset[[#This Row],[Employee_ID]]</f>
        <v>EMP1988</v>
      </c>
      <c r="B990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990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990" t="b">
        <f>_xlfn.LET(
     _xlpm.d, Employee_dataset[[#This Row],[Join_Date]],
     IF(
        ISNUMBER(_xlpm.d),TRUE,FALSE
       )
    )</f>
        <v>1</v>
      </c>
      <c r="E990" t="b">
        <f>IF(ISERROR(_xlfn.NUMBERVALUE(Employee_dataset[[#This Row],[Salary]])),FALSE,TRUE)</f>
        <v>1</v>
      </c>
      <c r="F990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990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991" spans="1:7" x14ac:dyDescent="0.3">
      <c r="A991" t="str">
        <f>Employee_dataset[[#This Row],[Employee_ID]]</f>
        <v>EMP1989</v>
      </c>
      <c r="B991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991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991" t="b">
        <f>_xlfn.LET(
     _xlpm.d, Employee_dataset[[#This Row],[Join_Date]],
     IF(
        ISNUMBER(_xlpm.d),TRUE,FALSE
       )
    )</f>
        <v>1</v>
      </c>
      <c r="E991" t="b">
        <f>IF(ISERROR(_xlfn.NUMBERVALUE(Employee_dataset[[#This Row],[Salary]])),FALSE,TRUE)</f>
        <v>1</v>
      </c>
      <c r="F991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991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992" spans="1:7" x14ac:dyDescent="0.3">
      <c r="A992" t="str">
        <f>Employee_dataset[[#This Row],[Employee_ID]]</f>
        <v>EMP1990</v>
      </c>
      <c r="B992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992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992" t="b">
        <f>_xlfn.LET(
     _xlpm.d, Employee_dataset[[#This Row],[Join_Date]],
     IF(
        ISNUMBER(_xlpm.d),TRUE,FALSE
       )
    )</f>
        <v>1</v>
      </c>
      <c r="E992" t="b">
        <f>IF(ISERROR(_xlfn.NUMBERVALUE(Employee_dataset[[#This Row],[Salary]])),FALSE,TRUE)</f>
        <v>1</v>
      </c>
      <c r="F992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992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993" spans="1:7" x14ac:dyDescent="0.3">
      <c r="A993" t="str">
        <f>Employee_dataset[[#This Row],[Employee_ID]]</f>
        <v>EMP1991</v>
      </c>
      <c r="B993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993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993" t="b">
        <f>_xlfn.LET(
     _xlpm.d, Employee_dataset[[#This Row],[Join_Date]],
     IF(
        ISNUMBER(_xlpm.d),TRUE,FALSE
       )
    )</f>
        <v>1</v>
      </c>
      <c r="E993" t="b">
        <f>IF(ISERROR(_xlfn.NUMBERVALUE(Employee_dataset[[#This Row],[Salary]])),FALSE,TRUE)</f>
        <v>1</v>
      </c>
      <c r="F993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993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994" spans="1:7" x14ac:dyDescent="0.3">
      <c r="A994" t="str">
        <f>Employee_dataset[[#This Row],[Employee_ID]]</f>
        <v>EMP1992</v>
      </c>
      <c r="B994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994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994" t="b">
        <f>_xlfn.LET(
     _xlpm.d, Employee_dataset[[#This Row],[Join_Date]],
     IF(
        ISNUMBER(_xlpm.d),TRUE,FALSE
       )
    )</f>
        <v>1</v>
      </c>
      <c r="E994" t="b">
        <f>IF(ISERROR(_xlfn.NUMBERVALUE(Employee_dataset[[#This Row],[Salary]])),FALSE,TRUE)</f>
        <v>1</v>
      </c>
      <c r="F994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994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995" spans="1:7" x14ac:dyDescent="0.3">
      <c r="A995" t="str">
        <f>Employee_dataset[[#This Row],[Employee_ID]]</f>
        <v>EMP1993</v>
      </c>
      <c r="B995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995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995" t="b">
        <f>_xlfn.LET(
     _xlpm.d, Employee_dataset[[#This Row],[Join_Date]],
     IF(
        ISNUMBER(_xlpm.d),TRUE,FALSE
       )
    )</f>
        <v>1</v>
      </c>
      <c r="E995" t="b">
        <f>IF(ISERROR(_xlfn.NUMBERVALUE(Employee_dataset[[#This Row],[Salary]])),FALSE,TRUE)</f>
        <v>1</v>
      </c>
      <c r="F995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995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996" spans="1:7" x14ac:dyDescent="0.3">
      <c r="A996" t="str">
        <f>Employee_dataset[[#This Row],[Employee_ID]]</f>
        <v>EMP1994</v>
      </c>
      <c r="B996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996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996" t="b">
        <f>_xlfn.LET(
     _xlpm.d, Employee_dataset[[#This Row],[Join_Date]],
     IF(
        ISNUMBER(_xlpm.d),TRUE,FALSE
       )
    )</f>
        <v>1</v>
      </c>
      <c r="E996" t="b">
        <f>IF(ISERROR(_xlfn.NUMBERVALUE(Employee_dataset[[#This Row],[Salary]])),FALSE,TRUE)</f>
        <v>1</v>
      </c>
      <c r="F996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996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997" spans="1:7" x14ac:dyDescent="0.3">
      <c r="A997" t="str">
        <f>Employee_dataset[[#This Row],[Employee_ID]]</f>
        <v>EMP1995</v>
      </c>
      <c r="B997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997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997" t="b">
        <f>_xlfn.LET(
     _xlpm.d, Employee_dataset[[#This Row],[Join_Date]],
     IF(
        ISNUMBER(_xlpm.d),TRUE,FALSE
       )
    )</f>
        <v>1</v>
      </c>
      <c r="E997" t="b">
        <f>IF(ISERROR(_xlfn.NUMBERVALUE(Employee_dataset[[#This Row],[Salary]])),FALSE,TRUE)</f>
        <v>1</v>
      </c>
      <c r="F997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997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998" spans="1:7" x14ac:dyDescent="0.3">
      <c r="A998" t="str">
        <f>Employee_dataset[[#This Row],[Employee_ID]]</f>
        <v>EMP1996</v>
      </c>
      <c r="B998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998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998" t="b">
        <f>_xlfn.LET(
     _xlpm.d, Employee_dataset[[#This Row],[Join_Date]],
     IF(
        ISNUMBER(_xlpm.d),TRUE,FALSE
       )
    )</f>
        <v>1</v>
      </c>
      <c r="E998" t="b">
        <f>IF(ISERROR(_xlfn.NUMBERVALUE(Employee_dataset[[#This Row],[Salary]])),FALSE,TRUE)</f>
        <v>1</v>
      </c>
      <c r="F998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998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999" spans="1:7" x14ac:dyDescent="0.3">
      <c r="A999" t="str">
        <f>Employee_dataset[[#This Row],[Employee_ID]]</f>
        <v>EMP1997</v>
      </c>
      <c r="B999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999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999" t="b">
        <f>_xlfn.LET(
     _xlpm.d, Employee_dataset[[#This Row],[Join_Date]],
     IF(
        ISNUMBER(_xlpm.d),TRUE,FALSE
       )
    )</f>
        <v>1</v>
      </c>
      <c r="E999" t="b">
        <f>IF(ISERROR(_xlfn.NUMBERVALUE(Employee_dataset[[#This Row],[Salary]])),FALSE,TRUE)</f>
        <v>1</v>
      </c>
      <c r="F999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999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1000" spans="1:7" x14ac:dyDescent="0.3">
      <c r="A1000" t="str">
        <f>Employee_dataset[[#This Row],[Employee_ID]]</f>
        <v>EMP1998</v>
      </c>
      <c r="B1000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1000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1000" t="b">
        <f>_xlfn.LET(
     _xlpm.d, Employee_dataset[[#This Row],[Join_Date]],
     IF(
        ISNUMBER(_xlpm.d),TRUE,FALSE
       )
    )</f>
        <v>1</v>
      </c>
      <c r="E1000" t="b">
        <f>IF(ISERROR(_xlfn.NUMBERVALUE(Employee_dataset[[#This Row],[Salary]])),FALSE,TRUE)</f>
        <v>1</v>
      </c>
      <c r="F1000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1000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1001" spans="1:7" x14ac:dyDescent="0.3">
      <c r="A1001" t="str">
        <f>Employee_dataset[[#This Row],[Employee_ID]]</f>
        <v>EMP1999</v>
      </c>
      <c r="B1001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1001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1001" t="b">
        <f>_xlfn.LET(
     _xlpm.d, Employee_dataset[[#This Row],[Join_Date]],
     IF(
        ISNUMBER(_xlpm.d),TRUE,FALSE
       )
    )</f>
        <v>1</v>
      </c>
      <c r="E1001" t="b">
        <f>IF(ISERROR(_xlfn.NUMBERVALUE(Employee_dataset[[#This Row],[Salary]])),FALSE,TRUE)</f>
        <v>1</v>
      </c>
      <c r="F1001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1001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1002" spans="1:7" x14ac:dyDescent="0.3">
      <c r="A1002" t="str">
        <f>Employee_dataset[[#This Row],[Employee_ID]]</f>
        <v>EMP2000</v>
      </c>
      <c r="B1002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1002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1002" t="b">
        <f>_xlfn.LET(
     _xlpm.d, Employee_dataset[[#This Row],[Join_Date]],
     IF(
        ISNUMBER(_xlpm.d),TRUE,FALSE
       )
    )</f>
        <v>1</v>
      </c>
      <c r="E1002" t="b">
        <f>IF(ISERROR(_xlfn.NUMBERVALUE(Employee_dataset[[#This Row],[Salary]])),FALSE,TRUE)</f>
        <v>1</v>
      </c>
      <c r="F1002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1002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1003" spans="1:7" x14ac:dyDescent="0.3">
      <c r="A1003" t="str">
        <f>Employee_dataset[[#This Row],[Employee_ID]]</f>
        <v>EMP2001</v>
      </c>
      <c r="B1003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1003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1003" t="b">
        <f>_xlfn.LET(
     _xlpm.d, Employee_dataset[[#This Row],[Join_Date]],
     IF(
        ISNUMBER(_xlpm.d),TRUE,FALSE
       )
    )</f>
        <v>1</v>
      </c>
      <c r="E1003" t="b">
        <f>IF(ISERROR(_xlfn.NUMBERVALUE(Employee_dataset[[#This Row],[Salary]])),FALSE,TRUE)</f>
        <v>1</v>
      </c>
      <c r="F1003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1003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1004" spans="1:7" x14ac:dyDescent="0.3">
      <c r="A1004" t="str">
        <f>Employee_dataset[[#This Row],[Employee_ID]]</f>
        <v>EMP2002</v>
      </c>
      <c r="B1004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1004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0</v>
      </c>
      <c r="D1004" t="b">
        <f>_xlfn.LET(
     _xlpm.d, Employee_dataset[[#This Row],[Join_Date]],
     IF(
        ISNUMBER(_xlpm.d),TRUE,FALSE
       )
    )</f>
        <v>1</v>
      </c>
      <c r="E1004" t="b">
        <f>IF(ISERROR(_xlfn.NUMBERVALUE(Employee_dataset[[#This Row],[Salary]])),FALSE,TRUE)</f>
        <v>1</v>
      </c>
      <c r="F1004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>Phone</v>
      </c>
      <c r="G1004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1005" spans="1:7" x14ac:dyDescent="0.3">
      <c r="A1005" t="str">
        <f>Employee_dataset[[#This Row],[Employee_ID]]</f>
        <v>EMP2003</v>
      </c>
      <c r="B1005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1005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1005" t="b">
        <f>_xlfn.LET(
     _xlpm.d, Employee_dataset[[#This Row],[Join_Date]],
     IF(
        ISNUMBER(_xlpm.d),TRUE,FALSE
       )
    )</f>
        <v>1</v>
      </c>
      <c r="E1005" t="b">
        <f>IF(ISERROR(_xlfn.NUMBERVALUE(Employee_dataset[[#This Row],[Salary]])),FALSE,TRUE)</f>
        <v>1</v>
      </c>
      <c r="F1005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1005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1006" spans="1:7" x14ac:dyDescent="0.3">
      <c r="A1006" t="str">
        <f>Employee_dataset[[#This Row],[Employee_ID]]</f>
        <v>EMP2004</v>
      </c>
      <c r="B1006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1006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1006" t="b">
        <f>_xlfn.LET(
     _xlpm.d, Employee_dataset[[#This Row],[Join_Date]],
     IF(
        ISNUMBER(_xlpm.d),TRUE,FALSE
       )
    )</f>
        <v>1</v>
      </c>
      <c r="E1006" t="b">
        <f>IF(ISERROR(_xlfn.NUMBERVALUE(Employee_dataset[[#This Row],[Salary]])),FALSE,TRUE)</f>
        <v>1</v>
      </c>
      <c r="F1006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1006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1007" spans="1:7" x14ac:dyDescent="0.3">
      <c r="A1007" t="str">
        <f>Employee_dataset[[#This Row],[Employee_ID]]</f>
        <v>EMP2005</v>
      </c>
      <c r="B1007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1007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1007" t="b">
        <f>_xlfn.LET(
     _xlpm.d, Employee_dataset[[#This Row],[Join_Date]],
     IF(
        ISNUMBER(_xlpm.d),TRUE,FALSE
       )
    )</f>
        <v>1</v>
      </c>
      <c r="E1007" t="b">
        <f>IF(ISERROR(_xlfn.NUMBERVALUE(Employee_dataset[[#This Row],[Salary]])),FALSE,TRUE)</f>
        <v>1</v>
      </c>
      <c r="F1007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1007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1008" spans="1:7" x14ac:dyDescent="0.3">
      <c r="A1008" t="str">
        <f>Employee_dataset[[#This Row],[Employee_ID]]</f>
        <v>EMP2006</v>
      </c>
      <c r="B1008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1008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0</v>
      </c>
      <c r="D1008" t="b">
        <f>_xlfn.LET(
     _xlpm.d, Employee_dataset[[#This Row],[Join_Date]],
     IF(
        ISNUMBER(_xlpm.d),TRUE,FALSE
       )
    )</f>
        <v>1</v>
      </c>
      <c r="E1008" t="b">
        <f>IF(ISERROR(_xlfn.NUMBERVALUE(Employee_dataset[[#This Row],[Salary]])),FALSE,TRUE)</f>
        <v>1</v>
      </c>
      <c r="F1008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>Phone</v>
      </c>
      <c r="G1008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1009" spans="1:7" x14ac:dyDescent="0.3">
      <c r="A1009" t="str">
        <f>Employee_dataset[[#This Row],[Employee_ID]]</f>
        <v>EMP2007</v>
      </c>
      <c r="B1009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1009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1009" t="b">
        <f>_xlfn.LET(
     _xlpm.d, Employee_dataset[[#This Row],[Join_Date]],
     IF(
        ISNUMBER(_xlpm.d),TRUE,FALSE
       )
    )</f>
        <v>1</v>
      </c>
      <c r="E1009" t="b">
        <f>IF(ISERROR(_xlfn.NUMBERVALUE(Employee_dataset[[#This Row],[Salary]])),FALSE,TRUE)</f>
        <v>1</v>
      </c>
      <c r="F1009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1009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1010" spans="1:7" x14ac:dyDescent="0.3">
      <c r="A1010" t="str">
        <f>Employee_dataset[[#This Row],[Employee_ID]]</f>
        <v>EMP2008</v>
      </c>
      <c r="B1010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1010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1010" t="b">
        <f>_xlfn.LET(
     _xlpm.d, Employee_dataset[[#This Row],[Join_Date]],
     IF(
        ISNUMBER(_xlpm.d),TRUE,FALSE
       )
    )</f>
        <v>1</v>
      </c>
      <c r="E1010" t="b">
        <f>IF(ISERROR(_xlfn.NUMBERVALUE(Employee_dataset[[#This Row],[Salary]])),FALSE,TRUE)</f>
        <v>1</v>
      </c>
      <c r="F1010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1010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1011" spans="1:7" x14ac:dyDescent="0.3">
      <c r="A1011" t="str">
        <f>Employee_dataset[[#This Row],[Employee_ID]]</f>
        <v>EMP2009</v>
      </c>
      <c r="B1011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1011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1011" t="b">
        <f>_xlfn.LET(
     _xlpm.d, Employee_dataset[[#This Row],[Join_Date]],
     IF(
        ISNUMBER(_xlpm.d),TRUE,FALSE
       )
    )</f>
        <v>1</v>
      </c>
      <c r="E1011" t="b">
        <f>IF(ISERROR(_xlfn.NUMBERVALUE(Employee_dataset[[#This Row],[Salary]])),FALSE,TRUE)</f>
        <v>1</v>
      </c>
      <c r="F1011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1011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1012" spans="1:7" x14ac:dyDescent="0.3">
      <c r="A1012" t="str">
        <f>Employee_dataset[[#This Row],[Employee_ID]]</f>
        <v>EMP2010</v>
      </c>
      <c r="B1012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1012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1012" t="b">
        <f>_xlfn.LET(
     _xlpm.d, Employee_dataset[[#This Row],[Join_Date]],
     IF(
        ISNUMBER(_xlpm.d),TRUE,FALSE
       )
    )</f>
        <v>1</v>
      </c>
      <c r="E1012" t="b">
        <f>IF(ISERROR(_xlfn.NUMBERVALUE(Employee_dataset[[#This Row],[Salary]])),FALSE,TRUE)</f>
        <v>1</v>
      </c>
      <c r="F1012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1012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1013" spans="1:7" x14ac:dyDescent="0.3">
      <c r="A1013" t="str">
        <f>Employee_dataset[[#This Row],[Employee_ID]]</f>
        <v>EMP2011</v>
      </c>
      <c r="B1013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1013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1013" t="b">
        <f>_xlfn.LET(
     _xlpm.d, Employee_dataset[[#This Row],[Join_Date]],
     IF(
        ISNUMBER(_xlpm.d),TRUE,FALSE
       )
    )</f>
        <v>1</v>
      </c>
      <c r="E1013" t="b">
        <f>IF(ISERROR(_xlfn.NUMBERVALUE(Employee_dataset[[#This Row],[Salary]])),FALSE,TRUE)</f>
        <v>1</v>
      </c>
      <c r="F1013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1013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1014" spans="1:7" x14ac:dyDescent="0.3">
      <c r="A1014" t="str">
        <f>Employee_dataset[[#This Row],[Employee_ID]]</f>
        <v>EMP2012</v>
      </c>
      <c r="B1014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1014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1014" t="b">
        <f>_xlfn.LET(
     _xlpm.d, Employee_dataset[[#This Row],[Join_Date]],
     IF(
        ISNUMBER(_xlpm.d),TRUE,FALSE
       )
    )</f>
        <v>1</v>
      </c>
      <c r="E1014" t="b">
        <f>IF(ISERROR(_xlfn.NUMBERVALUE(Employee_dataset[[#This Row],[Salary]])),FALSE,TRUE)</f>
        <v>0</v>
      </c>
      <c r="F1014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>Salary</v>
      </c>
      <c r="G1014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1015" spans="1:7" x14ac:dyDescent="0.3">
      <c r="A1015" t="str">
        <f>Employee_dataset[[#This Row],[Employee_ID]]</f>
        <v>EMP2013</v>
      </c>
      <c r="B1015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1015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1015" t="b">
        <f>_xlfn.LET(
     _xlpm.d, Employee_dataset[[#This Row],[Join_Date]],
     IF(
        ISNUMBER(_xlpm.d),TRUE,FALSE
       )
    )</f>
        <v>1</v>
      </c>
      <c r="E1015" t="b">
        <f>IF(ISERROR(_xlfn.NUMBERVALUE(Employee_dataset[[#This Row],[Salary]])),FALSE,TRUE)</f>
        <v>1</v>
      </c>
      <c r="F1015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1015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1016" spans="1:7" x14ac:dyDescent="0.3">
      <c r="A1016" t="str">
        <f>Employee_dataset[[#This Row],[Employee_ID]]</f>
        <v>EMP2014</v>
      </c>
      <c r="B1016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1016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1016" t="b">
        <f>_xlfn.LET(
     _xlpm.d, Employee_dataset[[#This Row],[Join_Date]],
     IF(
        ISNUMBER(_xlpm.d),TRUE,FALSE
       )
    )</f>
        <v>1</v>
      </c>
      <c r="E1016" t="b">
        <f>IF(ISERROR(_xlfn.NUMBERVALUE(Employee_dataset[[#This Row],[Salary]])),FALSE,TRUE)</f>
        <v>1</v>
      </c>
      <c r="F1016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1016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1017" spans="1:7" x14ac:dyDescent="0.3">
      <c r="A1017" t="str">
        <f>Employee_dataset[[#This Row],[Employee_ID]]</f>
        <v>EMP2015</v>
      </c>
      <c r="B1017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1017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1017" t="b">
        <f>_xlfn.LET(
     _xlpm.d, Employee_dataset[[#This Row],[Join_Date]],
     IF(
        ISNUMBER(_xlpm.d),TRUE,FALSE
       )
    )</f>
        <v>1</v>
      </c>
      <c r="E1017" t="b">
        <f>IF(ISERROR(_xlfn.NUMBERVALUE(Employee_dataset[[#This Row],[Salary]])),FALSE,TRUE)</f>
        <v>0</v>
      </c>
      <c r="F1017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>Salary</v>
      </c>
      <c r="G1017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1018" spans="1:7" x14ac:dyDescent="0.3">
      <c r="A1018" t="str">
        <f>Employee_dataset[[#This Row],[Employee_ID]]</f>
        <v>EMP2016</v>
      </c>
      <c r="B1018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1018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1018" t="b">
        <f>_xlfn.LET(
     _xlpm.d, Employee_dataset[[#This Row],[Join_Date]],
     IF(
        ISNUMBER(_xlpm.d),TRUE,FALSE
       )
    )</f>
        <v>1</v>
      </c>
      <c r="E1018" t="b">
        <f>IF(ISERROR(_xlfn.NUMBERVALUE(Employee_dataset[[#This Row],[Salary]])),FALSE,TRUE)</f>
        <v>1</v>
      </c>
      <c r="F1018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1018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1019" spans="1:7" x14ac:dyDescent="0.3">
      <c r="A1019" t="str">
        <f>Employee_dataset[[#This Row],[Employee_ID]]</f>
        <v>EMP2017</v>
      </c>
      <c r="B1019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1019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1019" t="b">
        <f>_xlfn.LET(
     _xlpm.d, Employee_dataset[[#This Row],[Join_Date]],
     IF(
        ISNUMBER(_xlpm.d),TRUE,FALSE
       )
    )</f>
        <v>1</v>
      </c>
      <c r="E1019" t="b">
        <f>IF(ISERROR(_xlfn.NUMBERVALUE(Employee_dataset[[#This Row],[Salary]])),FALSE,TRUE)</f>
        <v>1</v>
      </c>
      <c r="F1019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1019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1020" spans="1:7" x14ac:dyDescent="0.3">
      <c r="A1020" t="str">
        <f>Employee_dataset[[#This Row],[Employee_ID]]</f>
        <v>EMP2018</v>
      </c>
      <c r="B1020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1020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1020" t="b">
        <f>_xlfn.LET(
     _xlpm.d, Employee_dataset[[#This Row],[Join_Date]],
     IF(
        ISNUMBER(_xlpm.d),TRUE,FALSE
       )
    )</f>
        <v>1</v>
      </c>
      <c r="E1020" t="b">
        <f>IF(ISERROR(_xlfn.NUMBERVALUE(Employee_dataset[[#This Row],[Salary]])),FALSE,TRUE)</f>
        <v>1</v>
      </c>
      <c r="F1020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1020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  <row r="1021" spans="1:7" x14ac:dyDescent="0.3">
      <c r="A1021" t="str">
        <f>Employee_dataset[[#This Row],[Employee_ID]]</f>
        <v>EMP2019</v>
      </c>
      <c r="B1021" t="b">
        <f>_xlfn.LET(
     _xlpm.e, TRIM(LOWER(Employee_dataset[[#This Row],[Email]])),
     IF(
        OR(_xlpm.e="",_xlpm.e="null",_xlpm.e="n/a"),FALSE,
        IF(
           LEN(_xlpm.e)-LEN(SUBSTITUTE(_xlpm.e,"@",""))&lt;&gt;1,FALSE,
           IF(
              OR(LEN(_xlfn.TEXTBEFORE(_xlpm.e,"@"))=0,LEN(_xlfn.TEXTAFTER(_xlpm.e,"@"))=0),FALSE,
              IF(
                 ISNUMBER(SEARCH(".",_xlfn.TEXTAFTER(_xlpm.e,"@"))),TRUE,FALSE
                )
             )
          )
       )
    )</f>
        <v>1</v>
      </c>
      <c r="C1021" t="b">
        <f>_xlfn.LET(
     _xlpm.p,TRIM(Employee_dataset[[#This Row],[Phone]]),
     IF(
        OR(_xlpm.p="",UPPER(_xlpm.p)="N/A",UPPER(_xlpm.p)="NULL"),FALSE,
        IF(
           LEN(SUBSTITUTE(_xlpm.p,"-",""))&lt;&gt;10,FALSE,TRUE
          )
       )
    )</f>
        <v>1</v>
      </c>
      <c r="D1021" t="b">
        <f>_xlfn.LET(
     _xlpm.d, Employee_dataset[[#This Row],[Join_Date]],
     IF(
        ISNUMBER(_xlpm.d),TRUE,FALSE
       )
    )</f>
        <v>1</v>
      </c>
      <c r="E1021" t="b">
        <f>IF(ISERROR(_xlfn.NUMBERVALUE(Employee_dataset[[#This Row],[Salary]])),FALSE,TRUE)</f>
        <v>1</v>
      </c>
      <c r="F1021" t="str">
        <f>_xlfn.TEXTJOIN(", ", TRUE,
    IF(NOT(QA_Table[[#This Row],[email_isValid]]), "Email", ""),
    IF(NOT(QA_Table[[#This Row],[phone_isValid]]), "Phone", ""),
    IF(NOT(QA_Table[[#This Row],[join_date_isValid]]), "JoinDate", ""),
    IF(NOT(QA_Table[[#This Row],[salary_isValid]]), "Salary", "")
)</f>
        <v/>
      </c>
      <c r="G1021" t="b">
        <f>COUNTIFS(
    Employee_dataset[First_Name],Employee_dataset[[#This Row],[First_Name]],
    Employee_dataset[Last_Name],Employee_dataset[[#This Row],[Last_Name]],
    Employee_dataset[Email],Employee_dataset[[#This Row],[Email]],
    Employee_dataset[Phone],Employee_dataset[[#This Row],[Phone]]
)=1</f>
        <v>1</v>
      </c>
    </row>
  </sheetData>
  <mergeCells count="1">
    <mergeCell ref="I2:J3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63B89-2AEB-4D93-B70A-05B8037A3F95}">
  <dimension ref="A1:L1021"/>
  <sheetViews>
    <sheetView workbookViewId="0">
      <selection activeCell="B2" sqref="B2"/>
    </sheetView>
  </sheetViews>
  <sheetFormatPr defaultRowHeight="14.4" x14ac:dyDescent="0.3"/>
  <cols>
    <col min="1" max="1" width="14" bestFit="1" customWidth="1"/>
    <col min="2" max="2" width="12.77734375" bestFit="1" customWidth="1"/>
    <col min="3" max="3" width="12.44140625" bestFit="1" customWidth="1"/>
    <col min="4" max="4" width="6.21875" bestFit="1" customWidth="1"/>
    <col min="5" max="5" width="19.77734375" bestFit="1" customWidth="1"/>
    <col min="6" max="6" width="8.5546875" bestFit="1" customWidth="1"/>
    <col min="7" max="7" width="11.109375" bestFit="1" customWidth="1"/>
    <col min="8" max="8" width="9.5546875" bestFit="1" customWidth="1"/>
    <col min="9" max="9" width="26.6640625" bestFit="1" customWidth="1"/>
    <col min="10" max="10" width="11.6640625" bestFit="1" customWidth="1"/>
    <col min="11" max="11" width="19.6640625" bestFit="1" customWidth="1"/>
    <col min="12" max="12" width="14.777343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>
        <v>25</v>
      </c>
      <c r="E2" t="s">
        <v>15</v>
      </c>
      <c r="F2" t="s">
        <v>16</v>
      </c>
      <c r="G2" s="1">
        <v>44288</v>
      </c>
      <c r="H2" t="s">
        <v>17</v>
      </c>
      <c r="I2" t="s">
        <v>18</v>
      </c>
      <c r="J2">
        <v>-1651623197</v>
      </c>
      <c r="K2" t="s">
        <v>19</v>
      </c>
      <c r="L2" t="b">
        <v>1</v>
      </c>
    </row>
    <row r="3" spans="1:12" x14ac:dyDescent="0.3">
      <c r="A3" t="s">
        <v>20</v>
      </c>
      <c r="B3" t="s">
        <v>13</v>
      </c>
      <c r="C3" t="s">
        <v>21</v>
      </c>
      <c r="E3" t="s">
        <v>22</v>
      </c>
      <c r="F3" t="s">
        <v>16</v>
      </c>
      <c r="G3" s="1">
        <v>44022</v>
      </c>
      <c r="H3" t="s">
        <v>23</v>
      </c>
      <c r="I3" t="s">
        <v>24</v>
      </c>
      <c r="J3">
        <v>-1898471390</v>
      </c>
      <c r="K3" t="s">
        <v>25</v>
      </c>
      <c r="L3" t="b">
        <v>1</v>
      </c>
    </row>
    <row r="4" spans="1:12" x14ac:dyDescent="0.3">
      <c r="A4" t="s">
        <v>26</v>
      </c>
      <c r="B4" t="s">
        <v>27</v>
      </c>
      <c r="C4" t="s">
        <v>28</v>
      </c>
      <c r="E4" t="s">
        <v>29</v>
      </c>
      <c r="F4" t="s">
        <v>30</v>
      </c>
      <c r="G4" s="1">
        <v>45267</v>
      </c>
      <c r="H4" t="s">
        <v>31</v>
      </c>
      <c r="I4" t="s">
        <v>32</v>
      </c>
      <c r="J4">
        <v>-5596363211</v>
      </c>
      <c r="K4" t="s">
        <v>33</v>
      </c>
      <c r="L4" t="b">
        <v>1</v>
      </c>
    </row>
    <row r="5" spans="1:12" x14ac:dyDescent="0.3">
      <c r="A5" t="s">
        <v>34</v>
      </c>
      <c r="B5" t="s">
        <v>35</v>
      </c>
      <c r="C5" t="s">
        <v>14</v>
      </c>
      <c r="D5">
        <v>25</v>
      </c>
      <c r="E5" t="s">
        <v>29</v>
      </c>
      <c r="F5" t="s">
        <v>36</v>
      </c>
      <c r="G5" s="1">
        <v>44527</v>
      </c>
      <c r="H5" t="s">
        <v>37</v>
      </c>
      <c r="I5" t="s">
        <v>38</v>
      </c>
      <c r="J5">
        <v>-3476490784</v>
      </c>
      <c r="K5" t="s">
        <v>33</v>
      </c>
      <c r="L5" t="b">
        <v>1</v>
      </c>
    </row>
    <row r="6" spans="1:12" x14ac:dyDescent="0.3">
      <c r="A6" t="s">
        <v>39</v>
      </c>
      <c r="B6" t="s">
        <v>40</v>
      </c>
      <c r="C6" t="s">
        <v>41</v>
      </c>
      <c r="D6">
        <v>25</v>
      </c>
      <c r="E6" t="s">
        <v>42</v>
      </c>
      <c r="F6" t="s">
        <v>16</v>
      </c>
      <c r="G6" s="1">
        <v>44566</v>
      </c>
      <c r="H6" t="s">
        <v>43</v>
      </c>
      <c r="I6" t="s">
        <v>44</v>
      </c>
      <c r="J6">
        <v>-1586734256</v>
      </c>
      <c r="K6" t="s">
        <v>45</v>
      </c>
      <c r="L6" t="b">
        <v>0</v>
      </c>
    </row>
    <row r="7" spans="1:12" x14ac:dyDescent="0.3">
      <c r="A7" t="s">
        <v>46</v>
      </c>
      <c r="B7" t="s">
        <v>27</v>
      </c>
      <c r="C7" t="s">
        <v>47</v>
      </c>
      <c r="D7">
        <v>40</v>
      </c>
      <c r="E7" t="s">
        <v>48</v>
      </c>
      <c r="F7" t="s">
        <v>36</v>
      </c>
      <c r="G7" s="1">
        <v>43992</v>
      </c>
      <c r="H7" t="s">
        <v>49</v>
      </c>
      <c r="I7" t="s">
        <v>50</v>
      </c>
      <c r="J7">
        <v>-5409003485</v>
      </c>
      <c r="K7" t="s">
        <v>33</v>
      </c>
      <c r="L7" t="b">
        <v>0</v>
      </c>
    </row>
    <row r="8" spans="1:12" x14ac:dyDescent="0.3">
      <c r="A8" t="s">
        <v>51</v>
      </c>
      <c r="B8" t="s">
        <v>40</v>
      </c>
      <c r="C8" t="s">
        <v>28</v>
      </c>
      <c r="E8" t="s">
        <v>29</v>
      </c>
      <c r="F8" t="s">
        <v>16</v>
      </c>
      <c r="G8" s="1">
        <v>43924</v>
      </c>
      <c r="H8" t="s">
        <v>52</v>
      </c>
      <c r="I8" t="s">
        <v>53</v>
      </c>
      <c r="J8">
        <v>-4518376063</v>
      </c>
      <c r="K8" t="s">
        <v>33</v>
      </c>
      <c r="L8" t="b">
        <v>0</v>
      </c>
    </row>
    <row r="9" spans="1:12" x14ac:dyDescent="0.3">
      <c r="A9" t="s">
        <v>54</v>
      </c>
      <c r="B9" t="s">
        <v>13</v>
      </c>
      <c r="C9" t="s">
        <v>28</v>
      </c>
      <c r="D9">
        <v>30</v>
      </c>
      <c r="E9" t="s">
        <v>42</v>
      </c>
      <c r="F9" t="s">
        <v>36</v>
      </c>
      <c r="G9" s="1">
        <v>44759</v>
      </c>
      <c r="H9" t="s">
        <v>55</v>
      </c>
      <c r="I9" t="s">
        <v>56</v>
      </c>
      <c r="J9">
        <v>-4134327559</v>
      </c>
      <c r="K9" t="s">
        <v>19</v>
      </c>
      <c r="L9" t="b">
        <v>1</v>
      </c>
    </row>
    <row r="10" spans="1:12" x14ac:dyDescent="0.3">
      <c r="A10" t="s">
        <v>57</v>
      </c>
      <c r="B10" t="s">
        <v>40</v>
      </c>
      <c r="C10" t="s">
        <v>14</v>
      </c>
      <c r="D10">
        <v>35</v>
      </c>
      <c r="E10" t="s">
        <v>29</v>
      </c>
      <c r="F10" t="s">
        <v>36</v>
      </c>
      <c r="G10" s="1">
        <v>45268</v>
      </c>
      <c r="H10" t="s">
        <v>58</v>
      </c>
      <c r="I10" t="s">
        <v>59</v>
      </c>
      <c r="J10">
        <v>-4177656123</v>
      </c>
      <c r="K10" t="s">
        <v>25</v>
      </c>
      <c r="L10" t="b">
        <v>1</v>
      </c>
    </row>
    <row r="11" spans="1:12" x14ac:dyDescent="0.3">
      <c r="A11" t="s">
        <v>60</v>
      </c>
      <c r="B11" t="s">
        <v>61</v>
      </c>
      <c r="C11" t="s">
        <v>62</v>
      </c>
      <c r="E11" t="s">
        <v>63</v>
      </c>
      <c r="F11" t="s">
        <v>16</v>
      </c>
      <c r="G11" s="1">
        <v>44777</v>
      </c>
      <c r="H11" t="s">
        <v>64</v>
      </c>
      <c r="I11" t="s">
        <v>65</v>
      </c>
      <c r="J11">
        <v>-8156985699</v>
      </c>
      <c r="K11" t="s">
        <v>25</v>
      </c>
      <c r="L11" t="b">
        <v>1</v>
      </c>
    </row>
    <row r="12" spans="1:12" x14ac:dyDescent="0.3">
      <c r="A12" t="s">
        <v>66</v>
      </c>
      <c r="B12" t="s">
        <v>67</v>
      </c>
      <c r="C12" t="s">
        <v>41</v>
      </c>
      <c r="D12">
        <v>35</v>
      </c>
      <c r="E12" t="s">
        <v>68</v>
      </c>
      <c r="F12" t="s">
        <v>16</v>
      </c>
      <c r="G12" s="1">
        <v>45479</v>
      </c>
      <c r="H12" t="s">
        <v>69</v>
      </c>
      <c r="I12" t="s">
        <v>70</v>
      </c>
      <c r="J12">
        <v>-2720634590</v>
      </c>
      <c r="K12" t="s">
        <v>19</v>
      </c>
      <c r="L12" t="b">
        <v>0</v>
      </c>
    </row>
    <row r="13" spans="1:12" x14ac:dyDescent="0.3">
      <c r="A13" t="s">
        <v>71</v>
      </c>
      <c r="B13" t="s">
        <v>67</v>
      </c>
      <c r="C13" t="s">
        <v>14</v>
      </c>
      <c r="E13" t="s">
        <v>15</v>
      </c>
      <c r="F13" t="s">
        <v>16</v>
      </c>
      <c r="G13" s="1">
        <v>45173</v>
      </c>
      <c r="H13" t="s">
        <v>72</v>
      </c>
      <c r="I13" t="s">
        <v>73</v>
      </c>
      <c r="J13">
        <v>-1238296576</v>
      </c>
      <c r="K13" t="s">
        <v>45</v>
      </c>
      <c r="L13" t="b">
        <v>1</v>
      </c>
    </row>
    <row r="14" spans="1:12" x14ac:dyDescent="0.3">
      <c r="A14" t="s">
        <v>74</v>
      </c>
      <c r="B14" t="s">
        <v>75</v>
      </c>
      <c r="C14" t="s">
        <v>41</v>
      </c>
      <c r="D14">
        <v>30</v>
      </c>
      <c r="E14" t="s">
        <v>76</v>
      </c>
      <c r="F14" t="s">
        <v>16</v>
      </c>
      <c r="G14" s="1">
        <v>45356</v>
      </c>
      <c r="H14" t="s">
        <v>77</v>
      </c>
      <c r="I14" t="s">
        <v>78</v>
      </c>
      <c r="J14">
        <v>-2429543164</v>
      </c>
      <c r="K14" t="s">
        <v>25</v>
      </c>
      <c r="L14" t="b">
        <v>0</v>
      </c>
    </row>
    <row r="15" spans="1:12" x14ac:dyDescent="0.3">
      <c r="A15" t="s">
        <v>79</v>
      </c>
      <c r="B15" t="s">
        <v>80</v>
      </c>
      <c r="C15" t="s">
        <v>41</v>
      </c>
      <c r="E15" t="s">
        <v>81</v>
      </c>
      <c r="F15" t="s">
        <v>16</v>
      </c>
      <c r="G15" s="1">
        <v>44114</v>
      </c>
      <c r="H15" t="s">
        <v>82</v>
      </c>
      <c r="I15" t="s">
        <v>83</v>
      </c>
      <c r="J15">
        <v>-2669300892</v>
      </c>
      <c r="K15" t="s">
        <v>33</v>
      </c>
      <c r="L15" t="b">
        <v>0</v>
      </c>
    </row>
    <row r="16" spans="1:12" x14ac:dyDescent="0.3">
      <c r="A16" t="s">
        <v>84</v>
      </c>
      <c r="B16" t="s">
        <v>27</v>
      </c>
      <c r="C16" t="s">
        <v>47</v>
      </c>
      <c r="D16">
        <v>25</v>
      </c>
      <c r="E16" t="s">
        <v>29</v>
      </c>
      <c r="F16" t="s">
        <v>16</v>
      </c>
      <c r="G16" s="1">
        <v>45453</v>
      </c>
      <c r="H16" t="s">
        <v>85</v>
      </c>
      <c r="I16" t="s">
        <v>50</v>
      </c>
      <c r="J16">
        <v>-1734206968</v>
      </c>
      <c r="K16" t="s">
        <v>25</v>
      </c>
      <c r="L16" t="b">
        <v>1</v>
      </c>
    </row>
    <row r="17" spans="1:12" x14ac:dyDescent="0.3">
      <c r="A17" t="s">
        <v>86</v>
      </c>
      <c r="B17" t="s">
        <v>80</v>
      </c>
      <c r="C17" t="s">
        <v>28</v>
      </c>
      <c r="D17">
        <v>40</v>
      </c>
      <c r="E17" t="s">
        <v>87</v>
      </c>
      <c r="F17" t="s">
        <v>30</v>
      </c>
      <c r="G17" s="1">
        <v>44345</v>
      </c>
      <c r="H17" t="s">
        <v>88</v>
      </c>
      <c r="I17" t="s">
        <v>89</v>
      </c>
      <c r="J17">
        <v>-4215291085</v>
      </c>
      <c r="K17" t="s">
        <v>33</v>
      </c>
      <c r="L17" t="b">
        <v>1</v>
      </c>
    </row>
    <row r="18" spans="1:12" x14ac:dyDescent="0.3">
      <c r="A18" t="s">
        <v>90</v>
      </c>
      <c r="B18" t="s">
        <v>27</v>
      </c>
      <c r="C18" t="s">
        <v>21</v>
      </c>
      <c r="D18">
        <v>25</v>
      </c>
      <c r="E18" t="s">
        <v>91</v>
      </c>
      <c r="F18" t="s">
        <v>36</v>
      </c>
      <c r="G18" s="1">
        <v>45405</v>
      </c>
      <c r="H18" t="s">
        <v>92</v>
      </c>
      <c r="I18" t="s">
        <v>93</v>
      </c>
      <c r="J18">
        <v>-7713334475</v>
      </c>
      <c r="K18" t="s">
        <v>45</v>
      </c>
      <c r="L18" t="b">
        <v>0</v>
      </c>
    </row>
    <row r="19" spans="1:12" x14ac:dyDescent="0.3">
      <c r="A19" t="s">
        <v>94</v>
      </c>
      <c r="B19" t="s">
        <v>80</v>
      </c>
      <c r="C19" t="s">
        <v>47</v>
      </c>
      <c r="D19">
        <v>30</v>
      </c>
      <c r="E19" t="s">
        <v>22</v>
      </c>
      <c r="F19" t="s">
        <v>30</v>
      </c>
      <c r="G19" s="1">
        <v>45624</v>
      </c>
      <c r="H19" t="s">
        <v>95</v>
      </c>
      <c r="I19" t="s">
        <v>96</v>
      </c>
      <c r="J19">
        <v>-2639343625</v>
      </c>
      <c r="K19" t="s">
        <v>19</v>
      </c>
      <c r="L19" t="b">
        <v>1</v>
      </c>
    </row>
    <row r="20" spans="1:12" x14ac:dyDescent="0.3">
      <c r="A20" t="s">
        <v>97</v>
      </c>
      <c r="B20" t="s">
        <v>61</v>
      </c>
      <c r="C20" t="s">
        <v>47</v>
      </c>
      <c r="E20" t="s">
        <v>98</v>
      </c>
      <c r="F20" t="s">
        <v>36</v>
      </c>
      <c r="G20" s="1">
        <v>45554</v>
      </c>
      <c r="H20" t="s">
        <v>99</v>
      </c>
      <c r="I20" t="s">
        <v>100</v>
      </c>
      <c r="J20">
        <v>-2044397358</v>
      </c>
      <c r="K20" t="s">
        <v>25</v>
      </c>
      <c r="L20" t="b">
        <v>0</v>
      </c>
    </row>
    <row r="21" spans="1:12" x14ac:dyDescent="0.3">
      <c r="A21" t="s">
        <v>101</v>
      </c>
      <c r="B21" t="s">
        <v>61</v>
      </c>
      <c r="C21" t="s">
        <v>41</v>
      </c>
      <c r="D21">
        <v>35</v>
      </c>
      <c r="E21" t="s">
        <v>102</v>
      </c>
      <c r="F21" t="s">
        <v>30</v>
      </c>
      <c r="G21" s="1">
        <v>43832</v>
      </c>
      <c r="H21" t="s">
        <v>103</v>
      </c>
      <c r="I21" t="s">
        <v>104</v>
      </c>
      <c r="J21">
        <v>-7107256365</v>
      </c>
      <c r="K21" t="s">
        <v>19</v>
      </c>
      <c r="L21" t="b">
        <v>1</v>
      </c>
    </row>
    <row r="22" spans="1:12" x14ac:dyDescent="0.3">
      <c r="A22" t="s">
        <v>105</v>
      </c>
      <c r="B22" t="s">
        <v>13</v>
      </c>
      <c r="C22" t="s">
        <v>106</v>
      </c>
      <c r="D22">
        <v>35</v>
      </c>
      <c r="E22" t="s">
        <v>76</v>
      </c>
      <c r="F22" t="s">
        <v>16</v>
      </c>
      <c r="G22" s="1">
        <v>44324</v>
      </c>
      <c r="H22" t="s">
        <v>107</v>
      </c>
      <c r="I22" t="s">
        <v>108</v>
      </c>
      <c r="J22">
        <v>-9411800536</v>
      </c>
      <c r="K22" t="s">
        <v>25</v>
      </c>
      <c r="L22" t="b">
        <v>1</v>
      </c>
    </row>
    <row r="23" spans="1:12" x14ac:dyDescent="0.3">
      <c r="A23" t="s">
        <v>109</v>
      </c>
      <c r="B23" t="s">
        <v>13</v>
      </c>
      <c r="C23" t="s">
        <v>28</v>
      </c>
      <c r="D23">
        <v>40</v>
      </c>
      <c r="E23" t="s">
        <v>110</v>
      </c>
      <c r="F23" t="s">
        <v>16</v>
      </c>
      <c r="G23" s="1">
        <v>44093</v>
      </c>
      <c r="H23" t="s">
        <v>111</v>
      </c>
      <c r="I23" t="s">
        <v>56</v>
      </c>
      <c r="J23">
        <v>-5990048963</v>
      </c>
      <c r="K23" t="s">
        <v>33</v>
      </c>
      <c r="L23" t="b">
        <v>0</v>
      </c>
    </row>
    <row r="24" spans="1:12" x14ac:dyDescent="0.3">
      <c r="A24" t="s">
        <v>112</v>
      </c>
      <c r="B24" t="s">
        <v>61</v>
      </c>
      <c r="C24" t="s">
        <v>62</v>
      </c>
      <c r="D24">
        <v>35</v>
      </c>
      <c r="E24" t="s">
        <v>113</v>
      </c>
      <c r="F24" t="s">
        <v>36</v>
      </c>
      <c r="G24" s="1">
        <v>44264</v>
      </c>
      <c r="H24" t="s">
        <v>114</v>
      </c>
      <c r="I24" t="s">
        <v>65</v>
      </c>
      <c r="J24">
        <v>-6528092427</v>
      </c>
      <c r="K24" t="s">
        <v>19</v>
      </c>
      <c r="L24" t="b">
        <v>1</v>
      </c>
    </row>
    <row r="25" spans="1:12" x14ac:dyDescent="0.3">
      <c r="A25" t="s">
        <v>115</v>
      </c>
      <c r="B25" t="s">
        <v>67</v>
      </c>
      <c r="C25" t="s">
        <v>47</v>
      </c>
      <c r="D25">
        <v>35</v>
      </c>
      <c r="E25" t="s">
        <v>116</v>
      </c>
      <c r="F25" t="s">
        <v>30</v>
      </c>
      <c r="G25" s="1">
        <v>44595</v>
      </c>
      <c r="H25" t="s">
        <v>117</v>
      </c>
      <c r="I25" t="s">
        <v>118</v>
      </c>
      <c r="J25">
        <v>-7572158623</v>
      </c>
      <c r="K25" t="s">
        <v>25</v>
      </c>
      <c r="L25" t="b">
        <v>0</v>
      </c>
    </row>
    <row r="26" spans="1:12" x14ac:dyDescent="0.3">
      <c r="A26" t="s">
        <v>119</v>
      </c>
      <c r="B26" t="s">
        <v>13</v>
      </c>
      <c r="C26" t="s">
        <v>21</v>
      </c>
      <c r="D26">
        <v>30</v>
      </c>
      <c r="E26" t="s">
        <v>120</v>
      </c>
      <c r="F26" t="s">
        <v>36</v>
      </c>
      <c r="G26" s="1">
        <v>43874</v>
      </c>
      <c r="H26" t="s">
        <v>121</v>
      </c>
      <c r="I26" t="s">
        <v>24</v>
      </c>
      <c r="J26">
        <v>-1502745643</v>
      </c>
      <c r="K26" t="s">
        <v>33</v>
      </c>
      <c r="L26" t="b">
        <v>1</v>
      </c>
    </row>
    <row r="27" spans="1:12" x14ac:dyDescent="0.3">
      <c r="A27" t="s">
        <v>122</v>
      </c>
      <c r="B27" t="s">
        <v>67</v>
      </c>
      <c r="C27" t="s">
        <v>106</v>
      </c>
      <c r="D27">
        <v>25</v>
      </c>
      <c r="E27" t="s">
        <v>98</v>
      </c>
      <c r="F27" t="s">
        <v>30</v>
      </c>
      <c r="G27" s="1">
        <v>43951</v>
      </c>
      <c r="H27" t="s">
        <v>123</v>
      </c>
      <c r="I27" t="s">
        <v>124</v>
      </c>
      <c r="J27">
        <v>-9485625727</v>
      </c>
      <c r="K27" t="s">
        <v>19</v>
      </c>
      <c r="L27" t="b">
        <v>0</v>
      </c>
    </row>
    <row r="28" spans="1:12" x14ac:dyDescent="0.3">
      <c r="A28" t="s">
        <v>125</v>
      </c>
      <c r="B28" t="s">
        <v>40</v>
      </c>
      <c r="C28" t="s">
        <v>106</v>
      </c>
      <c r="D28">
        <v>25</v>
      </c>
      <c r="E28" t="s">
        <v>126</v>
      </c>
      <c r="F28" t="s">
        <v>36</v>
      </c>
      <c r="G28" s="1">
        <v>45201</v>
      </c>
      <c r="H28" t="s">
        <v>127</v>
      </c>
      <c r="I28" t="s">
        <v>128</v>
      </c>
      <c r="J28">
        <v>-7032032073</v>
      </c>
      <c r="K28" t="s">
        <v>19</v>
      </c>
      <c r="L28" t="b">
        <v>0</v>
      </c>
    </row>
    <row r="29" spans="1:12" x14ac:dyDescent="0.3">
      <c r="A29" t="s">
        <v>129</v>
      </c>
      <c r="B29" t="s">
        <v>75</v>
      </c>
      <c r="C29" t="s">
        <v>62</v>
      </c>
      <c r="D29">
        <v>30</v>
      </c>
      <c r="E29" t="s">
        <v>130</v>
      </c>
      <c r="F29" t="s">
        <v>16</v>
      </c>
      <c r="G29" s="1">
        <v>44024</v>
      </c>
      <c r="H29" t="s">
        <v>131</v>
      </c>
      <c r="I29" t="s">
        <v>132</v>
      </c>
      <c r="J29">
        <v>-2761707586</v>
      </c>
      <c r="K29" t="s">
        <v>25</v>
      </c>
      <c r="L29" t="b">
        <v>1</v>
      </c>
    </row>
    <row r="30" spans="1:12" x14ac:dyDescent="0.3">
      <c r="A30" t="s">
        <v>133</v>
      </c>
      <c r="B30" t="s">
        <v>80</v>
      </c>
      <c r="C30" t="s">
        <v>47</v>
      </c>
      <c r="D30">
        <v>40</v>
      </c>
      <c r="E30" t="s">
        <v>116</v>
      </c>
      <c r="F30" t="s">
        <v>16</v>
      </c>
      <c r="G30" s="1">
        <v>45210</v>
      </c>
      <c r="H30" t="s">
        <v>134</v>
      </c>
      <c r="I30" t="s">
        <v>96</v>
      </c>
      <c r="J30">
        <v>-7712151341</v>
      </c>
      <c r="K30" t="s">
        <v>25</v>
      </c>
      <c r="L30" t="b">
        <v>0</v>
      </c>
    </row>
    <row r="31" spans="1:12" x14ac:dyDescent="0.3">
      <c r="A31" t="s">
        <v>135</v>
      </c>
      <c r="B31" t="s">
        <v>27</v>
      </c>
      <c r="C31" t="s">
        <v>21</v>
      </c>
      <c r="D31">
        <v>40</v>
      </c>
      <c r="E31" t="s">
        <v>15</v>
      </c>
      <c r="F31" t="s">
        <v>16</v>
      </c>
      <c r="G31" s="1">
        <v>44340</v>
      </c>
      <c r="H31" t="s">
        <v>136</v>
      </c>
      <c r="I31" t="s">
        <v>93</v>
      </c>
      <c r="J31">
        <v>-2849939088</v>
      </c>
      <c r="K31" t="s">
        <v>25</v>
      </c>
      <c r="L31" t="b">
        <v>1</v>
      </c>
    </row>
    <row r="32" spans="1:12" x14ac:dyDescent="0.3">
      <c r="A32" t="s">
        <v>137</v>
      </c>
      <c r="B32" t="s">
        <v>61</v>
      </c>
      <c r="C32" t="s">
        <v>28</v>
      </c>
      <c r="D32">
        <v>40</v>
      </c>
      <c r="E32" t="s">
        <v>138</v>
      </c>
      <c r="F32" t="s">
        <v>36</v>
      </c>
      <c r="G32" s="1">
        <v>44342</v>
      </c>
      <c r="H32" t="s">
        <v>139</v>
      </c>
      <c r="I32" t="s">
        <v>140</v>
      </c>
      <c r="J32">
        <v>-2613715040</v>
      </c>
      <c r="K32" t="s">
        <v>33</v>
      </c>
      <c r="L32" t="b">
        <v>1</v>
      </c>
    </row>
    <row r="33" spans="1:12" x14ac:dyDescent="0.3">
      <c r="A33" t="s">
        <v>141</v>
      </c>
      <c r="B33" t="s">
        <v>13</v>
      </c>
      <c r="C33" t="s">
        <v>142</v>
      </c>
      <c r="D33">
        <v>25</v>
      </c>
      <c r="E33" t="s">
        <v>91</v>
      </c>
      <c r="F33" t="s">
        <v>16</v>
      </c>
      <c r="G33" s="1">
        <v>44022</v>
      </c>
      <c r="H33" t="s">
        <v>143</v>
      </c>
      <c r="I33" t="s">
        <v>144</v>
      </c>
      <c r="J33">
        <v>-6591520176</v>
      </c>
      <c r="K33" t="s">
        <v>25</v>
      </c>
      <c r="L33" t="b">
        <v>1</v>
      </c>
    </row>
    <row r="34" spans="1:12" x14ac:dyDescent="0.3">
      <c r="A34" t="s">
        <v>145</v>
      </c>
      <c r="B34" t="s">
        <v>61</v>
      </c>
      <c r="C34" t="s">
        <v>21</v>
      </c>
      <c r="D34">
        <v>40</v>
      </c>
      <c r="E34" t="s">
        <v>130</v>
      </c>
      <c r="F34" t="s">
        <v>16</v>
      </c>
      <c r="G34" s="1">
        <v>45601</v>
      </c>
      <c r="H34" t="s">
        <v>146</v>
      </c>
      <c r="I34" t="s">
        <v>147</v>
      </c>
      <c r="J34">
        <v>-7490509758</v>
      </c>
      <c r="K34" t="s">
        <v>19</v>
      </c>
      <c r="L34" t="b">
        <v>0</v>
      </c>
    </row>
    <row r="35" spans="1:12" x14ac:dyDescent="0.3">
      <c r="A35" t="s">
        <v>148</v>
      </c>
      <c r="B35" t="s">
        <v>80</v>
      </c>
      <c r="C35" t="s">
        <v>62</v>
      </c>
      <c r="D35">
        <v>25</v>
      </c>
      <c r="E35" t="s">
        <v>81</v>
      </c>
      <c r="F35" t="s">
        <v>36</v>
      </c>
      <c r="G35" s="1">
        <v>44415</v>
      </c>
      <c r="H35" t="s">
        <v>149</v>
      </c>
      <c r="I35" t="s">
        <v>150</v>
      </c>
      <c r="J35">
        <v>-2304501895</v>
      </c>
      <c r="K35" t="s">
        <v>19</v>
      </c>
      <c r="L35" t="b">
        <v>0</v>
      </c>
    </row>
    <row r="36" spans="1:12" x14ac:dyDescent="0.3">
      <c r="A36" t="s">
        <v>151</v>
      </c>
      <c r="B36" t="s">
        <v>75</v>
      </c>
      <c r="C36" t="s">
        <v>106</v>
      </c>
      <c r="D36">
        <v>30</v>
      </c>
      <c r="E36" t="s">
        <v>138</v>
      </c>
      <c r="F36" t="s">
        <v>16</v>
      </c>
      <c r="G36" s="1">
        <v>43950</v>
      </c>
      <c r="H36" t="s">
        <v>152</v>
      </c>
      <c r="I36" t="s">
        <v>153</v>
      </c>
      <c r="J36">
        <v>-1642361031</v>
      </c>
      <c r="K36" t="s">
        <v>25</v>
      </c>
      <c r="L36" t="b">
        <v>1</v>
      </c>
    </row>
    <row r="37" spans="1:12" x14ac:dyDescent="0.3">
      <c r="A37" t="s">
        <v>154</v>
      </c>
      <c r="B37" t="s">
        <v>40</v>
      </c>
      <c r="C37" t="s">
        <v>28</v>
      </c>
      <c r="D37">
        <v>25</v>
      </c>
      <c r="E37" t="s">
        <v>110</v>
      </c>
      <c r="F37" t="s">
        <v>36</v>
      </c>
      <c r="G37" s="1">
        <v>44860</v>
      </c>
      <c r="H37" t="s">
        <v>155</v>
      </c>
      <c r="I37" t="s">
        <v>53</v>
      </c>
      <c r="J37">
        <v>-6642147648</v>
      </c>
      <c r="K37" t="s">
        <v>25</v>
      </c>
      <c r="L37" t="b">
        <v>1</v>
      </c>
    </row>
    <row r="38" spans="1:12" x14ac:dyDescent="0.3">
      <c r="A38" t="s">
        <v>156</v>
      </c>
      <c r="B38" t="s">
        <v>27</v>
      </c>
      <c r="C38" t="s">
        <v>21</v>
      </c>
      <c r="E38" t="s">
        <v>68</v>
      </c>
      <c r="F38" t="s">
        <v>16</v>
      </c>
      <c r="G38" s="1">
        <v>45049</v>
      </c>
      <c r="H38" t="s">
        <v>157</v>
      </c>
      <c r="I38" t="s">
        <v>93</v>
      </c>
      <c r="J38">
        <v>-2515837766</v>
      </c>
      <c r="K38" t="s">
        <v>45</v>
      </c>
      <c r="L38" t="b">
        <v>0</v>
      </c>
    </row>
    <row r="39" spans="1:12" x14ac:dyDescent="0.3">
      <c r="A39" t="s">
        <v>158</v>
      </c>
      <c r="B39" t="s">
        <v>80</v>
      </c>
      <c r="C39" t="s">
        <v>142</v>
      </c>
      <c r="D39">
        <v>25</v>
      </c>
      <c r="E39" t="s">
        <v>126</v>
      </c>
      <c r="F39" t="s">
        <v>30</v>
      </c>
      <c r="G39" s="1">
        <v>45048</v>
      </c>
      <c r="H39" t="s">
        <v>159</v>
      </c>
      <c r="I39" t="s">
        <v>160</v>
      </c>
      <c r="J39">
        <v>-4996165925</v>
      </c>
      <c r="K39" t="s">
        <v>19</v>
      </c>
      <c r="L39" t="b">
        <v>1</v>
      </c>
    </row>
    <row r="40" spans="1:12" x14ac:dyDescent="0.3">
      <c r="A40" t="s">
        <v>161</v>
      </c>
      <c r="B40" t="s">
        <v>40</v>
      </c>
      <c r="C40" t="s">
        <v>142</v>
      </c>
      <c r="D40">
        <v>35</v>
      </c>
      <c r="E40" t="s">
        <v>29</v>
      </c>
      <c r="F40" t="s">
        <v>30</v>
      </c>
      <c r="G40" s="1">
        <v>44474</v>
      </c>
      <c r="H40" t="s">
        <v>162</v>
      </c>
      <c r="I40" t="s">
        <v>163</v>
      </c>
      <c r="J40">
        <v>-6108573277</v>
      </c>
      <c r="K40" t="s">
        <v>33</v>
      </c>
      <c r="L40" t="b">
        <v>1</v>
      </c>
    </row>
    <row r="41" spans="1:12" x14ac:dyDescent="0.3">
      <c r="A41" t="s">
        <v>164</v>
      </c>
      <c r="B41" t="s">
        <v>35</v>
      </c>
      <c r="C41" t="s">
        <v>41</v>
      </c>
      <c r="D41">
        <v>40</v>
      </c>
      <c r="E41" t="s">
        <v>165</v>
      </c>
      <c r="F41" t="s">
        <v>16</v>
      </c>
      <c r="G41" s="1">
        <v>44769</v>
      </c>
      <c r="H41" t="s">
        <v>166</v>
      </c>
      <c r="I41" t="s">
        <v>167</v>
      </c>
      <c r="J41">
        <v>-8147617421</v>
      </c>
      <c r="K41" t="s">
        <v>45</v>
      </c>
      <c r="L41" t="b">
        <v>0</v>
      </c>
    </row>
    <row r="42" spans="1:12" x14ac:dyDescent="0.3">
      <c r="A42" t="s">
        <v>168</v>
      </c>
      <c r="B42" t="s">
        <v>13</v>
      </c>
      <c r="C42" t="s">
        <v>41</v>
      </c>
      <c r="D42">
        <v>25</v>
      </c>
      <c r="E42" t="s">
        <v>126</v>
      </c>
      <c r="F42" t="s">
        <v>30</v>
      </c>
      <c r="G42" s="1">
        <v>44374</v>
      </c>
      <c r="H42" t="s">
        <v>169</v>
      </c>
      <c r="I42" t="s">
        <v>170</v>
      </c>
      <c r="J42">
        <v>-4386490809</v>
      </c>
      <c r="K42" t="s">
        <v>25</v>
      </c>
      <c r="L42" t="b">
        <v>1</v>
      </c>
    </row>
    <row r="43" spans="1:12" x14ac:dyDescent="0.3">
      <c r="A43" t="s">
        <v>171</v>
      </c>
      <c r="B43" t="s">
        <v>13</v>
      </c>
      <c r="C43" t="s">
        <v>14</v>
      </c>
      <c r="D43">
        <v>30</v>
      </c>
      <c r="E43" t="s">
        <v>172</v>
      </c>
      <c r="F43" t="s">
        <v>16</v>
      </c>
      <c r="G43" s="1">
        <v>44728</v>
      </c>
      <c r="H43" t="s">
        <v>173</v>
      </c>
      <c r="I43" t="s">
        <v>18</v>
      </c>
      <c r="J43">
        <v>-8186617944</v>
      </c>
      <c r="K43" t="s">
        <v>25</v>
      </c>
      <c r="L43" t="b">
        <v>0</v>
      </c>
    </row>
    <row r="44" spans="1:12" x14ac:dyDescent="0.3">
      <c r="A44" t="s">
        <v>174</v>
      </c>
      <c r="B44" t="s">
        <v>27</v>
      </c>
      <c r="C44" t="s">
        <v>62</v>
      </c>
      <c r="E44" t="s">
        <v>175</v>
      </c>
      <c r="F44" t="s">
        <v>16</v>
      </c>
      <c r="G44" s="1">
        <v>45629</v>
      </c>
      <c r="H44" t="s">
        <v>176</v>
      </c>
      <c r="I44" t="s">
        <v>177</v>
      </c>
      <c r="J44">
        <v>-4918017225</v>
      </c>
      <c r="K44" t="s">
        <v>19</v>
      </c>
      <c r="L44" t="b">
        <v>1</v>
      </c>
    </row>
    <row r="45" spans="1:12" x14ac:dyDescent="0.3">
      <c r="A45" t="s">
        <v>178</v>
      </c>
      <c r="B45" t="s">
        <v>13</v>
      </c>
      <c r="C45" t="s">
        <v>47</v>
      </c>
      <c r="E45" t="s">
        <v>138</v>
      </c>
      <c r="F45" t="s">
        <v>36</v>
      </c>
      <c r="G45" s="1">
        <v>45069</v>
      </c>
      <c r="H45" t="s">
        <v>179</v>
      </c>
      <c r="I45" t="s">
        <v>180</v>
      </c>
      <c r="J45">
        <v>-164597793</v>
      </c>
      <c r="K45" t="s">
        <v>25</v>
      </c>
      <c r="L45" t="b">
        <v>0</v>
      </c>
    </row>
    <row r="46" spans="1:12" x14ac:dyDescent="0.3">
      <c r="A46" t="s">
        <v>181</v>
      </c>
      <c r="B46" t="s">
        <v>35</v>
      </c>
      <c r="C46" t="s">
        <v>21</v>
      </c>
      <c r="E46" t="s">
        <v>81</v>
      </c>
      <c r="F46" t="s">
        <v>16</v>
      </c>
      <c r="G46" s="1">
        <v>44020</v>
      </c>
      <c r="H46" t="s">
        <v>182</v>
      </c>
      <c r="I46" t="s">
        <v>183</v>
      </c>
      <c r="J46">
        <v>-5232194167</v>
      </c>
      <c r="K46" t="s">
        <v>33</v>
      </c>
      <c r="L46" t="b">
        <v>1</v>
      </c>
    </row>
    <row r="47" spans="1:12" x14ac:dyDescent="0.3">
      <c r="A47" t="s">
        <v>184</v>
      </c>
      <c r="B47" t="s">
        <v>27</v>
      </c>
      <c r="C47" t="s">
        <v>21</v>
      </c>
      <c r="D47">
        <v>25</v>
      </c>
      <c r="E47" t="s">
        <v>76</v>
      </c>
      <c r="F47" t="s">
        <v>30</v>
      </c>
      <c r="G47" s="1">
        <v>44367</v>
      </c>
      <c r="H47" t="s">
        <v>185</v>
      </c>
      <c r="I47" t="s">
        <v>93</v>
      </c>
      <c r="J47">
        <v>-61027768</v>
      </c>
      <c r="K47" t="s">
        <v>19</v>
      </c>
      <c r="L47" t="b">
        <v>1</v>
      </c>
    </row>
    <row r="48" spans="1:12" x14ac:dyDescent="0.3">
      <c r="A48" t="s">
        <v>186</v>
      </c>
      <c r="B48" t="s">
        <v>80</v>
      </c>
      <c r="C48" t="s">
        <v>47</v>
      </c>
      <c r="E48" t="s">
        <v>187</v>
      </c>
      <c r="F48" t="s">
        <v>16</v>
      </c>
      <c r="G48" s="1">
        <v>45639</v>
      </c>
      <c r="H48" t="s">
        <v>188</v>
      </c>
      <c r="I48" t="s">
        <v>96</v>
      </c>
      <c r="J48">
        <v>-7499564121</v>
      </c>
      <c r="K48" t="s">
        <v>25</v>
      </c>
      <c r="L48" t="b">
        <v>0</v>
      </c>
    </row>
    <row r="49" spans="1:12" x14ac:dyDescent="0.3">
      <c r="A49" t="s">
        <v>189</v>
      </c>
      <c r="B49" t="s">
        <v>27</v>
      </c>
      <c r="C49" t="s">
        <v>14</v>
      </c>
      <c r="D49">
        <v>35</v>
      </c>
      <c r="E49" t="s">
        <v>113</v>
      </c>
      <c r="F49" t="s">
        <v>16</v>
      </c>
      <c r="G49" s="1">
        <v>44711</v>
      </c>
      <c r="H49" t="s">
        <v>190</v>
      </c>
      <c r="I49" t="s">
        <v>191</v>
      </c>
      <c r="J49">
        <v>-310303722</v>
      </c>
      <c r="K49" t="s">
        <v>19</v>
      </c>
      <c r="L49" t="b">
        <v>1</v>
      </c>
    </row>
    <row r="50" spans="1:12" x14ac:dyDescent="0.3">
      <c r="A50" t="s">
        <v>192</v>
      </c>
      <c r="B50" t="s">
        <v>27</v>
      </c>
      <c r="C50" t="s">
        <v>106</v>
      </c>
      <c r="D50">
        <v>35</v>
      </c>
      <c r="E50" t="s">
        <v>29</v>
      </c>
      <c r="F50" t="s">
        <v>16</v>
      </c>
      <c r="G50" s="1">
        <v>45196</v>
      </c>
      <c r="H50" t="s">
        <v>193</v>
      </c>
      <c r="I50" t="s">
        <v>194</v>
      </c>
      <c r="J50">
        <v>-6831472759</v>
      </c>
      <c r="K50" t="s">
        <v>25</v>
      </c>
      <c r="L50" t="b">
        <v>0</v>
      </c>
    </row>
    <row r="51" spans="1:12" x14ac:dyDescent="0.3">
      <c r="A51" t="s">
        <v>195</v>
      </c>
      <c r="B51" t="s">
        <v>80</v>
      </c>
      <c r="C51" t="s">
        <v>106</v>
      </c>
      <c r="E51" t="s">
        <v>63</v>
      </c>
      <c r="F51" t="s">
        <v>16</v>
      </c>
      <c r="G51" s="1">
        <v>45601</v>
      </c>
      <c r="H51" t="s">
        <v>196</v>
      </c>
      <c r="I51" t="s">
        <v>197</v>
      </c>
      <c r="J51">
        <v>-1227770792</v>
      </c>
      <c r="K51" t="s">
        <v>25</v>
      </c>
      <c r="L51" t="b">
        <v>1</v>
      </c>
    </row>
    <row r="52" spans="1:12" x14ac:dyDescent="0.3">
      <c r="A52" t="s">
        <v>198</v>
      </c>
      <c r="B52" t="s">
        <v>61</v>
      </c>
      <c r="C52" t="s">
        <v>14</v>
      </c>
      <c r="D52">
        <v>40</v>
      </c>
      <c r="E52" t="s">
        <v>68</v>
      </c>
      <c r="F52" t="s">
        <v>30</v>
      </c>
      <c r="G52" s="1">
        <v>44511</v>
      </c>
      <c r="H52" t="s">
        <v>199</v>
      </c>
      <c r="I52" t="s">
        <v>200</v>
      </c>
      <c r="J52">
        <v>-3496050165</v>
      </c>
      <c r="K52" t="s">
        <v>25</v>
      </c>
      <c r="L52" t="b">
        <v>0</v>
      </c>
    </row>
    <row r="53" spans="1:12" x14ac:dyDescent="0.3">
      <c r="A53" t="s">
        <v>201</v>
      </c>
      <c r="B53" t="s">
        <v>67</v>
      </c>
      <c r="C53" t="s">
        <v>106</v>
      </c>
      <c r="D53">
        <v>35</v>
      </c>
      <c r="E53" t="s">
        <v>29</v>
      </c>
      <c r="F53" t="s">
        <v>16</v>
      </c>
      <c r="G53" s="1">
        <v>44614</v>
      </c>
      <c r="H53" t="s">
        <v>202</v>
      </c>
      <c r="I53" t="s">
        <v>124</v>
      </c>
      <c r="J53">
        <v>-7998407677</v>
      </c>
      <c r="K53" t="s">
        <v>33</v>
      </c>
      <c r="L53" t="b">
        <v>0</v>
      </c>
    </row>
    <row r="54" spans="1:12" x14ac:dyDescent="0.3">
      <c r="A54" t="s">
        <v>203</v>
      </c>
      <c r="B54" t="s">
        <v>67</v>
      </c>
      <c r="C54" t="s">
        <v>41</v>
      </c>
      <c r="D54">
        <v>30</v>
      </c>
      <c r="E54" t="s">
        <v>81</v>
      </c>
      <c r="F54" t="s">
        <v>36</v>
      </c>
      <c r="G54" s="1">
        <v>45511</v>
      </c>
      <c r="H54" t="s">
        <v>204</v>
      </c>
      <c r="I54" t="s">
        <v>70</v>
      </c>
      <c r="J54">
        <v>-9973080694</v>
      </c>
      <c r="K54" t="s">
        <v>33</v>
      </c>
      <c r="L54" t="b">
        <v>0</v>
      </c>
    </row>
    <row r="55" spans="1:12" x14ac:dyDescent="0.3">
      <c r="A55" t="s">
        <v>205</v>
      </c>
      <c r="B55" t="s">
        <v>27</v>
      </c>
      <c r="C55" t="s">
        <v>21</v>
      </c>
      <c r="D55">
        <v>30</v>
      </c>
      <c r="E55" t="s">
        <v>81</v>
      </c>
      <c r="F55" t="s">
        <v>36</v>
      </c>
      <c r="G55" s="1">
        <v>45601</v>
      </c>
      <c r="H55" t="s">
        <v>206</v>
      </c>
      <c r="I55" t="s">
        <v>93</v>
      </c>
      <c r="J55">
        <v>-8146717956</v>
      </c>
      <c r="K55" t="s">
        <v>19</v>
      </c>
      <c r="L55" t="b">
        <v>0</v>
      </c>
    </row>
    <row r="56" spans="1:12" x14ac:dyDescent="0.3">
      <c r="A56" t="s">
        <v>207</v>
      </c>
      <c r="B56" t="s">
        <v>40</v>
      </c>
      <c r="C56" t="s">
        <v>14</v>
      </c>
      <c r="E56" t="s">
        <v>116</v>
      </c>
      <c r="F56" t="s">
        <v>30</v>
      </c>
      <c r="G56" s="1">
        <v>44509</v>
      </c>
      <c r="H56" t="s">
        <v>208</v>
      </c>
      <c r="I56" t="s">
        <v>59</v>
      </c>
      <c r="J56">
        <v>-6024375737</v>
      </c>
      <c r="K56" t="s">
        <v>25</v>
      </c>
      <c r="L56" t="b">
        <v>1</v>
      </c>
    </row>
    <row r="57" spans="1:12" x14ac:dyDescent="0.3">
      <c r="A57" t="s">
        <v>209</v>
      </c>
      <c r="B57" t="s">
        <v>35</v>
      </c>
      <c r="C57" t="s">
        <v>21</v>
      </c>
      <c r="D57">
        <v>30</v>
      </c>
      <c r="E57" t="s">
        <v>210</v>
      </c>
      <c r="F57" t="s">
        <v>16</v>
      </c>
      <c r="G57" s="1">
        <v>44053</v>
      </c>
      <c r="H57" t="s">
        <v>211</v>
      </c>
      <c r="I57" t="s">
        <v>183</v>
      </c>
      <c r="J57">
        <v>-3959724664</v>
      </c>
      <c r="K57" t="s">
        <v>25</v>
      </c>
      <c r="L57" t="b">
        <v>1</v>
      </c>
    </row>
    <row r="58" spans="1:12" x14ac:dyDescent="0.3">
      <c r="A58" t="s">
        <v>212</v>
      </c>
      <c r="B58" t="s">
        <v>40</v>
      </c>
      <c r="C58" t="s">
        <v>47</v>
      </c>
      <c r="D58">
        <v>40</v>
      </c>
      <c r="E58" t="s">
        <v>113</v>
      </c>
      <c r="F58" t="s">
        <v>16</v>
      </c>
      <c r="G58" s="1">
        <v>44619</v>
      </c>
      <c r="H58" t="s">
        <v>213</v>
      </c>
      <c r="I58" t="s">
        <v>214</v>
      </c>
      <c r="J58">
        <v>-7293417222</v>
      </c>
      <c r="K58" t="s">
        <v>33</v>
      </c>
      <c r="L58" t="b">
        <v>0</v>
      </c>
    </row>
    <row r="59" spans="1:12" x14ac:dyDescent="0.3">
      <c r="A59" t="s">
        <v>215</v>
      </c>
      <c r="B59" t="s">
        <v>27</v>
      </c>
      <c r="C59" t="s">
        <v>142</v>
      </c>
      <c r="D59">
        <v>40</v>
      </c>
      <c r="E59" t="s">
        <v>110</v>
      </c>
      <c r="F59" t="s">
        <v>30</v>
      </c>
      <c r="G59" s="1">
        <v>45237</v>
      </c>
      <c r="H59" t="s">
        <v>216</v>
      </c>
      <c r="I59" t="s">
        <v>217</v>
      </c>
      <c r="J59">
        <v>-2971674337</v>
      </c>
      <c r="K59" t="s">
        <v>25</v>
      </c>
      <c r="L59" t="b">
        <v>0</v>
      </c>
    </row>
    <row r="60" spans="1:12" x14ac:dyDescent="0.3">
      <c r="A60" t="s">
        <v>218</v>
      </c>
      <c r="B60" t="s">
        <v>67</v>
      </c>
      <c r="C60" t="s">
        <v>41</v>
      </c>
      <c r="D60">
        <v>35</v>
      </c>
      <c r="E60" t="s">
        <v>22</v>
      </c>
      <c r="F60" t="s">
        <v>30</v>
      </c>
      <c r="G60" s="1">
        <v>44507</v>
      </c>
      <c r="H60" t="s">
        <v>219</v>
      </c>
      <c r="I60" t="s">
        <v>70</v>
      </c>
      <c r="J60">
        <v>-54522800</v>
      </c>
      <c r="K60" t="s">
        <v>33</v>
      </c>
      <c r="L60" t="b">
        <v>0</v>
      </c>
    </row>
    <row r="61" spans="1:12" x14ac:dyDescent="0.3">
      <c r="A61" t="s">
        <v>220</v>
      </c>
      <c r="B61" t="s">
        <v>13</v>
      </c>
      <c r="C61" t="s">
        <v>28</v>
      </c>
      <c r="D61">
        <v>35</v>
      </c>
      <c r="E61" t="s">
        <v>210</v>
      </c>
      <c r="F61" t="s">
        <v>30</v>
      </c>
      <c r="G61" s="1">
        <v>44667</v>
      </c>
      <c r="H61" t="s">
        <v>221</v>
      </c>
      <c r="I61" t="s">
        <v>56</v>
      </c>
      <c r="J61">
        <v>-5619318373</v>
      </c>
      <c r="K61" t="s">
        <v>25</v>
      </c>
      <c r="L61" t="b">
        <v>1</v>
      </c>
    </row>
    <row r="62" spans="1:12" x14ac:dyDescent="0.3">
      <c r="A62" t="s">
        <v>222</v>
      </c>
      <c r="B62" t="s">
        <v>61</v>
      </c>
      <c r="C62" t="s">
        <v>41</v>
      </c>
      <c r="D62">
        <v>30</v>
      </c>
      <c r="E62" t="s">
        <v>116</v>
      </c>
      <c r="F62" t="s">
        <v>36</v>
      </c>
      <c r="G62" s="1">
        <v>45218</v>
      </c>
      <c r="H62" t="s">
        <v>223</v>
      </c>
      <c r="I62" t="s">
        <v>104</v>
      </c>
      <c r="J62">
        <v>-5508428909</v>
      </c>
      <c r="K62" t="s">
        <v>19</v>
      </c>
      <c r="L62" t="b">
        <v>1</v>
      </c>
    </row>
    <row r="63" spans="1:12" x14ac:dyDescent="0.3">
      <c r="A63" t="s">
        <v>224</v>
      </c>
      <c r="B63" t="s">
        <v>35</v>
      </c>
      <c r="C63" t="s">
        <v>14</v>
      </c>
      <c r="D63">
        <v>40</v>
      </c>
      <c r="E63" t="s">
        <v>48</v>
      </c>
      <c r="F63" t="s">
        <v>36</v>
      </c>
      <c r="G63" s="1">
        <v>44418</v>
      </c>
      <c r="H63" t="s">
        <v>225</v>
      </c>
      <c r="I63" t="s">
        <v>38</v>
      </c>
      <c r="J63">
        <v>-7711991807</v>
      </c>
      <c r="K63" t="s">
        <v>25</v>
      </c>
      <c r="L63" t="b">
        <v>1</v>
      </c>
    </row>
    <row r="64" spans="1:12" x14ac:dyDescent="0.3">
      <c r="A64" t="s">
        <v>226</v>
      </c>
      <c r="B64" t="s">
        <v>40</v>
      </c>
      <c r="C64" t="s">
        <v>28</v>
      </c>
      <c r="D64">
        <v>40</v>
      </c>
      <c r="E64" t="s">
        <v>130</v>
      </c>
      <c r="F64" t="s">
        <v>30</v>
      </c>
      <c r="G64" s="1">
        <v>44268</v>
      </c>
      <c r="H64" t="s">
        <v>227</v>
      </c>
      <c r="I64" t="s">
        <v>53</v>
      </c>
      <c r="J64">
        <v>-1213524786</v>
      </c>
      <c r="K64" t="s">
        <v>25</v>
      </c>
      <c r="L64" t="b">
        <v>1</v>
      </c>
    </row>
    <row r="65" spans="1:12" x14ac:dyDescent="0.3">
      <c r="A65" t="s">
        <v>228</v>
      </c>
      <c r="B65" t="s">
        <v>61</v>
      </c>
      <c r="C65" t="s">
        <v>142</v>
      </c>
      <c r="D65">
        <v>25</v>
      </c>
      <c r="E65" t="s">
        <v>229</v>
      </c>
      <c r="F65" t="s">
        <v>30</v>
      </c>
      <c r="G65" s="1">
        <v>45127</v>
      </c>
      <c r="H65" t="s">
        <v>230</v>
      </c>
      <c r="I65" t="s">
        <v>231</v>
      </c>
      <c r="J65">
        <v>-1255213759</v>
      </c>
      <c r="K65" t="s">
        <v>45</v>
      </c>
      <c r="L65" t="b">
        <v>0</v>
      </c>
    </row>
    <row r="66" spans="1:12" x14ac:dyDescent="0.3">
      <c r="A66" t="s">
        <v>232</v>
      </c>
      <c r="B66" t="s">
        <v>67</v>
      </c>
      <c r="C66" t="s">
        <v>14</v>
      </c>
      <c r="D66">
        <v>35</v>
      </c>
      <c r="E66" t="s">
        <v>233</v>
      </c>
      <c r="F66" t="s">
        <v>16</v>
      </c>
      <c r="G66" s="1">
        <v>43881</v>
      </c>
      <c r="H66" t="s">
        <v>234</v>
      </c>
      <c r="I66" t="s">
        <v>73</v>
      </c>
      <c r="J66">
        <v>-3754821455</v>
      </c>
      <c r="K66" t="s">
        <v>33</v>
      </c>
      <c r="L66" t="b">
        <v>0</v>
      </c>
    </row>
    <row r="67" spans="1:12" x14ac:dyDescent="0.3">
      <c r="A67" t="s">
        <v>235</v>
      </c>
      <c r="B67" t="s">
        <v>13</v>
      </c>
      <c r="C67" t="s">
        <v>62</v>
      </c>
      <c r="D67">
        <v>40</v>
      </c>
      <c r="E67" t="s">
        <v>116</v>
      </c>
      <c r="F67" t="s">
        <v>30</v>
      </c>
      <c r="G67" s="1">
        <v>44229</v>
      </c>
      <c r="H67" t="s">
        <v>236</v>
      </c>
      <c r="I67" t="s">
        <v>237</v>
      </c>
      <c r="J67">
        <v>-5328632665</v>
      </c>
      <c r="K67" t="s">
        <v>25</v>
      </c>
      <c r="L67" t="b">
        <v>0</v>
      </c>
    </row>
    <row r="68" spans="1:12" x14ac:dyDescent="0.3">
      <c r="A68" t="s">
        <v>238</v>
      </c>
      <c r="B68" t="s">
        <v>80</v>
      </c>
      <c r="C68" t="s">
        <v>21</v>
      </c>
      <c r="D68">
        <v>30</v>
      </c>
      <c r="E68" t="s">
        <v>29</v>
      </c>
      <c r="F68" t="s">
        <v>30</v>
      </c>
      <c r="G68" s="1">
        <v>43842</v>
      </c>
      <c r="H68" t="s">
        <v>239</v>
      </c>
      <c r="I68" t="s">
        <v>240</v>
      </c>
      <c r="J68">
        <v>-7850720810</v>
      </c>
      <c r="K68" t="s">
        <v>25</v>
      </c>
      <c r="L68" t="b">
        <v>1</v>
      </c>
    </row>
    <row r="69" spans="1:12" x14ac:dyDescent="0.3">
      <c r="A69" t="s">
        <v>241</v>
      </c>
      <c r="B69" t="s">
        <v>13</v>
      </c>
      <c r="C69" t="s">
        <v>142</v>
      </c>
      <c r="D69">
        <v>40</v>
      </c>
      <c r="E69" t="s">
        <v>233</v>
      </c>
      <c r="F69" t="s">
        <v>30</v>
      </c>
      <c r="G69" s="1">
        <v>44891</v>
      </c>
      <c r="H69" t="s">
        <v>242</v>
      </c>
      <c r="I69" t="s">
        <v>144</v>
      </c>
      <c r="J69">
        <v>-5562606028</v>
      </c>
      <c r="K69" t="s">
        <v>45</v>
      </c>
      <c r="L69" t="b">
        <v>1</v>
      </c>
    </row>
    <row r="70" spans="1:12" x14ac:dyDescent="0.3">
      <c r="A70" t="s">
        <v>243</v>
      </c>
      <c r="B70" t="s">
        <v>13</v>
      </c>
      <c r="C70" t="s">
        <v>21</v>
      </c>
      <c r="D70">
        <v>40</v>
      </c>
      <c r="E70" t="s">
        <v>244</v>
      </c>
      <c r="F70" t="s">
        <v>30</v>
      </c>
      <c r="G70" s="1">
        <v>44918</v>
      </c>
      <c r="H70" t="s">
        <v>245</v>
      </c>
      <c r="I70" t="s">
        <v>24</v>
      </c>
      <c r="J70">
        <v>-846684549</v>
      </c>
      <c r="K70" t="s">
        <v>45</v>
      </c>
      <c r="L70" t="b">
        <v>1</v>
      </c>
    </row>
    <row r="71" spans="1:12" x14ac:dyDescent="0.3">
      <c r="A71" t="s">
        <v>246</v>
      </c>
      <c r="B71" t="s">
        <v>75</v>
      </c>
      <c r="C71" t="s">
        <v>106</v>
      </c>
      <c r="E71" t="s">
        <v>91</v>
      </c>
      <c r="F71" t="s">
        <v>36</v>
      </c>
      <c r="G71" s="1">
        <v>45532</v>
      </c>
      <c r="H71" t="s">
        <v>247</v>
      </c>
      <c r="I71" t="s">
        <v>153</v>
      </c>
      <c r="J71">
        <v>-4892673898</v>
      </c>
      <c r="K71" t="s">
        <v>33</v>
      </c>
      <c r="L71" t="b">
        <v>0</v>
      </c>
    </row>
    <row r="72" spans="1:12" x14ac:dyDescent="0.3">
      <c r="A72" t="s">
        <v>248</v>
      </c>
      <c r="B72" t="s">
        <v>61</v>
      </c>
      <c r="C72" t="s">
        <v>62</v>
      </c>
      <c r="D72">
        <v>40</v>
      </c>
      <c r="E72" t="s">
        <v>81</v>
      </c>
      <c r="F72" t="s">
        <v>16</v>
      </c>
      <c r="G72" s="1">
        <v>45551</v>
      </c>
      <c r="H72" t="s">
        <v>249</v>
      </c>
      <c r="I72" t="s">
        <v>65</v>
      </c>
      <c r="J72">
        <v>-7563410855</v>
      </c>
      <c r="K72" t="s">
        <v>45</v>
      </c>
      <c r="L72" t="b">
        <v>0</v>
      </c>
    </row>
    <row r="73" spans="1:12" x14ac:dyDescent="0.3">
      <c r="A73" t="s">
        <v>250</v>
      </c>
      <c r="B73" t="s">
        <v>75</v>
      </c>
      <c r="C73" t="s">
        <v>62</v>
      </c>
      <c r="D73">
        <v>30</v>
      </c>
      <c r="E73" t="s">
        <v>251</v>
      </c>
      <c r="F73" t="s">
        <v>16</v>
      </c>
      <c r="G73" s="1">
        <v>45292</v>
      </c>
      <c r="H73" t="s">
        <v>252</v>
      </c>
      <c r="I73" t="s">
        <v>132</v>
      </c>
      <c r="J73">
        <v>-2884318847</v>
      </c>
      <c r="K73" t="s">
        <v>19</v>
      </c>
      <c r="L73" t="b">
        <v>1</v>
      </c>
    </row>
    <row r="74" spans="1:12" x14ac:dyDescent="0.3">
      <c r="A74" t="s">
        <v>253</v>
      </c>
      <c r="B74" t="s">
        <v>40</v>
      </c>
      <c r="C74" t="s">
        <v>142</v>
      </c>
      <c r="E74" t="s">
        <v>68</v>
      </c>
      <c r="F74" t="s">
        <v>16</v>
      </c>
      <c r="G74" s="1">
        <v>44304</v>
      </c>
      <c r="H74" t="s">
        <v>254</v>
      </c>
      <c r="I74" t="s">
        <v>163</v>
      </c>
      <c r="J74">
        <v>-5200894345</v>
      </c>
      <c r="K74" t="s">
        <v>45</v>
      </c>
      <c r="L74" t="b">
        <v>0</v>
      </c>
    </row>
    <row r="75" spans="1:12" x14ac:dyDescent="0.3">
      <c r="A75" t="s">
        <v>255</v>
      </c>
      <c r="B75" t="s">
        <v>67</v>
      </c>
      <c r="C75" t="s">
        <v>62</v>
      </c>
      <c r="D75">
        <v>25</v>
      </c>
      <c r="E75" t="s">
        <v>130</v>
      </c>
      <c r="F75" t="s">
        <v>36</v>
      </c>
      <c r="G75" s="1">
        <v>44942</v>
      </c>
      <c r="H75" t="s">
        <v>256</v>
      </c>
      <c r="I75" t="s">
        <v>257</v>
      </c>
      <c r="J75">
        <v>-8105485100</v>
      </c>
      <c r="K75" t="s">
        <v>19</v>
      </c>
      <c r="L75" t="b">
        <v>1</v>
      </c>
    </row>
    <row r="76" spans="1:12" x14ac:dyDescent="0.3">
      <c r="A76" t="s">
        <v>258</v>
      </c>
      <c r="B76" t="s">
        <v>80</v>
      </c>
      <c r="C76" t="s">
        <v>28</v>
      </c>
      <c r="D76">
        <v>40</v>
      </c>
      <c r="E76" t="s">
        <v>259</v>
      </c>
      <c r="F76" t="s">
        <v>16</v>
      </c>
      <c r="G76" s="1">
        <v>45585</v>
      </c>
      <c r="H76" t="s">
        <v>260</v>
      </c>
      <c r="I76" t="s">
        <v>89</v>
      </c>
      <c r="J76">
        <v>-7490753997</v>
      </c>
      <c r="K76" t="s">
        <v>33</v>
      </c>
      <c r="L76" t="b">
        <v>1</v>
      </c>
    </row>
    <row r="77" spans="1:12" x14ac:dyDescent="0.3">
      <c r="A77" t="s">
        <v>261</v>
      </c>
      <c r="B77" t="s">
        <v>75</v>
      </c>
      <c r="C77" t="s">
        <v>62</v>
      </c>
      <c r="D77">
        <v>25</v>
      </c>
      <c r="E77" t="s">
        <v>172</v>
      </c>
      <c r="F77" t="s">
        <v>36</v>
      </c>
      <c r="G77" s="1">
        <v>45578</v>
      </c>
      <c r="H77" t="s">
        <v>262</v>
      </c>
      <c r="I77" t="s">
        <v>132</v>
      </c>
      <c r="J77">
        <v>-9354492682</v>
      </c>
      <c r="K77" t="s">
        <v>33</v>
      </c>
      <c r="L77" t="b">
        <v>0</v>
      </c>
    </row>
    <row r="78" spans="1:12" x14ac:dyDescent="0.3">
      <c r="A78" t="s">
        <v>263</v>
      </c>
      <c r="B78" t="s">
        <v>67</v>
      </c>
      <c r="C78" t="s">
        <v>21</v>
      </c>
      <c r="D78">
        <v>40</v>
      </c>
      <c r="E78" t="s">
        <v>138</v>
      </c>
      <c r="F78" t="s">
        <v>36</v>
      </c>
      <c r="G78" s="1">
        <v>44825</v>
      </c>
      <c r="H78" t="s">
        <v>264</v>
      </c>
      <c r="I78" t="s">
        <v>265</v>
      </c>
      <c r="J78">
        <v>-1589357125</v>
      </c>
      <c r="K78" t="s">
        <v>33</v>
      </c>
      <c r="L78" t="b">
        <v>1</v>
      </c>
    </row>
    <row r="79" spans="1:12" x14ac:dyDescent="0.3">
      <c r="A79" t="s">
        <v>266</v>
      </c>
      <c r="B79" t="s">
        <v>80</v>
      </c>
      <c r="C79" t="s">
        <v>21</v>
      </c>
      <c r="D79">
        <v>30</v>
      </c>
      <c r="E79" t="s">
        <v>267</v>
      </c>
      <c r="F79" t="s">
        <v>30</v>
      </c>
      <c r="G79" s="1">
        <v>44924</v>
      </c>
      <c r="H79" t="s">
        <v>268</v>
      </c>
      <c r="I79" t="s">
        <v>240</v>
      </c>
      <c r="J79">
        <v>-6110627370</v>
      </c>
      <c r="K79" t="s">
        <v>33</v>
      </c>
      <c r="L79" t="b">
        <v>0</v>
      </c>
    </row>
    <row r="80" spans="1:12" x14ac:dyDescent="0.3">
      <c r="A80" t="s">
        <v>269</v>
      </c>
      <c r="B80" t="s">
        <v>27</v>
      </c>
      <c r="C80" t="s">
        <v>14</v>
      </c>
      <c r="D80">
        <v>25</v>
      </c>
      <c r="E80" t="s">
        <v>270</v>
      </c>
      <c r="F80" t="s">
        <v>16</v>
      </c>
      <c r="G80" s="1">
        <v>45606</v>
      </c>
      <c r="H80" t="s">
        <v>271</v>
      </c>
      <c r="I80" t="s">
        <v>191</v>
      </c>
      <c r="J80">
        <v>-5869886496</v>
      </c>
      <c r="K80" t="s">
        <v>33</v>
      </c>
      <c r="L80" t="b">
        <v>1</v>
      </c>
    </row>
    <row r="81" spans="1:12" x14ac:dyDescent="0.3">
      <c r="A81" t="s">
        <v>272</v>
      </c>
      <c r="B81" t="s">
        <v>80</v>
      </c>
      <c r="C81" t="s">
        <v>21</v>
      </c>
      <c r="D81">
        <v>35</v>
      </c>
      <c r="E81" t="s">
        <v>244</v>
      </c>
      <c r="F81" t="s">
        <v>36</v>
      </c>
      <c r="G81" s="1">
        <v>44522</v>
      </c>
      <c r="H81" t="s">
        <v>273</v>
      </c>
      <c r="I81" t="s">
        <v>240</v>
      </c>
      <c r="J81">
        <v>-6776228276</v>
      </c>
      <c r="K81" t="s">
        <v>19</v>
      </c>
      <c r="L81" t="b">
        <v>0</v>
      </c>
    </row>
    <row r="82" spans="1:12" x14ac:dyDescent="0.3">
      <c r="A82" t="s">
        <v>274</v>
      </c>
      <c r="B82" t="s">
        <v>80</v>
      </c>
      <c r="C82" t="s">
        <v>14</v>
      </c>
      <c r="D82">
        <v>35</v>
      </c>
      <c r="E82" t="s">
        <v>42</v>
      </c>
      <c r="F82" t="s">
        <v>16</v>
      </c>
      <c r="G82" s="1">
        <v>45365</v>
      </c>
      <c r="H82" t="s">
        <v>275</v>
      </c>
      <c r="I82" t="s">
        <v>276</v>
      </c>
      <c r="J82">
        <v>-2881377027</v>
      </c>
      <c r="K82" t="s">
        <v>19</v>
      </c>
      <c r="L82" t="b">
        <v>0</v>
      </c>
    </row>
    <row r="83" spans="1:12" x14ac:dyDescent="0.3">
      <c r="A83" t="s">
        <v>277</v>
      </c>
      <c r="B83" t="s">
        <v>40</v>
      </c>
      <c r="C83" t="s">
        <v>21</v>
      </c>
      <c r="D83">
        <v>30</v>
      </c>
      <c r="E83" t="s">
        <v>278</v>
      </c>
      <c r="F83" t="s">
        <v>30</v>
      </c>
      <c r="G83" s="1">
        <v>43913</v>
      </c>
      <c r="H83" t="s">
        <v>279</v>
      </c>
      <c r="I83" t="s">
        <v>280</v>
      </c>
      <c r="J83">
        <v>-5196115939</v>
      </c>
      <c r="K83" t="s">
        <v>33</v>
      </c>
      <c r="L83" t="b">
        <v>0</v>
      </c>
    </row>
    <row r="84" spans="1:12" x14ac:dyDescent="0.3">
      <c r="A84" t="s">
        <v>281</v>
      </c>
      <c r="B84" t="s">
        <v>67</v>
      </c>
      <c r="C84" t="s">
        <v>28</v>
      </c>
      <c r="D84">
        <v>25</v>
      </c>
      <c r="E84" t="s">
        <v>126</v>
      </c>
      <c r="F84" t="s">
        <v>16</v>
      </c>
      <c r="G84" s="1">
        <v>44089</v>
      </c>
      <c r="H84" t="s">
        <v>282</v>
      </c>
      <c r="I84" t="s">
        <v>283</v>
      </c>
      <c r="J84">
        <v>-8215454469</v>
      </c>
      <c r="K84" t="s">
        <v>45</v>
      </c>
      <c r="L84" t="b">
        <v>1</v>
      </c>
    </row>
    <row r="85" spans="1:12" x14ac:dyDescent="0.3">
      <c r="A85" t="s">
        <v>284</v>
      </c>
      <c r="B85" t="s">
        <v>67</v>
      </c>
      <c r="C85" t="s">
        <v>47</v>
      </c>
      <c r="D85">
        <v>40</v>
      </c>
      <c r="E85" t="s">
        <v>15</v>
      </c>
      <c r="F85" t="s">
        <v>36</v>
      </c>
      <c r="G85" s="1">
        <v>44174</v>
      </c>
      <c r="H85" t="s">
        <v>285</v>
      </c>
      <c r="I85" t="s">
        <v>118</v>
      </c>
      <c r="J85">
        <v>-2296044326</v>
      </c>
      <c r="K85" t="s">
        <v>25</v>
      </c>
      <c r="L85" t="b">
        <v>1</v>
      </c>
    </row>
    <row r="86" spans="1:12" x14ac:dyDescent="0.3">
      <c r="A86" t="s">
        <v>286</v>
      </c>
      <c r="B86" t="s">
        <v>13</v>
      </c>
      <c r="C86" t="s">
        <v>14</v>
      </c>
      <c r="D86">
        <v>30</v>
      </c>
      <c r="E86" t="s">
        <v>165</v>
      </c>
      <c r="F86" t="s">
        <v>30</v>
      </c>
      <c r="G86" s="1">
        <v>43883</v>
      </c>
      <c r="H86" t="s">
        <v>287</v>
      </c>
      <c r="I86" t="s">
        <v>18</v>
      </c>
      <c r="J86">
        <v>-185106793</v>
      </c>
      <c r="K86" t="s">
        <v>33</v>
      </c>
      <c r="L86" t="b">
        <v>0</v>
      </c>
    </row>
    <row r="87" spans="1:12" x14ac:dyDescent="0.3">
      <c r="A87" t="s">
        <v>288</v>
      </c>
      <c r="B87" t="s">
        <v>80</v>
      </c>
      <c r="C87" t="s">
        <v>41</v>
      </c>
      <c r="D87">
        <v>40</v>
      </c>
      <c r="E87" t="s">
        <v>63</v>
      </c>
      <c r="F87" t="s">
        <v>16</v>
      </c>
      <c r="G87" s="1">
        <v>45043</v>
      </c>
      <c r="H87" t="s">
        <v>289</v>
      </c>
      <c r="I87" t="s">
        <v>83</v>
      </c>
      <c r="J87">
        <v>-9756792286</v>
      </c>
      <c r="K87" t="s">
        <v>45</v>
      </c>
      <c r="L87" t="b">
        <v>0</v>
      </c>
    </row>
    <row r="88" spans="1:12" x14ac:dyDescent="0.3">
      <c r="A88" t="s">
        <v>290</v>
      </c>
      <c r="B88" t="s">
        <v>13</v>
      </c>
      <c r="C88" t="s">
        <v>106</v>
      </c>
      <c r="D88">
        <v>35</v>
      </c>
      <c r="E88" t="s">
        <v>91</v>
      </c>
      <c r="F88" t="s">
        <v>16</v>
      </c>
      <c r="G88" s="1">
        <v>45461</v>
      </c>
      <c r="H88" t="s">
        <v>291</v>
      </c>
      <c r="I88" t="s">
        <v>108</v>
      </c>
      <c r="J88">
        <v>-7725199662</v>
      </c>
      <c r="K88" t="s">
        <v>25</v>
      </c>
      <c r="L88" t="b">
        <v>1</v>
      </c>
    </row>
    <row r="89" spans="1:12" x14ac:dyDescent="0.3">
      <c r="A89" t="s">
        <v>292</v>
      </c>
      <c r="B89" t="s">
        <v>40</v>
      </c>
      <c r="C89" t="s">
        <v>142</v>
      </c>
      <c r="E89" t="s">
        <v>116</v>
      </c>
      <c r="F89" t="s">
        <v>36</v>
      </c>
      <c r="G89" s="1">
        <v>43972</v>
      </c>
      <c r="H89" t="s">
        <v>293</v>
      </c>
      <c r="I89" t="s">
        <v>163</v>
      </c>
      <c r="J89">
        <v>-6580741208</v>
      </c>
      <c r="K89" t="s">
        <v>33</v>
      </c>
      <c r="L89" t="b">
        <v>1</v>
      </c>
    </row>
    <row r="90" spans="1:12" x14ac:dyDescent="0.3">
      <c r="A90" t="s">
        <v>294</v>
      </c>
      <c r="B90" t="s">
        <v>80</v>
      </c>
      <c r="C90" t="s">
        <v>21</v>
      </c>
      <c r="D90">
        <v>40</v>
      </c>
      <c r="E90" t="s">
        <v>42</v>
      </c>
      <c r="F90" t="s">
        <v>36</v>
      </c>
      <c r="G90" s="1">
        <v>45132</v>
      </c>
      <c r="H90" t="s">
        <v>295</v>
      </c>
      <c r="I90" t="s">
        <v>240</v>
      </c>
      <c r="J90">
        <v>-4818139889</v>
      </c>
      <c r="K90" t="s">
        <v>33</v>
      </c>
      <c r="L90" t="b">
        <v>1</v>
      </c>
    </row>
    <row r="91" spans="1:12" x14ac:dyDescent="0.3">
      <c r="A91" t="s">
        <v>296</v>
      </c>
      <c r="B91" t="s">
        <v>61</v>
      </c>
      <c r="C91" t="s">
        <v>62</v>
      </c>
      <c r="D91">
        <v>40</v>
      </c>
      <c r="E91" t="s">
        <v>29</v>
      </c>
      <c r="F91" t="s">
        <v>30</v>
      </c>
      <c r="G91" s="1">
        <v>45163</v>
      </c>
      <c r="H91" t="s">
        <v>297</v>
      </c>
      <c r="I91" t="s">
        <v>65</v>
      </c>
      <c r="J91">
        <v>-9837801819</v>
      </c>
      <c r="K91" t="s">
        <v>19</v>
      </c>
      <c r="L91" t="b">
        <v>0</v>
      </c>
    </row>
    <row r="92" spans="1:12" x14ac:dyDescent="0.3">
      <c r="A92" t="s">
        <v>298</v>
      </c>
      <c r="B92" t="s">
        <v>75</v>
      </c>
      <c r="C92" t="s">
        <v>47</v>
      </c>
      <c r="D92">
        <v>40</v>
      </c>
      <c r="E92" t="s">
        <v>116</v>
      </c>
      <c r="F92" t="s">
        <v>30</v>
      </c>
      <c r="G92" s="1">
        <v>44380</v>
      </c>
      <c r="H92" t="s">
        <v>299</v>
      </c>
      <c r="I92" t="s">
        <v>300</v>
      </c>
      <c r="J92">
        <v>-4339718955</v>
      </c>
      <c r="K92" t="s">
        <v>25</v>
      </c>
      <c r="L92" t="b">
        <v>1</v>
      </c>
    </row>
    <row r="93" spans="1:12" x14ac:dyDescent="0.3">
      <c r="A93" t="s">
        <v>301</v>
      </c>
      <c r="B93" t="s">
        <v>13</v>
      </c>
      <c r="C93" t="s">
        <v>21</v>
      </c>
      <c r="D93">
        <v>35</v>
      </c>
      <c r="E93" t="s">
        <v>267</v>
      </c>
      <c r="F93" t="s">
        <v>36</v>
      </c>
      <c r="G93" s="1">
        <v>44998</v>
      </c>
      <c r="H93" t="s">
        <v>302</v>
      </c>
      <c r="I93" t="s">
        <v>24</v>
      </c>
      <c r="J93">
        <v>-9070562607</v>
      </c>
      <c r="K93" t="s">
        <v>25</v>
      </c>
      <c r="L93" t="b">
        <v>1</v>
      </c>
    </row>
    <row r="94" spans="1:12" x14ac:dyDescent="0.3">
      <c r="A94" t="s">
        <v>303</v>
      </c>
      <c r="B94" t="s">
        <v>27</v>
      </c>
      <c r="C94" t="s">
        <v>62</v>
      </c>
      <c r="D94">
        <v>40</v>
      </c>
      <c r="E94" t="s">
        <v>76</v>
      </c>
      <c r="F94" t="s">
        <v>36</v>
      </c>
      <c r="G94" s="1">
        <v>44265</v>
      </c>
      <c r="H94" t="s">
        <v>304</v>
      </c>
      <c r="I94" t="s">
        <v>177</v>
      </c>
      <c r="J94">
        <v>-5641118241</v>
      </c>
      <c r="K94" t="s">
        <v>45</v>
      </c>
      <c r="L94" t="b">
        <v>0</v>
      </c>
    </row>
    <row r="95" spans="1:12" x14ac:dyDescent="0.3">
      <c r="A95" t="s">
        <v>305</v>
      </c>
      <c r="B95" t="s">
        <v>35</v>
      </c>
      <c r="C95" t="s">
        <v>106</v>
      </c>
      <c r="E95" t="s">
        <v>15</v>
      </c>
      <c r="F95" t="s">
        <v>30</v>
      </c>
      <c r="G95" s="1">
        <v>43851</v>
      </c>
      <c r="H95" t="s">
        <v>306</v>
      </c>
      <c r="I95" t="s">
        <v>307</v>
      </c>
      <c r="J95">
        <v>-2412462094</v>
      </c>
      <c r="K95" t="s">
        <v>19</v>
      </c>
      <c r="L95" t="b">
        <v>1</v>
      </c>
    </row>
    <row r="96" spans="1:12" x14ac:dyDescent="0.3">
      <c r="A96" t="s">
        <v>308</v>
      </c>
      <c r="B96" t="s">
        <v>67</v>
      </c>
      <c r="C96" t="s">
        <v>106</v>
      </c>
      <c r="D96">
        <v>40</v>
      </c>
      <c r="E96" t="s">
        <v>309</v>
      </c>
      <c r="F96" t="s">
        <v>16</v>
      </c>
      <c r="G96" s="1">
        <v>45245</v>
      </c>
      <c r="H96" t="s">
        <v>310</v>
      </c>
      <c r="I96" t="s">
        <v>124</v>
      </c>
      <c r="J96">
        <v>-2004615264</v>
      </c>
      <c r="K96" t="s">
        <v>19</v>
      </c>
      <c r="L96" t="b">
        <v>1</v>
      </c>
    </row>
    <row r="97" spans="1:12" x14ac:dyDescent="0.3">
      <c r="A97" t="s">
        <v>311</v>
      </c>
      <c r="B97" t="s">
        <v>75</v>
      </c>
      <c r="C97" t="s">
        <v>106</v>
      </c>
      <c r="D97">
        <v>25</v>
      </c>
      <c r="E97" t="s">
        <v>312</v>
      </c>
      <c r="F97" t="s">
        <v>16</v>
      </c>
      <c r="G97" s="1">
        <v>44659</v>
      </c>
      <c r="H97" t="s">
        <v>313</v>
      </c>
      <c r="I97" t="s">
        <v>153</v>
      </c>
      <c r="J97">
        <v>-4610339936</v>
      </c>
      <c r="K97" t="s">
        <v>19</v>
      </c>
      <c r="L97" t="b">
        <v>1</v>
      </c>
    </row>
    <row r="98" spans="1:12" x14ac:dyDescent="0.3">
      <c r="A98" t="s">
        <v>314</v>
      </c>
      <c r="B98" t="s">
        <v>40</v>
      </c>
      <c r="C98" t="s">
        <v>62</v>
      </c>
      <c r="D98">
        <v>40</v>
      </c>
      <c r="E98" t="s">
        <v>113</v>
      </c>
      <c r="F98" t="s">
        <v>36</v>
      </c>
      <c r="G98" s="1">
        <v>44702</v>
      </c>
      <c r="H98" t="s">
        <v>315</v>
      </c>
      <c r="I98" t="s">
        <v>316</v>
      </c>
      <c r="J98">
        <v>-8861405785</v>
      </c>
      <c r="K98" t="s">
        <v>19</v>
      </c>
      <c r="L98" t="b">
        <v>0</v>
      </c>
    </row>
    <row r="99" spans="1:12" x14ac:dyDescent="0.3">
      <c r="A99" t="s">
        <v>317</v>
      </c>
      <c r="B99" t="s">
        <v>40</v>
      </c>
      <c r="C99" t="s">
        <v>21</v>
      </c>
      <c r="D99">
        <v>40</v>
      </c>
      <c r="E99" t="s">
        <v>172</v>
      </c>
      <c r="F99" t="s">
        <v>36</v>
      </c>
      <c r="G99" s="1">
        <v>44303</v>
      </c>
      <c r="H99" t="s">
        <v>318</v>
      </c>
      <c r="I99" t="s">
        <v>280</v>
      </c>
      <c r="J99">
        <v>-1706304890</v>
      </c>
      <c r="K99" t="s">
        <v>25</v>
      </c>
      <c r="L99" t="b">
        <v>0</v>
      </c>
    </row>
    <row r="100" spans="1:12" x14ac:dyDescent="0.3">
      <c r="A100" t="s">
        <v>319</v>
      </c>
      <c r="B100" t="s">
        <v>13</v>
      </c>
      <c r="C100" t="s">
        <v>106</v>
      </c>
      <c r="E100" t="s">
        <v>63</v>
      </c>
      <c r="F100" t="s">
        <v>16</v>
      </c>
      <c r="G100" s="1">
        <v>44274</v>
      </c>
      <c r="H100" t="s">
        <v>320</v>
      </c>
      <c r="I100" t="s">
        <v>108</v>
      </c>
      <c r="J100">
        <v>-3824967182</v>
      </c>
      <c r="K100" t="s">
        <v>25</v>
      </c>
      <c r="L100" t="b">
        <v>0</v>
      </c>
    </row>
    <row r="101" spans="1:12" x14ac:dyDescent="0.3">
      <c r="A101" t="s">
        <v>321</v>
      </c>
      <c r="B101" t="s">
        <v>35</v>
      </c>
      <c r="C101" t="s">
        <v>28</v>
      </c>
      <c r="D101">
        <v>25</v>
      </c>
      <c r="E101" t="s">
        <v>138</v>
      </c>
      <c r="F101" t="s">
        <v>16</v>
      </c>
      <c r="G101" s="1">
        <v>44570</v>
      </c>
      <c r="H101" t="s">
        <v>322</v>
      </c>
      <c r="I101" t="s">
        <v>323</v>
      </c>
      <c r="J101">
        <v>-2582386869</v>
      </c>
      <c r="K101" t="s">
        <v>33</v>
      </c>
      <c r="L101" t="b">
        <v>0</v>
      </c>
    </row>
    <row r="102" spans="1:12" x14ac:dyDescent="0.3">
      <c r="A102" t="s">
        <v>324</v>
      </c>
      <c r="B102" t="s">
        <v>61</v>
      </c>
      <c r="C102" t="s">
        <v>14</v>
      </c>
      <c r="D102">
        <v>35</v>
      </c>
      <c r="E102" t="s">
        <v>187</v>
      </c>
      <c r="F102" t="s">
        <v>30</v>
      </c>
      <c r="G102" s="1">
        <v>44429</v>
      </c>
      <c r="H102" t="s">
        <v>325</v>
      </c>
      <c r="I102" t="s">
        <v>200</v>
      </c>
      <c r="J102">
        <v>-794200748</v>
      </c>
      <c r="K102" t="s">
        <v>33</v>
      </c>
      <c r="L102" t="b">
        <v>0</v>
      </c>
    </row>
    <row r="103" spans="1:12" x14ac:dyDescent="0.3">
      <c r="A103" t="s">
        <v>326</v>
      </c>
      <c r="B103" t="s">
        <v>75</v>
      </c>
      <c r="C103" t="s">
        <v>62</v>
      </c>
      <c r="D103">
        <v>25</v>
      </c>
      <c r="E103" t="s">
        <v>110</v>
      </c>
      <c r="F103" t="s">
        <v>36</v>
      </c>
      <c r="G103" s="1">
        <v>44792</v>
      </c>
      <c r="H103" t="s">
        <v>327</v>
      </c>
      <c r="I103" t="s">
        <v>132</v>
      </c>
      <c r="J103">
        <v>-4653984027</v>
      </c>
      <c r="K103" t="s">
        <v>19</v>
      </c>
      <c r="L103" t="b">
        <v>0</v>
      </c>
    </row>
    <row r="104" spans="1:12" x14ac:dyDescent="0.3">
      <c r="A104" t="s">
        <v>328</v>
      </c>
      <c r="B104" t="s">
        <v>27</v>
      </c>
      <c r="C104" t="s">
        <v>62</v>
      </c>
      <c r="D104">
        <v>35</v>
      </c>
      <c r="E104" t="s">
        <v>22</v>
      </c>
      <c r="F104" t="s">
        <v>16</v>
      </c>
      <c r="G104" s="1">
        <v>44651</v>
      </c>
      <c r="H104" t="s">
        <v>329</v>
      </c>
      <c r="I104" t="s">
        <v>177</v>
      </c>
      <c r="J104">
        <v>-9141612845</v>
      </c>
      <c r="K104" t="s">
        <v>19</v>
      </c>
      <c r="L104" t="b">
        <v>0</v>
      </c>
    </row>
    <row r="105" spans="1:12" x14ac:dyDescent="0.3">
      <c r="A105" t="s">
        <v>330</v>
      </c>
      <c r="B105" t="s">
        <v>27</v>
      </c>
      <c r="C105" t="s">
        <v>21</v>
      </c>
      <c r="D105">
        <v>30</v>
      </c>
      <c r="E105" t="s">
        <v>102</v>
      </c>
      <c r="F105" t="s">
        <v>36</v>
      </c>
      <c r="G105" s="1">
        <v>44005</v>
      </c>
      <c r="H105" t="s">
        <v>331</v>
      </c>
      <c r="I105" t="s">
        <v>93</v>
      </c>
      <c r="J105">
        <v>-3985547434</v>
      </c>
      <c r="K105" t="s">
        <v>19</v>
      </c>
      <c r="L105" t="b">
        <v>1</v>
      </c>
    </row>
    <row r="106" spans="1:12" x14ac:dyDescent="0.3">
      <c r="A106" t="s">
        <v>332</v>
      </c>
      <c r="B106" t="s">
        <v>80</v>
      </c>
      <c r="C106" t="s">
        <v>62</v>
      </c>
      <c r="E106" t="s">
        <v>113</v>
      </c>
      <c r="F106" t="s">
        <v>16</v>
      </c>
      <c r="G106" s="1">
        <v>45419</v>
      </c>
      <c r="H106" t="s">
        <v>333</v>
      </c>
      <c r="I106" t="s">
        <v>150</v>
      </c>
      <c r="J106">
        <v>-5379502096</v>
      </c>
      <c r="K106" t="s">
        <v>33</v>
      </c>
      <c r="L106" t="b">
        <v>1</v>
      </c>
    </row>
    <row r="107" spans="1:12" x14ac:dyDescent="0.3">
      <c r="A107" t="s">
        <v>334</v>
      </c>
      <c r="B107" t="s">
        <v>75</v>
      </c>
      <c r="C107" t="s">
        <v>62</v>
      </c>
      <c r="D107">
        <v>35</v>
      </c>
      <c r="E107" t="s">
        <v>87</v>
      </c>
      <c r="F107" t="s">
        <v>36</v>
      </c>
      <c r="G107" s="1">
        <v>44995</v>
      </c>
      <c r="H107" t="s">
        <v>335</v>
      </c>
      <c r="I107" t="s">
        <v>132</v>
      </c>
      <c r="J107">
        <v>-26876810</v>
      </c>
      <c r="K107" t="s">
        <v>45</v>
      </c>
      <c r="L107" t="b">
        <v>0</v>
      </c>
    </row>
    <row r="108" spans="1:12" x14ac:dyDescent="0.3">
      <c r="A108" t="s">
        <v>336</v>
      </c>
      <c r="B108" t="s">
        <v>13</v>
      </c>
      <c r="C108" t="s">
        <v>106</v>
      </c>
      <c r="D108">
        <v>30</v>
      </c>
      <c r="E108" t="s">
        <v>63</v>
      </c>
      <c r="F108" t="s">
        <v>36</v>
      </c>
      <c r="G108" s="1">
        <v>45183</v>
      </c>
      <c r="H108" t="s">
        <v>337</v>
      </c>
      <c r="I108" t="s">
        <v>108</v>
      </c>
      <c r="J108">
        <v>-8071569561</v>
      </c>
      <c r="K108" t="s">
        <v>45</v>
      </c>
      <c r="L108" t="b">
        <v>1</v>
      </c>
    </row>
    <row r="109" spans="1:12" x14ac:dyDescent="0.3">
      <c r="A109" t="s">
        <v>338</v>
      </c>
      <c r="B109" t="s">
        <v>13</v>
      </c>
      <c r="C109" t="s">
        <v>21</v>
      </c>
      <c r="D109">
        <v>30</v>
      </c>
      <c r="E109" t="s">
        <v>42</v>
      </c>
      <c r="F109" t="s">
        <v>36</v>
      </c>
      <c r="G109" s="1">
        <v>45242</v>
      </c>
      <c r="H109" t="s">
        <v>339</v>
      </c>
      <c r="I109" t="s">
        <v>24</v>
      </c>
      <c r="J109">
        <v>-175370303</v>
      </c>
      <c r="K109" t="s">
        <v>33</v>
      </c>
      <c r="L109" t="b">
        <v>1</v>
      </c>
    </row>
    <row r="110" spans="1:12" x14ac:dyDescent="0.3">
      <c r="A110" t="s">
        <v>340</v>
      </c>
      <c r="B110" t="s">
        <v>67</v>
      </c>
      <c r="C110" t="s">
        <v>106</v>
      </c>
      <c r="D110">
        <v>35</v>
      </c>
      <c r="E110" t="s">
        <v>15</v>
      </c>
      <c r="F110" t="s">
        <v>30</v>
      </c>
      <c r="G110" s="1">
        <v>45591</v>
      </c>
      <c r="H110" t="s">
        <v>341</v>
      </c>
      <c r="I110" t="s">
        <v>124</v>
      </c>
      <c r="J110">
        <v>-5319433749</v>
      </c>
      <c r="K110" t="s">
        <v>33</v>
      </c>
      <c r="L110" t="b">
        <v>0</v>
      </c>
    </row>
    <row r="111" spans="1:12" x14ac:dyDescent="0.3">
      <c r="A111" t="s">
        <v>342</v>
      </c>
      <c r="B111" t="s">
        <v>35</v>
      </c>
      <c r="C111" t="s">
        <v>14</v>
      </c>
      <c r="E111" t="s">
        <v>63</v>
      </c>
      <c r="F111" t="s">
        <v>36</v>
      </c>
      <c r="G111" s="1">
        <v>44066</v>
      </c>
      <c r="H111" t="s">
        <v>343</v>
      </c>
      <c r="I111" t="s">
        <v>38</v>
      </c>
      <c r="J111">
        <v>-4793036148</v>
      </c>
      <c r="K111" t="s">
        <v>33</v>
      </c>
      <c r="L111" t="b">
        <v>1</v>
      </c>
    </row>
    <row r="112" spans="1:12" x14ac:dyDescent="0.3">
      <c r="A112" t="s">
        <v>344</v>
      </c>
      <c r="B112" t="s">
        <v>35</v>
      </c>
      <c r="C112" t="s">
        <v>47</v>
      </c>
      <c r="D112">
        <v>30</v>
      </c>
      <c r="E112" t="s">
        <v>187</v>
      </c>
      <c r="F112" t="s">
        <v>16</v>
      </c>
      <c r="G112" s="1">
        <v>45454</v>
      </c>
      <c r="H112" t="s">
        <v>345</v>
      </c>
      <c r="I112" t="s">
        <v>346</v>
      </c>
      <c r="J112">
        <v>-8728399920</v>
      </c>
      <c r="K112" t="s">
        <v>33</v>
      </c>
      <c r="L112" t="b">
        <v>1</v>
      </c>
    </row>
    <row r="113" spans="1:12" x14ac:dyDescent="0.3">
      <c r="A113" t="s">
        <v>347</v>
      </c>
      <c r="B113" t="s">
        <v>35</v>
      </c>
      <c r="C113" t="s">
        <v>14</v>
      </c>
      <c r="D113">
        <v>40</v>
      </c>
      <c r="E113" t="s">
        <v>42</v>
      </c>
      <c r="F113" t="s">
        <v>30</v>
      </c>
      <c r="G113" s="1">
        <v>44453</v>
      </c>
      <c r="H113" t="s">
        <v>348</v>
      </c>
      <c r="I113" t="s">
        <v>38</v>
      </c>
      <c r="J113">
        <v>-9212493842</v>
      </c>
      <c r="K113" t="s">
        <v>33</v>
      </c>
      <c r="L113" t="b">
        <v>1</v>
      </c>
    </row>
    <row r="114" spans="1:12" x14ac:dyDescent="0.3">
      <c r="A114" t="s">
        <v>349</v>
      </c>
      <c r="B114" t="s">
        <v>75</v>
      </c>
      <c r="C114" t="s">
        <v>47</v>
      </c>
      <c r="D114">
        <v>40</v>
      </c>
      <c r="E114" t="s">
        <v>110</v>
      </c>
      <c r="F114" t="s">
        <v>16</v>
      </c>
      <c r="G114" s="1">
        <v>45652</v>
      </c>
      <c r="H114" t="s">
        <v>350</v>
      </c>
      <c r="I114" t="s">
        <v>300</v>
      </c>
      <c r="J114">
        <v>-894870604</v>
      </c>
      <c r="K114" t="s">
        <v>33</v>
      </c>
      <c r="L114" t="b">
        <v>1</v>
      </c>
    </row>
    <row r="115" spans="1:12" x14ac:dyDescent="0.3">
      <c r="A115" t="s">
        <v>351</v>
      </c>
      <c r="B115" t="s">
        <v>35</v>
      </c>
      <c r="C115" t="s">
        <v>106</v>
      </c>
      <c r="D115">
        <v>25</v>
      </c>
      <c r="E115" t="s">
        <v>68</v>
      </c>
      <c r="F115" t="s">
        <v>30</v>
      </c>
      <c r="G115" s="1">
        <v>45543</v>
      </c>
      <c r="H115" t="s">
        <v>352</v>
      </c>
      <c r="I115" t="s">
        <v>307</v>
      </c>
      <c r="J115">
        <v>-6641877579</v>
      </c>
      <c r="K115" t="s">
        <v>19</v>
      </c>
      <c r="L115" t="b">
        <v>1</v>
      </c>
    </row>
    <row r="116" spans="1:12" x14ac:dyDescent="0.3">
      <c r="A116" t="s">
        <v>353</v>
      </c>
      <c r="B116" t="s">
        <v>27</v>
      </c>
      <c r="C116" t="s">
        <v>14</v>
      </c>
      <c r="D116">
        <v>35</v>
      </c>
      <c r="E116" t="s">
        <v>48</v>
      </c>
      <c r="F116" t="s">
        <v>16</v>
      </c>
      <c r="G116" s="1">
        <v>44794</v>
      </c>
      <c r="H116" t="s">
        <v>354</v>
      </c>
      <c r="I116" t="s">
        <v>191</v>
      </c>
      <c r="J116">
        <v>-3046875062</v>
      </c>
      <c r="K116" t="s">
        <v>19</v>
      </c>
      <c r="L116" t="b">
        <v>0</v>
      </c>
    </row>
    <row r="117" spans="1:12" x14ac:dyDescent="0.3">
      <c r="A117" t="s">
        <v>355</v>
      </c>
      <c r="B117" t="s">
        <v>35</v>
      </c>
      <c r="C117" t="s">
        <v>21</v>
      </c>
      <c r="D117">
        <v>30</v>
      </c>
      <c r="E117" t="s">
        <v>87</v>
      </c>
      <c r="F117" t="s">
        <v>30</v>
      </c>
      <c r="G117" s="1">
        <v>45498</v>
      </c>
      <c r="H117" t="s">
        <v>356</v>
      </c>
      <c r="I117" t="s">
        <v>183</v>
      </c>
      <c r="J117">
        <v>-5190361331</v>
      </c>
      <c r="K117" t="s">
        <v>19</v>
      </c>
      <c r="L117" t="b">
        <v>0</v>
      </c>
    </row>
    <row r="118" spans="1:12" x14ac:dyDescent="0.3">
      <c r="A118" t="s">
        <v>357</v>
      </c>
      <c r="B118" t="s">
        <v>40</v>
      </c>
      <c r="C118" t="s">
        <v>142</v>
      </c>
      <c r="D118">
        <v>40</v>
      </c>
      <c r="E118" t="s">
        <v>172</v>
      </c>
      <c r="F118" t="s">
        <v>30</v>
      </c>
      <c r="G118" s="1">
        <v>44045</v>
      </c>
      <c r="H118" t="s">
        <v>358</v>
      </c>
      <c r="I118" t="s">
        <v>163</v>
      </c>
      <c r="J118">
        <v>-5411076094</v>
      </c>
      <c r="K118" t="s">
        <v>19</v>
      </c>
      <c r="L118" t="b">
        <v>0</v>
      </c>
    </row>
    <row r="119" spans="1:12" x14ac:dyDescent="0.3">
      <c r="A119" t="s">
        <v>359</v>
      </c>
      <c r="B119" t="s">
        <v>75</v>
      </c>
      <c r="C119" t="s">
        <v>106</v>
      </c>
      <c r="D119">
        <v>35</v>
      </c>
      <c r="E119" t="s">
        <v>270</v>
      </c>
      <c r="F119" t="s">
        <v>30</v>
      </c>
      <c r="G119" s="1">
        <v>43906</v>
      </c>
      <c r="H119" t="s">
        <v>360</v>
      </c>
      <c r="I119" t="s">
        <v>153</v>
      </c>
      <c r="J119">
        <v>-4317350582</v>
      </c>
      <c r="K119" t="s">
        <v>33</v>
      </c>
      <c r="L119" t="b">
        <v>1</v>
      </c>
    </row>
    <row r="120" spans="1:12" x14ac:dyDescent="0.3">
      <c r="A120" t="s">
        <v>361</v>
      </c>
      <c r="B120" t="s">
        <v>40</v>
      </c>
      <c r="C120" t="s">
        <v>47</v>
      </c>
      <c r="D120">
        <v>25</v>
      </c>
      <c r="E120" t="s">
        <v>309</v>
      </c>
      <c r="F120" t="s">
        <v>16</v>
      </c>
      <c r="G120" s="1">
        <v>45177</v>
      </c>
      <c r="H120" t="s">
        <v>362</v>
      </c>
      <c r="I120" t="s">
        <v>214</v>
      </c>
      <c r="J120">
        <v>-1997179109</v>
      </c>
      <c r="K120" t="s">
        <v>45</v>
      </c>
      <c r="L120" t="b">
        <v>0</v>
      </c>
    </row>
    <row r="121" spans="1:12" x14ac:dyDescent="0.3">
      <c r="A121" t="s">
        <v>363</v>
      </c>
      <c r="B121" t="s">
        <v>27</v>
      </c>
      <c r="C121" t="s">
        <v>28</v>
      </c>
      <c r="D121">
        <v>30</v>
      </c>
      <c r="E121" t="s">
        <v>210</v>
      </c>
      <c r="F121" t="s">
        <v>30</v>
      </c>
      <c r="G121" s="1">
        <v>45380</v>
      </c>
      <c r="H121" t="s">
        <v>364</v>
      </c>
      <c r="I121" t="s">
        <v>32</v>
      </c>
      <c r="J121">
        <v>-651207048</v>
      </c>
      <c r="K121" t="s">
        <v>25</v>
      </c>
      <c r="L121" t="b">
        <v>1</v>
      </c>
    </row>
    <row r="122" spans="1:12" x14ac:dyDescent="0.3">
      <c r="A122" t="s">
        <v>365</v>
      </c>
      <c r="B122" t="s">
        <v>27</v>
      </c>
      <c r="C122" t="s">
        <v>47</v>
      </c>
      <c r="D122">
        <v>30</v>
      </c>
      <c r="E122" t="s">
        <v>229</v>
      </c>
      <c r="F122" t="s">
        <v>16</v>
      </c>
      <c r="G122" s="1">
        <v>44420</v>
      </c>
      <c r="H122" t="s">
        <v>366</v>
      </c>
      <c r="I122" t="s">
        <v>50</v>
      </c>
      <c r="J122">
        <v>-6110804660</v>
      </c>
      <c r="K122" t="s">
        <v>33</v>
      </c>
      <c r="L122" t="b">
        <v>1</v>
      </c>
    </row>
    <row r="123" spans="1:12" x14ac:dyDescent="0.3">
      <c r="A123" t="s">
        <v>367</v>
      </c>
      <c r="B123" t="s">
        <v>13</v>
      </c>
      <c r="C123" t="s">
        <v>28</v>
      </c>
      <c r="D123">
        <v>25</v>
      </c>
      <c r="E123" t="s">
        <v>91</v>
      </c>
      <c r="F123" t="s">
        <v>16</v>
      </c>
      <c r="G123" s="1">
        <v>45284</v>
      </c>
      <c r="H123" t="s">
        <v>368</v>
      </c>
      <c r="I123" t="s">
        <v>56</v>
      </c>
      <c r="J123">
        <v>-9639907675</v>
      </c>
      <c r="K123" t="s">
        <v>25</v>
      </c>
      <c r="L123" t="b">
        <v>1</v>
      </c>
    </row>
    <row r="124" spans="1:12" x14ac:dyDescent="0.3">
      <c r="A124" t="s">
        <v>369</v>
      </c>
      <c r="B124" t="s">
        <v>80</v>
      </c>
      <c r="C124" t="s">
        <v>62</v>
      </c>
      <c r="D124">
        <v>25</v>
      </c>
      <c r="E124" t="s">
        <v>120</v>
      </c>
      <c r="F124" t="s">
        <v>36</v>
      </c>
      <c r="G124" s="1">
        <v>44071</v>
      </c>
      <c r="H124" t="s">
        <v>370</v>
      </c>
      <c r="I124" t="s">
        <v>150</v>
      </c>
      <c r="J124">
        <v>-9915078592</v>
      </c>
      <c r="K124" t="s">
        <v>45</v>
      </c>
      <c r="L124" t="b">
        <v>1</v>
      </c>
    </row>
    <row r="125" spans="1:12" x14ac:dyDescent="0.3">
      <c r="A125" t="s">
        <v>371</v>
      </c>
      <c r="B125" t="s">
        <v>35</v>
      </c>
      <c r="C125" t="s">
        <v>14</v>
      </c>
      <c r="E125" t="s">
        <v>15</v>
      </c>
      <c r="F125" t="s">
        <v>36</v>
      </c>
      <c r="G125" s="1">
        <v>45540</v>
      </c>
      <c r="H125" t="s">
        <v>372</v>
      </c>
      <c r="I125" t="s">
        <v>38</v>
      </c>
      <c r="J125">
        <v>-1109193927</v>
      </c>
      <c r="K125" t="s">
        <v>19</v>
      </c>
      <c r="L125" t="b">
        <v>0</v>
      </c>
    </row>
    <row r="126" spans="1:12" x14ac:dyDescent="0.3">
      <c r="A126" t="s">
        <v>373</v>
      </c>
      <c r="B126" t="s">
        <v>75</v>
      </c>
      <c r="C126" t="s">
        <v>28</v>
      </c>
      <c r="E126" t="s">
        <v>244</v>
      </c>
      <c r="F126" t="s">
        <v>16</v>
      </c>
      <c r="G126" s="1">
        <v>45058</v>
      </c>
      <c r="H126" t="s">
        <v>374</v>
      </c>
      <c r="I126" t="s">
        <v>375</v>
      </c>
      <c r="J126">
        <v>-4567972319</v>
      </c>
      <c r="K126" t="s">
        <v>45</v>
      </c>
      <c r="L126" t="b">
        <v>0</v>
      </c>
    </row>
    <row r="127" spans="1:12" x14ac:dyDescent="0.3">
      <c r="A127" t="s">
        <v>376</v>
      </c>
      <c r="B127" t="s">
        <v>13</v>
      </c>
      <c r="C127" t="s">
        <v>47</v>
      </c>
      <c r="D127">
        <v>35</v>
      </c>
      <c r="E127" t="s">
        <v>81</v>
      </c>
      <c r="F127" t="s">
        <v>30</v>
      </c>
      <c r="G127" s="1">
        <v>44378</v>
      </c>
      <c r="H127" t="s">
        <v>377</v>
      </c>
      <c r="I127" t="s">
        <v>180</v>
      </c>
      <c r="J127">
        <v>-249685497</v>
      </c>
      <c r="K127" t="s">
        <v>33</v>
      </c>
      <c r="L127" t="b">
        <v>1</v>
      </c>
    </row>
    <row r="128" spans="1:12" x14ac:dyDescent="0.3">
      <c r="A128" t="s">
        <v>378</v>
      </c>
      <c r="B128" t="s">
        <v>35</v>
      </c>
      <c r="C128" t="s">
        <v>62</v>
      </c>
      <c r="E128" t="s">
        <v>259</v>
      </c>
      <c r="F128" t="s">
        <v>36</v>
      </c>
      <c r="G128" s="1">
        <v>45603</v>
      </c>
      <c r="H128" t="s">
        <v>379</v>
      </c>
      <c r="I128" t="s">
        <v>380</v>
      </c>
      <c r="J128">
        <v>-2274954507</v>
      </c>
      <c r="K128" t="s">
        <v>19</v>
      </c>
      <c r="L128" t="b">
        <v>0</v>
      </c>
    </row>
    <row r="129" spans="1:12" x14ac:dyDescent="0.3">
      <c r="A129" t="s">
        <v>381</v>
      </c>
      <c r="B129" t="s">
        <v>40</v>
      </c>
      <c r="C129" t="s">
        <v>142</v>
      </c>
      <c r="D129">
        <v>35</v>
      </c>
      <c r="E129" t="s">
        <v>113</v>
      </c>
      <c r="F129" t="s">
        <v>36</v>
      </c>
      <c r="G129" s="1">
        <v>44763</v>
      </c>
      <c r="H129" t="s">
        <v>382</v>
      </c>
      <c r="I129" t="s">
        <v>163</v>
      </c>
      <c r="J129">
        <v>-9203880652</v>
      </c>
      <c r="K129" t="s">
        <v>33</v>
      </c>
      <c r="L129" t="b">
        <v>1</v>
      </c>
    </row>
    <row r="130" spans="1:12" x14ac:dyDescent="0.3">
      <c r="A130" t="s">
        <v>383</v>
      </c>
      <c r="B130" t="s">
        <v>67</v>
      </c>
      <c r="C130" t="s">
        <v>21</v>
      </c>
      <c r="E130" t="s">
        <v>267</v>
      </c>
      <c r="F130" t="s">
        <v>36</v>
      </c>
      <c r="G130" s="1">
        <v>43920</v>
      </c>
      <c r="H130" t="s">
        <v>384</v>
      </c>
      <c r="I130" t="s">
        <v>265</v>
      </c>
      <c r="J130">
        <v>-3315377958</v>
      </c>
      <c r="K130" t="s">
        <v>19</v>
      </c>
      <c r="L130" t="b">
        <v>0</v>
      </c>
    </row>
    <row r="131" spans="1:12" x14ac:dyDescent="0.3">
      <c r="A131" t="s">
        <v>385</v>
      </c>
      <c r="B131" t="s">
        <v>80</v>
      </c>
      <c r="C131" t="s">
        <v>21</v>
      </c>
      <c r="D131">
        <v>40</v>
      </c>
      <c r="E131" t="s">
        <v>386</v>
      </c>
      <c r="F131" t="s">
        <v>16</v>
      </c>
      <c r="G131" s="1">
        <v>44845</v>
      </c>
      <c r="H131" t="s">
        <v>387</v>
      </c>
      <c r="I131" t="s">
        <v>240</v>
      </c>
      <c r="J131">
        <v>-9594652169</v>
      </c>
      <c r="K131" t="s">
        <v>25</v>
      </c>
      <c r="L131" t="b">
        <v>0</v>
      </c>
    </row>
    <row r="132" spans="1:12" x14ac:dyDescent="0.3">
      <c r="A132" t="s">
        <v>388</v>
      </c>
      <c r="B132" t="s">
        <v>40</v>
      </c>
      <c r="C132" t="s">
        <v>21</v>
      </c>
      <c r="D132">
        <v>25</v>
      </c>
      <c r="E132" t="s">
        <v>22</v>
      </c>
      <c r="F132" t="s">
        <v>30</v>
      </c>
      <c r="G132" s="1">
        <v>44766</v>
      </c>
      <c r="H132" t="s">
        <v>389</v>
      </c>
      <c r="I132" t="s">
        <v>280</v>
      </c>
      <c r="J132">
        <v>-7303379336</v>
      </c>
      <c r="K132" t="s">
        <v>25</v>
      </c>
      <c r="L132" t="b">
        <v>1</v>
      </c>
    </row>
    <row r="133" spans="1:12" x14ac:dyDescent="0.3">
      <c r="A133" t="s">
        <v>390</v>
      </c>
      <c r="B133" t="s">
        <v>61</v>
      </c>
      <c r="C133" t="s">
        <v>28</v>
      </c>
      <c r="D133">
        <v>25</v>
      </c>
      <c r="E133" t="s">
        <v>81</v>
      </c>
      <c r="F133" t="s">
        <v>36</v>
      </c>
      <c r="G133" s="1">
        <v>45107</v>
      </c>
      <c r="H133" t="s">
        <v>391</v>
      </c>
      <c r="I133" t="s">
        <v>140</v>
      </c>
      <c r="J133">
        <v>-5636205014</v>
      </c>
      <c r="K133" t="s">
        <v>25</v>
      </c>
      <c r="L133" t="b">
        <v>0</v>
      </c>
    </row>
    <row r="134" spans="1:12" x14ac:dyDescent="0.3">
      <c r="A134" t="s">
        <v>392</v>
      </c>
      <c r="B134" t="s">
        <v>40</v>
      </c>
      <c r="C134" t="s">
        <v>142</v>
      </c>
      <c r="E134" t="s">
        <v>81</v>
      </c>
      <c r="F134" t="s">
        <v>30</v>
      </c>
      <c r="G134" s="1">
        <v>45302</v>
      </c>
      <c r="H134" t="s">
        <v>393</v>
      </c>
      <c r="I134" t="s">
        <v>163</v>
      </c>
      <c r="J134">
        <v>-812473949</v>
      </c>
      <c r="K134" t="s">
        <v>45</v>
      </c>
      <c r="L134" t="b">
        <v>1</v>
      </c>
    </row>
    <row r="135" spans="1:12" x14ac:dyDescent="0.3">
      <c r="A135" t="s">
        <v>394</v>
      </c>
      <c r="B135" t="s">
        <v>27</v>
      </c>
      <c r="C135" t="s">
        <v>28</v>
      </c>
      <c r="E135" t="s">
        <v>68</v>
      </c>
      <c r="F135" t="s">
        <v>30</v>
      </c>
      <c r="G135" s="1">
        <v>45232</v>
      </c>
      <c r="H135" t="s">
        <v>395</v>
      </c>
      <c r="I135" t="s">
        <v>32</v>
      </c>
      <c r="J135">
        <v>-334234257</v>
      </c>
      <c r="K135" t="s">
        <v>33</v>
      </c>
      <c r="L135" t="b">
        <v>0</v>
      </c>
    </row>
    <row r="136" spans="1:12" x14ac:dyDescent="0.3">
      <c r="A136" t="s">
        <v>396</v>
      </c>
      <c r="B136" t="s">
        <v>13</v>
      </c>
      <c r="C136" t="s">
        <v>14</v>
      </c>
      <c r="D136">
        <v>40</v>
      </c>
      <c r="E136" t="s">
        <v>98</v>
      </c>
      <c r="F136" t="s">
        <v>30</v>
      </c>
      <c r="G136" s="1">
        <v>45618</v>
      </c>
      <c r="H136" t="s">
        <v>397</v>
      </c>
      <c r="I136" t="s">
        <v>18</v>
      </c>
      <c r="J136">
        <v>-3230241025</v>
      </c>
      <c r="K136" t="s">
        <v>45</v>
      </c>
      <c r="L136" t="b">
        <v>1</v>
      </c>
    </row>
    <row r="137" spans="1:12" x14ac:dyDescent="0.3">
      <c r="A137" t="s">
        <v>398</v>
      </c>
      <c r="B137" t="s">
        <v>35</v>
      </c>
      <c r="C137" t="s">
        <v>28</v>
      </c>
      <c r="D137">
        <v>25</v>
      </c>
      <c r="E137" t="s">
        <v>312</v>
      </c>
      <c r="F137" t="s">
        <v>16</v>
      </c>
      <c r="G137" s="1">
        <v>44431</v>
      </c>
      <c r="H137" t="s">
        <v>399</v>
      </c>
      <c r="I137" t="s">
        <v>323</v>
      </c>
      <c r="J137">
        <v>-1534735527</v>
      </c>
      <c r="K137" t="s">
        <v>25</v>
      </c>
      <c r="L137" t="b">
        <v>1</v>
      </c>
    </row>
    <row r="138" spans="1:12" x14ac:dyDescent="0.3">
      <c r="A138" t="s">
        <v>400</v>
      </c>
      <c r="B138" t="s">
        <v>67</v>
      </c>
      <c r="C138" t="s">
        <v>142</v>
      </c>
      <c r="E138" t="s">
        <v>309</v>
      </c>
      <c r="F138" t="s">
        <v>30</v>
      </c>
      <c r="G138" s="1">
        <v>45454</v>
      </c>
      <c r="H138" t="s">
        <v>401</v>
      </c>
      <c r="I138" t="s">
        <v>402</v>
      </c>
      <c r="J138">
        <v>-9611223385</v>
      </c>
      <c r="K138" t="s">
        <v>33</v>
      </c>
      <c r="L138" t="b">
        <v>0</v>
      </c>
    </row>
    <row r="139" spans="1:12" x14ac:dyDescent="0.3">
      <c r="A139" t="s">
        <v>403</v>
      </c>
      <c r="B139" t="s">
        <v>80</v>
      </c>
      <c r="C139" t="s">
        <v>142</v>
      </c>
      <c r="E139" t="s">
        <v>63</v>
      </c>
      <c r="F139" t="s">
        <v>36</v>
      </c>
      <c r="G139" s="1">
        <v>45025</v>
      </c>
      <c r="H139" t="s">
        <v>404</v>
      </c>
      <c r="I139" t="s">
        <v>160</v>
      </c>
      <c r="J139">
        <v>-5596309937</v>
      </c>
      <c r="K139" t="s">
        <v>25</v>
      </c>
      <c r="L139" t="b">
        <v>0</v>
      </c>
    </row>
    <row r="140" spans="1:12" x14ac:dyDescent="0.3">
      <c r="A140" t="s">
        <v>405</v>
      </c>
      <c r="B140" t="s">
        <v>35</v>
      </c>
      <c r="C140" t="s">
        <v>14</v>
      </c>
      <c r="D140">
        <v>40</v>
      </c>
      <c r="E140" t="s">
        <v>175</v>
      </c>
      <c r="F140" t="s">
        <v>16</v>
      </c>
      <c r="G140" s="1">
        <v>45478</v>
      </c>
      <c r="H140" t="s">
        <v>406</v>
      </c>
      <c r="I140" t="s">
        <v>38</v>
      </c>
      <c r="J140">
        <v>-4253042896</v>
      </c>
      <c r="K140" t="s">
        <v>45</v>
      </c>
      <c r="L140" t="b">
        <v>1</v>
      </c>
    </row>
    <row r="141" spans="1:12" x14ac:dyDescent="0.3">
      <c r="A141" t="s">
        <v>407</v>
      </c>
      <c r="B141" t="s">
        <v>61</v>
      </c>
      <c r="C141" t="s">
        <v>142</v>
      </c>
      <c r="D141">
        <v>25</v>
      </c>
      <c r="E141" t="s">
        <v>81</v>
      </c>
      <c r="F141" t="s">
        <v>30</v>
      </c>
      <c r="G141" s="1">
        <v>44443</v>
      </c>
      <c r="H141" t="s">
        <v>408</v>
      </c>
      <c r="I141" t="s">
        <v>231</v>
      </c>
      <c r="J141">
        <v>-3179128684</v>
      </c>
      <c r="K141" t="s">
        <v>45</v>
      </c>
      <c r="L141" t="b">
        <v>0</v>
      </c>
    </row>
    <row r="142" spans="1:12" x14ac:dyDescent="0.3">
      <c r="A142" t="s">
        <v>409</v>
      </c>
      <c r="B142" t="s">
        <v>35</v>
      </c>
      <c r="C142" t="s">
        <v>47</v>
      </c>
      <c r="D142">
        <v>40</v>
      </c>
      <c r="E142" t="s">
        <v>76</v>
      </c>
      <c r="F142" t="s">
        <v>36</v>
      </c>
      <c r="G142" s="1">
        <v>45578</v>
      </c>
      <c r="H142" t="s">
        <v>410</v>
      </c>
      <c r="I142" t="s">
        <v>346</v>
      </c>
      <c r="J142">
        <v>-7872558776</v>
      </c>
      <c r="K142" t="s">
        <v>45</v>
      </c>
      <c r="L142" t="b">
        <v>0</v>
      </c>
    </row>
    <row r="143" spans="1:12" x14ac:dyDescent="0.3">
      <c r="A143" t="s">
        <v>411</v>
      </c>
      <c r="B143" t="s">
        <v>40</v>
      </c>
      <c r="C143" t="s">
        <v>142</v>
      </c>
      <c r="E143" t="s">
        <v>175</v>
      </c>
      <c r="F143" t="s">
        <v>36</v>
      </c>
      <c r="G143" s="1">
        <v>43875</v>
      </c>
      <c r="H143" t="s">
        <v>412</v>
      </c>
      <c r="I143" t="s">
        <v>163</v>
      </c>
      <c r="J143">
        <v>-4969033372</v>
      </c>
      <c r="K143" t="s">
        <v>25</v>
      </c>
      <c r="L143" t="b">
        <v>1</v>
      </c>
    </row>
    <row r="144" spans="1:12" x14ac:dyDescent="0.3">
      <c r="A144" t="s">
        <v>413</v>
      </c>
      <c r="B144" t="s">
        <v>35</v>
      </c>
      <c r="C144" t="s">
        <v>21</v>
      </c>
      <c r="D144">
        <v>25</v>
      </c>
      <c r="E144" t="s">
        <v>259</v>
      </c>
      <c r="F144" t="s">
        <v>30</v>
      </c>
      <c r="G144" s="1">
        <v>43931</v>
      </c>
      <c r="H144" t="s">
        <v>414</v>
      </c>
      <c r="I144" t="s">
        <v>183</v>
      </c>
      <c r="J144">
        <v>-6346692547</v>
      </c>
      <c r="K144" t="s">
        <v>33</v>
      </c>
      <c r="L144" t="b">
        <v>1</v>
      </c>
    </row>
    <row r="145" spans="1:12" x14ac:dyDescent="0.3">
      <c r="A145" t="s">
        <v>415</v>
      </c>
      <c r="B145" t="s">
        <v>35</v>
      </c>
      <c r="C145" t="s">
        <v>47</v>
      </c>
      <c r="D145">
        <v>30</v>
      </c>
      <c r="E145" t="s">
        <v>210</v>
      </c>
      <c r="F145" t="s">
        <v>16</v>
      </c>
      <c r="G145" s="1">
        <v>45134</v>
      </c>
      <c r="H145" t="s">
        <v>416</v>
      </c>
      <c r="I145" t="s">
        <v>346</v>
      </c>
      <c r="J145">
        <v>-1214785389</v>
      </c>
      <c r="K145" t="s">
        <v>33</v>
      </c>
      <c r="L145" t="b">
        <v>0</v>
      </c>
    </row>
    <row r="146" spans="1:12" x14ac:dyDescent="0.3">
      <c r="A146" t="s">
        <v>417</v>
      </c>
      <c r="B146" t="s">
        <v>61</v>
      </c>
      <c r="C146" t="s">
        <v>47</v>
      </c>
      <c r="D146">
        <v>25</v>
      </c>
      <c r="E146" t="s">
        <v>386</v>
      </c>
      <c r="F146" t="s">
        <v>16</v>
      </c>
      <c r="G146" s="1">
        <v>44463</v>
      </c>
      <c r="H146" t="s">
        <v>418</v>
      </c>
      <c r="I146" t="s">
        <v>100</v>
      </c>
      <c r="J146">
        <v>-7895677664</v>
      </c>
      <c r="K146" t="s">
        <v>25</v>
      </c>
      <c r="L146" t="b">
        <v>1</v>
      </c>
    </row>
    <row r="147" spans="1:12" x14ac:dyDescent="0.3">
      <c r="A147" t="s">
        <v>419</v>
      </c>
      <c r="B147" t="s">
        <v>40</v>
      </c>
      <c r="C147" t="s">
        <v>14</v>
      </c>
      <c r="D147">
        <v>30</v>
      </c>
      <c r="E147" t="s">
        <v>312</v>
      </c>
      <c r="F147" t="s">
        <v>36</v>
      </c>
      <c r="G147" s="1">
        <v>45361</v>
      </c>
      <c r="H147" t="s">
        <v>420</v>
      </c>
      <c r="I147" t="s">
        <v>59</v>
      </c>
      <c r="J147">
        <v>-7546027340</v>
      </c>
      <c r="K147" t="s">
        <v>33</v>
      </c>
      <c r="L147" t="b">
        <v>1</v>
      </c>
    </row>
    <row r="148" spans="1:12" x14ac:dyDescent="0.3">
      <c r="A148" t="s">
        <v>421</v>
      </c>
      <c r="B148" t="s">
        <v>40</v>
      </c>
      <c r="C148" t="s">
        <v>41</v>
      </c>
      <c r="E148" t="s">
        <v>210</v>
      </c>
      <c r="F148" t="s">
        <v>16</v>
      </c>
      <c r="G148" s="1">
        <v>44357</v>
      </c>
      <c r="H148" t="s">
        <v>422</v>
      </c>
      <c r="I148" t="s">
        <v>44</v>
      </c>
      <c r="J148">
        <v>-5148881430</v>
      </c>
      <c r="K148" t="s">
        <v>25</v>
      </c>
      <c r="L148" t="b">
        <v>1</v>
      </c>
    </row>
    <row r="149" spans="1:12" x14ac:dyDescent="0.3">
      <c r="A149" t="s">
        <v>423</v>
      </c>
      <c r="B149" t="s">
        <v>35</v>
      </c>
      <c r="C149" t="s">
        <v>41</v>
      </c>
      <c r="D149">
        <v>35</v>
      </c>
      <c r="E149" t="s">
        <v>42</v>
      </c>
      <c r="F149" t="s">
        <v>16</v>
      </c>
      <c r="G149" s="1">
        <v>44119</v>
      </c>
      <c r="H149" t="s">
        <v>424</v>
      </c>
      <c r="I149" t="s">
        <v>167</v>
      </c>
      <c r="J149">
        <v>-1150835353</v>
      </c>
      <c r="K149" t="s">
        <v>33</v>
      </c>
      <c r="L149" t="b">
        <v>0</v>
      </c>
    </row>
    <row r="150" spans="1:12" x14ac:dyDescent="0.3">
      <c r="A150" t="s">
        <v>425</v>
      </c>
      <c r="B150" t="s">
        <v>80</v>
      </c>
      <c r="C150" t="s">
        <v>142</v>
      </c>
      <c r="E150" t="s">
        <v>165</v>
      </c>
      <c r="F150" t="s">
        <v>36</v>
      </c>
      <c r="G150" s="1">
        <v>43859</v>
      </c>
      <c r="H150" t="s">
        <v>426</v>
      </c>
      <c r="I150" t="s">
        <v>160</v>
      </c>
      <c r="J150">
        <v>-4439284043</v>
      </c>
      <c r="K150" t="s">
        <v>19</v>
      </c>
      <c r="L150" t="b">
        <v>0</v>
      </c>
    </row>
    <row r="151" spans="1:12" x14ac:dyDescent="0.3">
      <c r="A151" t="s">
        <v>427</v>
      </c>
      <c r="B151" t="s">
        <v>40</v>
      </c>
      <c r="C151" t="s">
        <v>47</v>
      </c>
      <c r="D151">
        <v>35</v>
      </c>
      <c r="E151" t="s">
        <v>87</v>
      </c>
      <c r="F151" t="s">
        <v>30</v>
      </c>
      <c r="G151" s="1">
        <v>44591</v>
      </c>
      <c r="H151" t="s">
        <v>428</v>
      </c>
      <c r="I151" t="s">
        <v>214</v>
      </c>
      <c r="J151">
        <v>-5669078262</v>
      </c>
      <c r="K151" t="s">
        <v>19</v>
      </c>
      <c r="L151" t="b">
        <v>1</v>
      </c>
    </row>
    <row r="152" spans="1:12" x14ac:dyDescent="0.3">
      <c r="A152" t="s">
        <v>429</v>
      </c>
      <c r="B152" t="s">
        <v>27</v>
      </c>
      <c r="C152" t="s">
        <v>41</v>
      </c>
      <c r="E152" t="s">
        <v>210</v>
      </c>
      <c r="F152" t="s">
        <v>30</v>
      </c>
      <c r="G152" s="1">
        <v>44284</v>
      </c>
      <c r="H152" t="s">
        <v>430</v>
      </c>
      <c r="I152" t="s">
        <v>431</v>
      </c>
      <c r="J152">
        <v>-3373898774</v>
      </c>
      <c r="K152" t="s">
        <v>45</v>
      </c>
      <c r="L152" t="b">
        <v>0</v>
      </c>
    </row>
    <row r="153" spans="1:12" x14ac:dyDescent="0.3">
      <c r="A153" t="s">
        <v>432</v>
      </c>
      <c r="B153" t="s">
        <v>75</v>
      </c>
      <c r="C153" t="s">
        <v>41</v>
      </c>
      <c r="D153">
        <v>35</v>
      </c>
      <c r="E153" t="s">
        <v>270</v>
      </c>
      <c r="F153" t="s">
        <v>16</v>
      </c>
      <c r="G153" s="1">
        <v>44117</v>
      </c>
      <c r="H153" t="s">
        <v>433</v>
      </c>
      <c r="I153" t="s">
        <v>78</v>
      </c>
      <c r="J153">
        <v>-1536637779</v>
      </c>
      <c r="K153" t="s">
        <v>19</v>
      </c>
      <c r="L153" t="b">
        <v>1</v>
      </c>
    </row>
    <row r="154" spans="1:12" x14ac:dyDescent="0.3">
      <c r="A154" t="s">
        <v>434</v>
      </c>
      <c r="B154" t="s">
        <v>75</v>
      </c>
      <c r="C154" t="s">
        <v>142</v>
      </c>
      <c r="D154">
        <v>25</v>
      </c>
      <c r="E154" t="s">
        <v>68</v>
      </c>
      <c r="F154" t="s">
        <v>30</v>
      </c>
      <c r="G154" s="1">
        <v>44108</v>
      </c>
      <c r="H154" t="s">
        <v>435</v>
      </c>
      <c r="I154" t="s">
        <v>436</v>
      </c>
      <c r="J154">
        <v>-5292407552</v>
      </c>
      <c r="K154" t="s">
        <v>19</v>
      </c>
      <c r="L154" t="b">
        <v>0</v>
      </c>
    </row>
    <row r="155" spans="1:12" x14ac:dyDescent="0.3">
      <c r="A155" t="s">
        <v>437</v>
      </c>
      <c r="B155" t="s">
        <v>80</v>
      </c>
      <c r="C155" t="s">
        <v>41</v>
      </c>
      <c r="E155" t="s">
        <v>386</v>
      </c>
      <c r="F155" t="s">
        <v>16</v>
      </c>
      <c r="G155" s="1">
        <v>45644</v>
      </c>
      <c r="H155" t="s">
        <v>438</v>
      </c>
      <c r="I155" t="s">
        <v>83</v>
      </c>
      <c r="J155">
        <v>-6668459089</v>
      </c>
      <c r="K155" t="s">
        <v>19</v>
      </c>
      <c r="L155" t="b">
        <v>1</v>
      </c>
    </row>
    <row r="156" spans="1:12" x14ac:dyDescent="0.3">
      <c r="A156" t="s">
        <v>439</v>
      </c>
      <c r="B156" t="s">
        <v>75</v>
      </c>
      <c r="C156" t="s">
        <v>28</v>
      </c>
      <c r="E156" t="s">
        <v>81</v>
      </c>
      <c r="F156" t="s">
        <v>16</v>
      </c>
      <c r="G156" s="1">
        <v>45244</v>
      </c>
      <c r="H156" t="s">
        <v>440</v>
      </c>
      <c r="I156" t="s">
        <v>375</v>
      </c>
      <c r="J156">
        <v>-2259999662</v>
      </c>
      <c r="K156" t="s">
        <v>25</v>
      </c>
      <c r="L156" t="b">
        <v>1</v>
      </c>
    </row>
    <row r="157" spans="1:12" x14ac:dyDescent="0.3">
      <c r="A157" t="s">
        <v>441</v>
      </c>
      <c r="B157" t="s">
        <v>67</v>
      </c>
      <c r="C157" t="s">
        <v>62</v>
      </c>
      <c r="D157">
        <v>35</v>
      </c>
      <c r="E157" t="s">
        <v>98</v>
      </c>
      <c r="F157" t="s">
        <v>36</v>
      </c>
      <c r="G157" s="1">
        <v>44946</v>
      </c>
      <c r="H157" t="s">
        <v>442</v>
      </c>
      <c r="I157" t="s">
        <v>257</v>
      </c>
      <c r="J157">
        <v>-6186371596</v>
      </c>
      <c r="K157" t="s">
        <v>19</v>
      </c>
      <c r="L157" t="b">
        <v>0</v>
      </c>
    </row>
    <row r="158" spans="1:12" x14ac:dyDescent="0.3">
      <c r="A158" t="s">
        <v>443</v>
      </c>
      <c r="B158" t="s">
        <v>27</v>
      </c>
      <c r="C158" t="s">
        <v>14</v>
      </c>
      <c r="D158">
        <v>40</v>
      </c>
      <c r="E158" t="s">
        <v>76</v>
      </c>
      <c r="F158" t="s">
        <v>16</v>
      </c>
      <c r="G158" s="1">
        <v>45567</v>
      </c>
      <c r="H158" t="s">
        <v>444</v>
      </c>
      <c r="I158" t="s">
        <v>191</v>
      </c>
      <c r="J158">
        <v>-4121820969</v>
      </c>
      <c r="K158" t="s">
        <v>19</v>
      </c>
      <c r="L158" t="b">
        <v>1</v>
      </c>
    </row>
    <row r="159" spans="1:12" x14ac:dyDescent="0.3">
      <c r="A159" t="s">
        <v>445</v>
      </c>
      <c r="B159" t="s">
        <v>67</v>
      </c>
      <c r="C159" t="s">
        <v>62</v>
      </c>
      <c r="E159" t="s">
        <v>187</v>
      </c>
      <c r="F159" t="s">
        <v>36</v>
      </c>
      <c r="G159" s="1">
        <v>44329</v>
      </c>
      <c r="H159" t="s">
        <v>446</v>
      </c>
      <c r="I159" t="s">
        <v>257</v>
      </c>
      <c r="J159">
        <v>-2316433480</v>
      </c>
      <c r="K159" t="s">
        <v>45</v>
      </c>
      <c r="L159" t="b">
        <v>0</v>
      </c>
    </row>
    <row r="160" spans="1:12" x14ac:dyDescent="0.3">
      <c r="A160" t="s">
        <v>447</v>
      </c>
      <c r="B160" t="s">
        <v>67</v>
      </c>
      <c r="C160" t="s">
        <v>142</v>
      </c>
      <c r="D160">
        <v>25</v>
      </c>
      <c r="E160" t="s">
        <v>126</v>
      </c>
      <c r="F160" t="s">
        <v>30</v>
      </c>
      <c r="G160" s="1">
        <v>44273</v>
      </c>
      <c r="H160" t="s">
        <v>448</v>
      </c>
      <c r="I160" t="s">
        <v>402</v>
      </c>
      <c r="J160">
        <v>-7058025661</v>
      </c>
      <c r="K160" t="s">
        <v>19</v>
      </c>
      <c r="L160" t="b">
        <v>0</v>
      </c>
    </row>
    <row r="161" spans="1:12" x14ac:dyDescent="0.3">
      <c r="A161" t="s">
        <v>449</v>
      </c>
      <c r="B161" t="s">
        <v>61</v>
      </c>
      <c r="C161" t="s">
        <v>21</v>
      </c>
      <c r="E161" t="s">
        <v>312</v>
      </c>
      <c r="F161" t="s">
        <v>16</v>
      </c>
      <c r="G161" s="1">
        <v>44097</v>
      </c>
      <c r="H161" t="s">
        <v>450</v>
      </c>
      <c r="I161" t="s">
        <v>147</v>
      </c>
      <c r="J161">
        <v>-1286716322</v>
      </c>
      <c r="K161" t="s">
        <v>19</v>
      </c>
      <c r="L161" t="b">
        <v>1</v>
      </c>
    </row>
    <row r="162" spans="1:12" x14ac:dyDescent="0.3">
      <c r="A162" t="s">
        <v>451</v>
      </c>
      <c r="B162" t="s">
        <v>13</v>
      </c>
      <c r="C162" t="s">
        <v>14</v>
      </c>
      <c r="D162">
        <v>25</v>
      </c>
      <c r="E162" t="s">
        <v>120</v>
      </c>
      <c r="F162" t="s">
        <v>36</v>
      </c>
      <c r="G162" s="1">
        <v>45448</v>
      </c>
      <c r="H162" t="s">
        <v>452</v>
      </c>
      <c r="I162" t="s">
        <v>18</v>
      </c>
      <c r="J162">
        <v>-4672994937</v>
      </c>
      <c r="K162" t="s">
        <v>33</v>
      </c>
      <c r="L162" t="b">
        <v>1</v>
      </c>
    </row>
    <row r="163" spans="1:12" x14ac:dyDescent="0.3">
      <c r="A163" t="s">
        <v>453</v>
      </c>
      <c r="B163" t="s">
        <v>27</v>
      </c>
      <c r="C163" t="s">
        <v>142</v>
      </c>
      <c r="D163">
        <v>30</v>
      </c>
      <c r="E163" t="s">
        <v>165</v>
      </c>
      <c r="F163" t="s">
        <v>16</v>
      </c>
      <c r="G163" s="1">
        <v>45350</v>
      </c>
      <c r="H163" t="s">
        <v>454</v>
      </c>
      <c r="I163" t="s">
        <v>217</v>
      </c>
      <c r="J163">
        <v>-7430271692</v>
      </c>
      <c r="K163" t="s">
        <v>45</v>
      </c>
      <c r="L163" t="b">
        <v>0</v>
      </c>
    </row>
    <row r="164" spans="1:12" x14ac:dyDescent="0.3">
      <c r="A164" t="s">
        <v>455</v>
      </c>
      <c r="B164" t="s">
        <v>13</v>
      </c>
      <c r="C164" t="s">
        <v>47</v>
      </c>
      <c r="D164">
        <v>40</v>
      </c>
      <c r="E164" t="s">
        <v>81</v>
      </c>
      <c r="F164" t="s">
        <v>30</v>
      </c>
      <c r="G164" s="1">
        <v>45046</v>
      </c>
      <c r="H164" t="s">
        <v>456</v>
      </c>
      <c r="I164" t="s">
        <v>180</v>
      </c>
      <c r="J164">
        <v>-8597779013</v>
      </c>
      <c r="K164" t="s">
        <v>45</v>
      </c>
      <c r="L164" t="b">
        <v>1</v>
      </c>
    </row>
    <row r="165" spans="1:12" x14ac:dyDescent="0.3">
      <c r="A165" t="s">
        <v>457</v>
      </c>
      <c r="B165" t="s">
        <v>27</v>
      </c>
      <c r="C165" t="s">
        <v>21</v>
      </c>
      <c r="E165" t="s">
        <v>251</v>
      </c>
      <c r="F165" t="s">
        <v>30</v>
      </c>
      <c r="G165" s="1">
        <v>43894</v>
      </c>
      <c r="H165" t="s">
        <v>458</v>
      </c>
      <c r="I165" t="s">
        <v>93</v>
      </c>
      <c r="J165">
        <v>-7546926328</v>
      </c>
      <c r="K165" t="s">
        <v>45</v>
      </c>
      <c r="L165" t="b">
        <v>1</v>
      </c>
    </row>
    <row r="166" spans="1:12" x14ac:dyDescent="0.3">
      <c r="A166" t="s">
        <v>459</v>
      </c>
      <c r="B166" t="s">
        <v>80</v>
      </c>
      <c r="C166" t="s">
        <v>62</v>
      </c>
      <c r="D166">
        <v>40</v>
      </c>
      <c r="E166" t="s">
        <v>278</v>
      </c>
      <c r="F166" t="s">
        <v>36</v>
      </c>
      <c r="G166" s="1">
        <v>45289</v>
      </c>
      <c r="H166" t="s">
        <v>460</v>
      </c>
      <c r="I166" t="s">
        <v>150</v>
      </c>
      <c r="J166">
        <v>-6762916031</v>
      </c>
      <c r="K166" t="s">
        <v>45</v>
      </c>
      <c r="L166" t="b">
        <v>1</v>
      </c>
    </row>
    <row r="167" spans="1:12" x14ac:dyDescent="0.3">
      <c r="A167" t="s">
        <v>461</v>
      </c>
      <c r="B167" t="s">
        <v>13</v>
      </c>
      <c r="C167" t="s">
        <v>142</v>
      </c>
      <c r="D167">
        <v>35</v>
      </c>
      <c r="E167" t="s">
        <v>126</v>
      </c>
      <c r="F167" t="s">
        <v>16</v>
      </c>
      <c r="G167" s="1">
        <v>44089</v>
      </c>
      <c r="H167" t="s">
        <v>462</v>
      </c>
      <c r="I167" t="s">
        <v>144</v>
      </c>
      <c r="J167">
        <v>-4841376814</v>
      </c>
      <c r="K167" t="s">
        <v>45</v>
      </c>
      <c r="L167" t="b">
        <v>1</v>
      </c>
    </row>
    <row r="168" spans="1:12" x14ac:dyDescent="0.3">
      <c r="A168" t="s">
        <v>463</v>
      </c>
      <c r="B168" t="s">
        <v>40</v>
      </c>
      <c r="C168" t="s">
        <v>47</v>
      </c>
      <c r="D168">
        <v>40</v>
      </c>
      <c r="E168" t="s">
        <v>113</v>
      </c>
      <c r="F168" t="s">
        <v>36</v>
      </c>
      <c r="G168" s="1">
        <v>44760</v>
      </c>
      <c r="H168" t="s">
        <v>464</v>
      </c>
      <c r="I168" t="s">
        <v>214</v>
      </c>
      <c r="J168">
        <v>-1185672437</v>
      </c>
      <c r="K168" t="s">
        <v>45</v>
      </c>
      <c r="L168" t="b">
        <v>1</v>
      </c>
    </row>
    <row r="169" spans="1:12" x14ac:dyDescent="0.3">
      <c r="A169" t="s">
        <v>465</v>
      </c>
      <c r="B169" t="s">
        <v>13</v>
      </c>
      <c r="C169" t="s">
        <v>14</v>
      </c>
      <c r="E169" t="s">
        <v>63</v>
      </c>
      <c r="F169" t="s">
        <v>36</v>
      </c>
      <c r="G169" s="1">
        <v>44755</v>
      </c>
      <c r="H169" t="s">
        <v>466</v>
      </c>
      <c r="I169" t="s">
        <v>18</v>
      </c>
      <c r="J169">
        <v>-701765635</v>
      </c>
      <c r="K169" t="s">
        <v>25</v>
      </c>
      <c r="L169" t="b">
        <v>0</v>
      </c>
    </row>
    <row r="170" spans="1:12" x14ac:dyDescent="0.3">
      <c r="A170" t="s">
        <v>467</v>
      </c>
      <c r="B170" t="s">
        <v>75</v>
      </c>
      <c r="C170" t="s">
        <v>14</v>
      </c>
      <c r="D170">
        <v>40</v>
      </c>
      <c r="E170" t="s">
        <v>116</v>
      </c>
      <c r="F170" t="s">
        <v>16</v>
      </c>
      <c r="G170" s="1">
        <v>44471</v>
      </c>
      <c r="H170" t="s">
        <v>468</v>
      </c>
      <c r="I170" t="s">
        <v>469</v>
      </c>
      <c r="J170">
        <v>-41257770</v>
      </c>
      <c r="K170" t="s">
        <v>19</v>
      </c>
      <c r="L170" t="b">
        <v>0</v>
      </c>
    </row>
    <row r="171" spans="1:12" x14ac:dyDescent="0.3">
      <c r="A171" t="s">
        <v>470</v>
      </c>
      <c r="B171" t="s">
        <v>40</v>
      </c>
      <c r="C171" t="s">
        <v>106</v>
      </c>
      <c r="D171">
        <v>30</v>
      </c>
      <c r="E171" t="s">
        <v>270</v>
      </c>
      <c r="F171" t="s">
        <v>16</v>
      </c>
      <c r="G171" s="1">
        <v>44017</v>
      </c>
      <c r="H171" t="s">
        <v>471</v>
      </c>
      <c r="I171" t="s">
        <v>128</v>
      </c>
      <c r="J171">
        <v>-1837274219</v>
      </c>
      <c r="K171" t="s">
        <v>45</v>
      </c>
      <c r="L171" t="b">
        <v>1</v>
      </c>
    </row>
    <row r="172" spans="1:12" x14ac:dyDescent="0.3">
      <c r="A172" t="s">
        <v>472</v>
      </c>
      <c r="B172" t="s">
        <v>13</v>
      </c>
      <c r="C172" t="s">
        <v>47</v>
      </c>
      <c r="D172">
        <v>35</v>
      </c>
      <c r="E172" t="s">
        <v>102</v>
      </c>
      <c r="F172" t="s">
        <v>16</v>
      </c>
      <c r="G172" s="1">
        <v>45032</v>
      </c>
      <c r="H172" t="s">
        <v>473</v>
      </c>
      <c r="I172" t="s">
        <v>180</v>
      </c>
      <c r="J172">
        <v>-9124186209</v>
      </c>
      <c r="K172" t="s">
        <v>19</v>
      </c>
      <c r="L172" t="b">
        <v>1</v>
      </c>
    </row>
    <row r="173" spans="1:12" x14ac:dyDescent="0.3">
      <c r="A173" t="s">
        <v>474</v>
      </c>
      <c r="B173" t="s">
        <v>13</v>
      </c>
      <c r="C173" t="s">
        <v>28</v>
      </c>
      <c r="D173">
        <v>40</v>
      </c>
      <c r="E173" t="s">
        <v>175</v>
      </c>
      <c r="F173" t="s">
        <v>36</v>
      </c>
      <c r="G173" s="1">
        <v>45608</v>
      </c>
      <c r="H173" t="s">
        <v>475</v>
      </c>
      <c r="I173" t="s">
        <v>56</v>
      </c>
      <c r="J173">
        <v>-4275230836</v>
      </c>
      <c r="K173" t="s">
        <v>19</v>
      </c>
      <c r="L173" t="b">
        <v>1</v>
      </c>
    </row>
    <row r="174" spans="1:12" x14ac:dyDescent="0.3">
      <c r="A174" t="s">
        <v>476</v>
      </c>
      <c r="B174" t="s">
        <v>35</v>
      </c>
      <c r="C174" t="s">
        <v>41</v>
      </c>
      <c r="E174" t="s">
        <v>172</v>
      </c>
      <c r="F174" t="s">
        <v>16</v>
      </c>
      <c r="G174" s="1">
        <v>45014</v>
      </c>
      <c r="H174" t="s">
        <v>477</v>
      </c>
      <c r="I174" t="s">
        <v>167</v>
      </c>
      <c r="J174">
        <v>-816470899</v>
      </c>
      <c r="K174" t="s">
        <v>25</v>
      </c>
      <c r="L174" t="b">
        <v>0</v>
      </c>
    </row>
    <row r="175" spans="1:12" x14ac:dyDescent="0.3">
      <c r="A175" t="s">
        <v>478</v>
      </c>
      <c r="B175" t="s">
        <v>75</v>
      </c>
      <c r="C175" t="s">
        <v>21</v>
      </c>
      <c r="D175">
        <v>30</v>
      </c>
      <c r="E175" t="s">
        <v>312</v>
      </c>
      <c r="F175" t="s">
        <v>30</v>
      </c>
      <c r="G175" s="1">
        <v>44583</v>
      </c>
      <c r="H175" t="s">
        <v>479</v>
      </c>
      <c r="I175" t="s">
        <v>480</v>
      </c>
      <c r="J175">
        <v>-6335331059</v>
      </c>
      <c r="K175" t="s">
        <v>45</v>
      </c>
      <c r="L175" t="b">
        <v>1</v>
      </c>
    </row>
    <row r="176" spans="1:12" x14ac:dyDescent="0.3">
      <c r="A176" t="s">
        <v>481</v>
      </c>
      <c r="B176" t="s">
        <v>67</v>
      </c>
      <c r="C176" t="s">
        <v>47</v>
      </c>
      <c r="D176">
        <v>40</v>
      </c>
      <c r="E176" t="s">
        <v>113</v>
      </c>
      <c r="F176" t="s">
        <v>30</v>
      </c>
      <c r="G176" s="1">
        <v>45213</v>
      </c>
      <c r="H176" t="s">
        <v>482</v>
      </c>
      <c r="I176" t="s">
        <v>118</v>
      </c>
      <c r="J176">
        <v>-531312205</v>
      </c>
      <c r="K176" t="s">
        <v>33</v>
      </c>
      <c r="L176" t="b">
        <v>0</v>
      </c>
    </row>
    <row r="177" spans="1:12" x14ac:dyDescent="0.3">
      <c r="A177" t="s">
        <v>483</v>
      </c>
      <c r="B177" t="s">
        <v>35</v>
      </c>
      <c r="C177" t="s">
        <v>106</v>
      </c>
      <c r="D177">
        <v>25</v>
      </c>
      <c r="E177" t="s">
        <v>138</v>
      </c>
      <c r="F177" t="s">
        <v>30</v>
      </c>
      <c r="G177" s="1">
        <v>45392</v>
      </c>
      <c r="H177" t="s">
        <v>484</v>
      </c>
      <c r="I177" t="s">
        <v>307</v>
      </c>
      <c r="J177">
        <v>-8155839385</v>
      </c>
      <c r="K177" t="s">
        <v>25</v>
      </c>
      <c r="L177" t="b">
        <v>0</v>
      </c>
    </row>
    <row r="178" spans="1:12" x14ac:dyDescent="0.3">
      <c r="A178" t="s">
        <v>485</v>
      </c>
      <c r="B178" t="s">
        <v>27</v>
      </c>
      <c r="C178" t="s">
        <v>41</v>
      </c>
      <c r="D178">
        <v>30</v>
      </c>
      <c r="E178" t="s">
        <v>102</v>
      </c>
      <c r="F178" t="s">
        <v>30</v>
      </c>
      <c r="G178" s="1">
        <v>44651</v>
      </c>
      <c r="H178" t="s">
        <v>486</v>
      </c>
      <c r="I178" t="s">
        <v>431</v>
      </c>
      <c r="J178">
        <v>-6133155205</v>
      </c>
      <c r="K178" t="s">
        <v>33</v>
      </c>
      <c r="L178" t="b">
        <v>0</v>
      </c>
    </row>
    <row r="179" spans="1:12" x14ac:dyDescent="0.3">
      <c r="A179" t="s">
        <v>487</v>
      </c>
      <c r="B179" t="s">
        <v>27</v>
      </c>
      <c r="C179" t="s">
        <v>41</v>
      </c>
      <c r="D179">
        <v>25</v>
      </c>
      <c r="E179" t="s">
        <v>91</v>
      </c>
      <c r="F179" t="s">
        <v>16</v>
      </c>
      <c r="G179" s="1">
        <v>44601</v>
      </c>
      <c r="H179" t="s">
        <v>488</v>
      </c>
      <c r="I179" t="s">
        <v>431</v>
      </c>
      <c r="J179">
        <v>-5063731494</v>
      </c>
      <c r="K179" t="s">
        <v>19</v>
      </c>
      <c r="L179" t="b">
        <v>1</v>
      </c>
    </row>
    <row r="180" spans="1:12" x14ac:dyDescent="0.3">
      <c r="A180" t="s">
        <v>489</v>
      </c>
      <c r="B180" t="s">
        <v>40</v>
      </c>
      <c r="C180" t="s">
        <v>142</v>
      </c>
      <c r="D180">
        <v>35</v>
      </c>
      <c r="E180" t="s">
        <v>15</v>
      </c>
      <c r="F180" t="s">
        <v>30</v>
      </c>
      <c r="G180" s="1">
        <v>45052</v>
      </c>
      <c r="H180" t="s">
        <v>490</v>
      </c>
      <c r="I180" t="s">
        <v>163</v>
      </c>
      <c r="J180">
        <v>-136497188</v>
      </c>
      <c r="K180" t="s">
        <v>19</v>
      </c>
      <c r="L180" t="b">
        <v>0</v>
      </c>
    </row>
    <row r="181" spans="1:12" x14ac:dyDescent="0.3">
      <c r="A181" t="s">
        <v>491</v>
      </c>
      <c r="B181" t="s">
        <v>61</v>
      </c>
      <c r="C181" t="s">
        <v>41</v>
      </c>
      <c r="E181" t="s">
        <v>98</v>
      </c>
      <c r="F181" t="s">
        <v>16</v>
      </c>
      <c r="G181" s="1">
        <v>44388</v>
      </c>
      <c r="H181" t="s">
        <v>492</v>
      </c>
      <c r="I181" t="s">
        <v>104</v>
      </c>
      <c r="J181">
        <v>-2419562524</v>
      </c>
      <c r="K181" t="s">
        <v>25</v>
      </c>
      <c r="L181" t="b">
        <v>1</v>
      </c>
    </row>
    <row r="182" spans="1:12" x14ac:dyDescent="0.3">
      <c r="A182" t="s">
        <v>493</v>
      </c>
      <c r="B182" t="s">
        <v>75</v>
      </c>
      <c r="C182" t="s">
        <v>28</v>
      </c>
      <c r="D182">
        <v>40</v>
      </c>
      <c r="E182" t="s">
        <v>76</v>
      </c>
      <c r="F182" t="s">
        <v>30</v>
      </c>
      <c r="G182" s="1">
        <v>44064</v>
      </c>
      <c r="H182" t="s">
        <v>494</v>
      </c>
      <c r="I182" t="s">
        <v>375</v>
      </c>
      <c r="J182">
        <v>-7150997682</v>
      </c>
      <c r="K182" t="s">
        <v>25</v>
      </c>
      <c r="L182" t="b">
        <v>0</v>
      </c>
    </row>
    <row r="183" spans="1:12" x14ac:dyDescent="0.3">
      <c r="A183" t="s">
        <v>495</v>
      </c>
      <c r="B183" t="s">
        <v>75</v>
      </c>
      <c r="C183" t="s">
        <v>14</v>
      </c>
      <c r="E183" t="s">
        <v>15</v>
      </c>
      <c r="F183" t="s">
        <v>16</v>
      </c>
      <c r="G183" s="1">
        <v>44282</v>
      </c>
      <c r="H183" t="s">
        <v>496</v>
      </c>
      <c r="I183" t="s">
        <v>469</v>
      </c>
      <c r="J183">
        <v>-8903091435</v>
      </c>
      <c r="K183" t="s">
        <v>33</v>
      </c>
      <c r="L183" t="b">
        <v>1</v>
      </c>
    </row>
    <row r="184" spans="1:12" x14ac:dyDescent="0.3">
      <c r="A184" t="s">
        <v>497</v>
      </c>
      <c r="B184" t="s">
        <v>27</v>
      </c>
      <c r="C184" t="s">
        <v>106</v>
      </c>
      <c r="D184">
        <v>30</v>
      </c>
      <c r="E184" t="s">
        <v>76</v>
      </c>
      <c r="F184" t="s">
        <v>16</v>
      </c>
      <c r="G184" s="1">
        <v>45396</v>
      </c>
      <c r="H184" t="s">
        <v>498</v>
      </c>
      <c r="I184" t="s">
        <v>194</v>
      </c>
      <c r="J184">
        <v>-3910257431</v>
      </c>
      <c r="K184" t="s">
        <v>45</v>
      </c>
      <c r="L184" t="b">
        <v>0</v>
      </c>
    </row>
    <row r="185" spans="1:12" x14ac:dyDescent="0.3">
      <c r="A185" t="s">
        <v>499</v>
      </c>
      <c r="B185" t="s">
        <v>27</v>
      </c>
      <c r="C185" t="s">
        <v>41</v>
      </c>
      <c r="D185">
        <v>40</v>
      </c>
      <c r="E185" t="s">
        <v>270</v>
      </c>
      <c r="F185" t="s">
        <v>16</v>
      </c>
      <c r="G185" s="1">
        <v>44095</v>
      </c>
      <c r="H185" t="s">
        <v>500</v>
      </c>
      <c r="I185" t="s">
        <v>431</v>
      </c>
      <c r="J185">
        <v>-6303975244</v>
      </c>
      <c r="K185" t="s">
        <v>33</v>
      </c>
      <c r="L185" t="b">
        <v>1</v>
      </c>
    </row>
    <row r="186" spans="1:12" x14ac:dyDescent="0.3">
      <c r="A186" t="s">
        <v>501</v>
      </c>
      <c r="B186" t="s">
        <v>40</v>
      </c>
      <c r="C186" t="s">
        <v>142</v>
      </c>
      <c r="D186">
        <v>25</v>
      </c>
      <c r="E186" t="s">
        <v>116</v>
      </c>
      <c r="F186" t="s">
        <v>16</v>
      </c>
      <c r="G186" s="1">
        <v>44724</v>
      </c>
      <c r="H186" t="s">
        <v>502</v>
      </c>
      <c r="I186" t="s">
        <v>163</v>
      </c>
      <c r="J186">
        <v>-864035532</v>
      </c>
      <c r="K186" t="s">
        <v>25</v>
      </c>
      <c r="L186" t="b">
        <v>0</v>
      </c>
    </row>
    <row r="187" spans="1:12" x14ac:dyDescent="0.3">
      <c r="A187" t="s">
        <v>503</v>
      </c>
      <c r="B187" t="s">
        <v>40</v>
      </c>
      <c r="C187" t="s">
        <v>28</v>
      </c>
      <c r="E187" t="s">
        <v>309</v>
      </c>
      <c r="F187" t="s">
        <v>36</v>
      </c>
      <c r="G187" s="1">
        <v>45284</v>
      </c>
      <c r="H187" t="s">
        <v>504</v>
      </c>
      <c r="I187" t="s">
        <v>53</v>
      </c>
      <c r="J187">
        <v>-8033968526</v>
      </c>
      <c r="K187" t="s">
        <v>33</v>
      </c>
      <c r="L187" t="b">
        <v>1</v>
      </c>
    </row>
    <row r="188" spans="1:12" x14ac:dyDescent="0.3">
      <c r="A188" t="s">
        <v>505</v>
      </c>
      <c r="B188" t="s">
        <v>80</v>
      </c>
      <c r="C188" t="s">
        <v>62</v>
      </c>
      <c r="D188">
        <v>25</v>
      </c>
      <c r="E188" t="s">
        <v>76</v>
      </c>
      <c r="F188" t="s">
        <v>30</v>
      </c>
      <c r="G188" s="1">
        <v>44773</v>
      </c>
      <c r="H188" t="s">
        <v>506</v>
      </c>
      <c r="I188" t="s">
        <v>150</v>
      </c>
      <c r="J188">
        <v>-171302320</v>
      </c>
      <c r="K188" t="s">
        <v>25</v>
      </c>
      <c r="L188" t="b">
        <v>1</v>
      </c>
    </row>
    <row r="189" spans="1:12" x14ac:dyDescent="0.3">
      <c r="A189" t="s">
        <v>507</v>
      </c>
      <c r="B189" t="s">
        <v>13</v>
      </c>
      <c r="C189" t="s">
        <v>14</v>
      </c>
      <c r="D189">
        <v>40</v>
      </c>
      <c r="E189" t="s">
        <v>68</v>
      </c>
      <c r="F189" t="s">
        <v>36</v>
      </c>
      <c r="G189" s="1">
        <v>45037</v>
      </c>
      <c r="H189" t="s">
        <v>508</v>
      </c>
      <c r="I189" t="s">
        <v>18</v>
      </c>
      <c r="J189">
        <v>-2983381673</v>
      </c>
      <c r="K189" t="s">
        <v>33</v>
      </c>
      <c r="L189" t="b">
        <v>1</v>
      </c>
    </row>
    <row r="190" spans="1:12" x14ac:dyDescent="0.3">
      <c r="A190" t="s">
        <v>509</v>
      </c>
      <c r="B190" t="s">
        <v>35</v>
      </c>
      <c r="C190" t="s">
        <v>14</v>
      </c>
      <c r="D190">
        <v>35</v>
      </c>
      <c r="E190" t="s">
        <v>138</v>
      </c>
      <c r="F190" t="s">
        <v>16</v>
      </c>
      <c r="G190" s="1">
        <v>43987</v>
      </c>
      <c r="H190" t="s">
        <v>510</v>
      </c>
      <c r="I190" t="s">
        <v>38</v>
      </c>
      <c r="J190">
        <v>-2336293448</v>
      </c>
      <c r="K190" t="s">
        <v>25</v>
      </c>
      <c r="L190" t="b">
        <v>1</v>
      </c>
    </row>
    <row r="191" spans="1:12" x14ac:dyDescent="0.3">
      <c r="A191" t="s">
        <v>511</v>
      </c>
      <c r="B191" t="s">
        <v>67</v>
      </c>
      <c r="C191" t="s">
        <v>106</v>
      </c>
      <c r="D191">
        <v>35</v>
      </c>
      <c r="E191" t="s">
        <v>175</v>
      </c>
      <c r="F191" t="s">
        <v>30</v>
      </c>
      <c r="G191" s="1">
        <v>45500</v>
      </c>
      <c r="H191" t="s">
        <v>512</v>
      </c>
      <c r="I191" t="s">
        <v>124</v>
      </c>
      <c r="J191">
        <v>-7347156626</v>
      </c>
      <c r="K191" t="s">
        <v>25</v>
      </c>
      <c r="L191" t="b">
        <v>0</v>
      </c>
    </row>
    <row r="192" spans="1:12" x14ac:dyDescent="0.3">
      <c r="A192" t="s">
        <v>513</v>
      </c>
      <c r="B192" t="s">
        <v>35</v>
      </c>
      <c r="C192" t="s">
        <v>14</v>
      </c>
      <c r="D192">
        <v>30</v>
      </c>
      <c r="E192" t="s">
        <v>102</v>
      </c>
      <c r="F192" t="s">
        <v>16</v>
      </c>
      <c r="G192" s="1">
        <v>45387</v>
      </c>
      <c r="H192" t="s">
        <v>514</v>
      </c>
      <c r="I192" t="s">
        <v>38</v>
      </c>
      <c r="J192">
        <v>-7689627065</v>
      </c>
      <c r="K192" t="s">
        <v>25</v>
      </c>
      <c r="L192" t="b">
        <v>0</v>
      </c>
    </row>
    <row r="193" spans="1:12" x14ac:dyDescent="0.3">
      <c r="A193" t="s">
        <v>515</v>
      </c>
      <c r="B193" t="s">
        <v>75</v>
      </c>
      <c r="C193" t="s">
        <v>41</v>
      </c>
      <c r="D193">
        <v>40</v>
      </c>
      <c r="E193" t="s">
        <v>113</v>
      </c>
      <c r="F193" t="s">
        <v>36</v>
      </c>
      <c r="G193" s="1">
        <v>45225</v>
      </c>
      <c r="H193" t="s">
        <v>516</v>
      </c>
      <c r="I193" t="s">
        <v>78</v>
      </c>
      <c r="J193">
        <v>-1498282466</v>
      </c>
      <c r="K193" t="s">
        <v>45</v>
      </c>
      <c r="L193" t="b">
        <v>1</v>
      </c>
    </row>
    <row r="194" spans="1:12" x14ac:dyDescent="0.3">
      <c r="A194" t="s">
        <v>517</v>
      </c>
      <c r="B194" t="s">
        <v>40</v>
      </c>
      <c r="C194" t="s">
        <v>142</v>
      </c>
      <c r="D194">
        <v>35</v>
      </c>
      <c r="E194" t="s">
        <v>244</v>
      </c>
      <c r="F194" t="s">
        <v>16</v>
      </c>
      <c r="G194" s="1">
        <v>44791</v>
      </c>
      <c r="H194" t="s">
        <v>518</v>
      </c>
      <c r="I194" t="s">
        <v>163</v>
      </c>
      <c r="J194">
        <v>-4746897151</v>
      </c>
      <c r="K194" t="s">
        <v>33</v>
      </c>
      <c r="L194" t="b">
        <v>0</v>
      </c>
    </row>
    <row r="195" spans="1:12" x14ac:dyDescent="0.3">
      <c r="A195" t="s">
        <v>519</v>
      </c>
      <c r="B195" t="s">
        <v>35</v>
      </c>
      <c r="C195" t="s">
        <v>14</v>
      </c>
      <c r="E195" t="s">
        <v>312</v>
      </c>
      <c r="F195" t="s">
        <v>30</v>
      </c>
      <c r="G195" s="1">
        <v>43982</v>
      </c>
      <c r="H195" t="s">
        <v>520</v>
      </c>
      <c r="I195" t="s">
        <v>38</v>
      </c>
      <c r="J195">
        <v>-7323008575</v>
      </c>
      <c r="K195" t="s">
        <v>33</v>
      </c>
      <c r="L195" t="b">
        <v>1</v>
      </c>
    </row>
    <row r="196" spans="1:12" x14ac:dyDescent="0.3">
      <c r="A196" t="s">
        <v>521</v>
      </c>
      <c r="B196" t="s">
        <v>27</v>
      </c>
      <c r="C196" t="s">
        <v>14</v>
      </c>
      <c r="D196">
        <v>35</v>
      </c>
      <c r="E196" t="s">
        <v>165</v>
      </c>
      <c r="F196" t="s">
        <v>30</v>
      </c>
      <c r="G196" s="1">
        <v>45600</v>
      </c>
      <c r="H196" t="s">
        <v>522</v>
      </c>
      <c r="I196" t="s">
        <v>191</v>
      </c>
      <c r="J196">
        <v>-6656749159</v>
      </c>
      <c r="K196" t="s">
        <v>33</v>
      </c>
      <c r="L196" t="b">
        <v>1</v>
      </c>
    </row>
    <row r="197" spans="1:12" x14ac:dyDescent="0.3">
      <c r="A197" t="s">
        <v>523</v>
      </c>
      <c r="B197" t="s">
        <v>80</v>
      </c>
      <c r="C197" t="s">
        <v>62</v>
      </c>
      <c r="D197">
        <v>40</v>
      </c>
      <c r="E197" t="s">
        <v>113</v>
      </c>
      <c r="F197" t="s">
        <v>30</v>
      </c>
      <c r="G197" s="1">
        <v>43915</v>
      </c>
      <c r="H197" t="s">
        <v>524</v>
      </c>
      <c r="I197" t="s">
        <v>150</v>
      </c>
      <c r="J197">
        <v>-1692364586</v>
      </c>
      <c r="K197" t="s">
        <v>25</v>
      </c>
      <c r="L197" t="b">
        <v>0</v>
      </c>
    </row>
    <row r="198" spans="1:12" x14ac:dyDescent="0.3">
      <c r="A198" t="s">
        <v>525</v>
      </c>
      <c r="B198" t="s">
        <v>67</v>
      </c>
      <c r="C198" t="s">
        <v>62</v>
      </c>
      <c r="D198">
        <v>35</v>
      </c>
      <c r="E198" t="s">
        <v>87</v>
      </c>
      <c r="F198" t="s">
        <v>30</v>
      </c>
      <c r="G198" s="1">
        <v>44139</v>
      </c>
      <c r="H198" t="s">
        <v>526</v>
      </c>
      <c r="I198" t="s">
        <v>257</v>
      </c>
      <c r="J198">
        <v>-5066337049</v>
      </c>
      <c r="K198" t="s">
        <v>33</v>
      </c>
      <c r="L198" t="b">
        <v>1</v>
      </c>
    </row>
    <row r="199" spans="1:12" x14ac:dyDescent="0.3">
      <c r="A199" t="s">
        <v>527</v>
      </c>
      <c r="B199" t="s">
        <v>40</v>
      </c>
      <c r="C199" t="s">
        <v>21</v>
      </c>
      <c r="D199">
        <v>25</v>
      </c>
      <c r="E199" t="s">
        <v>259</v>
      </c>
      <c r="F199" t="s">
        <v>16</v>
      </c>
      <c r="G199" s="1">
        <v>43911</v>
      </c>
      <c r="H199" t="s">
        <v>528</v>
      </c>
      <c r="I199" t="s">
        <v>280</v>
      </c>
      <c r="J199">
        <v>-2497243991</v>
      </c>
      <c r="K199" t="s">
        <v>33</v>
      </c>
      <c r="L199" t="b">
        <v>1</v>
      </c>
    </row>
    <row r="200" spans="1:12" x14ac:dyDescent="0.3">
      <c r="A200" t="s">
        <v>529</v>
      </c>
      <c r="B200" t="s">
        <v>75</v>
      </c>
      <c r="C200" t="s">
        <v>28</v>
      </c>
      <c r="E200" t="s">
        <v>113</v>
      </c>
      <c r="F200" t="s">
        <v>16</v>
      </c>
      <c r="G200" s="1">
        <v>44576</v>
      </c>
      <c r="H200" t="s">
        <v>530</v>
      </c>
      <c r="I200" t="s">
        <v>375</v>
      </c>
      <c r="J200">
        <v>-116691835</v>
      </c>
      <c r="K200" t="s">
        <v>25</v>
      </c>
      <c r="L200" t="b">
        <v>0</v>
      </c>
    </row>
    <row r="201" spans="1:12" x14ac:dyDescent="0.3">
      <c r="A201" t="s">
        <v>531</v>
      </c>
      <c r="B201" t="s">
        <v>80</v>
      </c>
      <c r="C201" t="s">
        <v>41</v>
      </c>
      <c r="D201">
        <v>35</v>
      </c>
      <c r="E201" t="s">
        <v>91</v>
      </c>
      <c r="F201" t="s">
        <v>16</v>
      </c>
      <c r="G201" s="1">
        <v>45447</v>
      </c>
      <c r="H201" t="s">
        <v>532</v>
      </c>
      <c r="I201" t="s">
        <v>83</v>
      </c>
      <c r="J201">
        <v>-2644886945</v>
      </c>
      <c r="K201" t="s">
        <v>19</v>
      </c>
      <c r="L201" t="b">
        <v>1</v>
      </c>
    </row>
    <row r="202" spans="1:12" x14ac:dyDescent="0.3">
      <c r="A202" t="s">
        <v>533</v>
      </c>
      <c r="B202" t="s">
        <v>40</v>
      </c>
      <c r="C202" t="s">
        <v>14</v>
      </c>
      <c r="D202">
        <v>25</v>
      </c>
      <c r="E202" t="s">
        <v>259</v>
      </c>
      <c r="F202" t="s">
        <v>36</v>
      </c>
      <c r="G202" s="1">
        <v>44412</v>
      </c>
      <c r="H202" t="s">
        <v>534</v>
      </c>
      <c r="I202" t="s">
        <v>59</v>
      </c>
      <c r="J202">
        <v>-1195243639</v>
      </c>
      <c r="K202" t="s">
        <v>25</v>
      </c>
      <c r="L202" t="b">
        <v>1</v>
      </c>
    </row>
    <row r="203" spans="1:12" x14ac:dyDescent="0.3">
      <c r="A203" t="s">
        <v>535</v>
      </c>
      <c r="B203" t="s">
        <v>61</v>
      </c>
      <c r="C203" t="s">
        <v>47</v>
      </c>
      <c r="D203">
        <v>35</v>
      </c>
      <c r="E203" t="s">
        <v>110</v>
      </c>
      <c r="F203" t="s">
        <v>30</v>
      </c>
      <c r="G203" s="1">
        <v>44120</v>
      </c>
      <c r="H203" t="s">
        <v>536</v>
      </c>
      <c r="I203" t="s">
        <v>100</v>
      </c>
      <c r="J203">
        <v>-2701168645</v>
      </c>
      <c r="K203" t="s">
        <v>33</v>
      </c>
      <c r="L203" t="b">
        <v>1</v>
      </c>
    </row>
    <row r="204" spans="1:12" x14ac:dyDescent="0.3">
      <c r="A204" t="s">
        <v>537</v>
      </c>
      <c r="B204" t="s">
        <v>80</v>
      </c>
      <c r="C204" t="s">
        <v>14</v>
      </c>
      <c r="D204">
        <v>30</v>
      </c>
      <c r="E204" t="s">
        <v>259</v>
      </c>
      <c r="F204" t="s">
        <v>16</v>
      </c>
      <c r="G204" s="1">
        <v>44465</v>
      </c>
      <c r="H204" t="s">
        <v>538</v>
      </c>
      <c r="I204" t="s">
        <v>276</v>
      </c>
      <c r="J204">
        <v>-2252237280</v>
      </c>
      <c r="K204" t="s">
        <v>25</v>
      </c>
      <c r="L204" t="b">
        <v>1</v>
      </c>
    </row>
    <row r="205" spans="1:12" x14ac:dyDescent="0.3">
      <c r="A205" t="s">
        <v>539</v>
      </c>
      <c r="B205" t="s">
        <v>40</v>
      </c>
      <c r="C205" t="s">
        <v>142</v>
      </c>
      <c r="D205">
        <v>30</v>
      </c>
      <c r="E205" t="s">
        <v>386</v>
      </c>
      <c r="F205" t="s">
        <v>30</v>
      </c>
      <c r="G205" s="1">
        <v>45234</v>
      </c>
      <c r="H205" t="s">
        <v>540</v>
      </c>
      <c r="I205" t="s">
        <v>163</v>
      </c>
      <c r="J205">
        <v>-7932302345</v>
      </c>
      <c r="K205" t="s">
        <v>19</v>
      </c>
      <c r="L205" t="b">
        <v>0</v>
      </c>
    </row>
    <row r="206" spans="1:12" x14ac:dyDescent="0.3">
      <c r="A206" t="s">
        <v>541</v>
      </c>
      <c r="B206" t="s">
        <v>80</v>
      </c>
      <c r="C206" t="s">
        <v>21</v>
      </c>
      <c r="E206" t="s">
        <v>165</v>
      </c>
      <c r="F206" t="s">
        <v>36</v>
      </c>
      <c r="G206" s="1">
        <v>44463</v>
      </c>
      <c r="H206" t="s">
        <v>542</v>
      </c>
      <c r="I206" t="s">
        <v>240</v>
      </c>
      <c r="J206">
        <v>-7912141613</v>
      </c>
      <c r="K206" t="s">
        <v>25</v>
      </c>
      <c r="L206" t="b">
        <v>0</v>
      </c>
    </row>
    <row r="207" spans="1:12" x14ac:dyDescent="0.3">
      <c r="A207" t="s">
        <v>543</v>
      </c>
      <c r="B207" t="s">
        <v>75</v>
      </c>
      <c r="C207" t="s">
        <v>28</v>
      </c>
      <c r="D207">
        <v>30</v>
      </c>
      <c r="E207" t="s">
        <v>233</v>
      </c>
      <c r="F207" t="s">
        <v>16</v>
      </c>
      <c r="G207" s="1">
        <v>43989</v>
      </c>
      <c r="H207" t="s">
        <v>544</v>
      </c>
      <c r="I207" t="s">
        <v>375</v>
      </c>
      <c r="J207">
        <v>-1509377099</v>
      </c>
      <c r="K207" t="s">
        <v>33</v>
      </c>
      <c r="L207" t="b">
        <v>0</v>
      </c>
    </row>
    <row r="208" spans="1:12" x14ac:dyDescent="0.3">
      <c r="A208" t="s">
        <v>545</v>
      </c>
      <c r="B208" t="s">
        <v>27</v>
      </c>
      <c r="C208" t="s">
        <v>47</v>
      </c>
      <c r="D208">
        <v>35</v>
      </c>
      <c r="E208" t="s">
        <v>126</v>
      </c>
      <c r="F208" t="s">
        <v>30</v>
      </c>
      <c r="G208" s="1">
        <v>44602</v>
      </c>
      <c r="H208" t="s">
        <v>546</v>
      </c>
      <c r="I208" t="s">
        <v>50</v>
      </c>
      <c r="J208">
        <v>-4090138068</v>
      </c>
      <c r="K208" t="s">
        <v>19</v>
      </c>
      <c r="L208" t="b">
        <v>1</v>
      </c>
    </row>
    <row r="209" spans="1:12" x14ac:dyDescent="0.3">
      <c r="A209" t="s">
        <v>547</v>
      </c>
      <c r="B209" t="s">
        <v>61</v>
      </c>
      <c r="C209" t="s">
        <v>21</v>
      </c>
      <c r="D209">
        <v>40</v>
      </c>
      <c r="E209" t="s">
        <v>42</v>
      </c>
      <c r="F209" t="s">
        <v>36</v>
      </c>
      <c r="G209" s="1">
        <v>45216</v>
      </c>
      <c r="H209" t="s">
        <v>548</v>
      </c>
      <c r="I209" t="s">
        <v>147</v>
      </c>
      <c r="J209">
        <v>-8477596554</v>
      </c>
      <c r="K209" t="s">
        <v>45</v>
      </c>
      <c r="L209" t="b">
        <v>1</v>
      </c>
    </row>
    <row r="210" spans="1:12" x14ac:dyDescent="0.3">
      <c r="A210" t="s">
        <v>549</v>
      </c>
      <c r="B210" t="s">
        <v>35</v>
      </c>
      <c r="C210" t="s">
        <v>106</v>
      </c>
      <c r="D210">
        <v>40</v>
      </c>
      <c r="E210" t="s">
        <v>102</v>
      </c>
      <c r="F210" t="s">
        <v>16</v>
      </c>
      <c r="G210" s="1">
        <v>44464</v>
      </c>
      <c r="H210" t="s">
        <v>550</v>
      </c>
      <c r="I210" t="s">
        <v>307</v>
      </c>
      <c r="J210">
        <v>-5356690550</v>
      </c>
      <c r="K210" t="s">
        <v>33</v>
      </c>
      <c r="L210" t="b">
        <v>0</v>
      </c>
    </row>
    <row r="211" spans="1:12" x14ac:dyDescent="0.3">
      <c r="A211" t="s">
        <v>551</v>
      </c>
      <c r="B211" t="s">
        <v>67</v>
      </c>
      <c r="C211" t="s">
        <v>28</v>
      </c>
      <c r="D211">
        <v>35</v>
      </c>
      <c r="E211" t="s">
        <v>91</v>
      </c>
      <c r="F211" t="s">
        <v>36</v>
      </c>
      <c r="G211" s="1">
        <v>44776</v>
      </c>
      <c r="H211" t="s">
        <v>552</v>
      </c>
      <c r="I211" t="s">
        <v>283</v>
      </c>
      <c r="J211">
        <v>-762091842</v>
      </c>
      <c r="K211" t="s">
        <v>19</v>
      </c>
      <c r="L211" t="b">
        <v>1</v>
      </c>
    </row>
    <row r="212" spans="1:12" x14ac:dyDescent="0.3">
      <c r="A212" t="s">
        <v>553</v>
      </c>
      <c r="B212" t="s">
        <v>80</v>
      </c>
      <c r="C212" t="s">
        <v>14</v>
      </c>
      <c r="D212">
        <v>30</v>
      </c>
      <c r="E212" t="s">
        <v>102</v>
      </c>
      <c r="F212" t="s">
        <v>16</v>
      </c>
      <c r="G212" s="1">
        <v>45618</v>
      </c>
      <c r="H212" t="s">
        <v>554</v>
      </c>
      <c r="I212" t="s">
        <v>276</v>
      </c>
      <c r="J212">
        <v>-5797863049</v>
      </c>
      <c r="K212" t="s">
        <v>19</v>
      </c>
      <c r="L212" t="b">
        <v>1</v>
      </c>
    </row>
    <row r="213" spans="1:12" x14ac:dyDescent="0.3">
      <c r="A213" t="s">
        <v>555</v>
      </c>
      <c r="B213" t="s">
        <v>40</v>
      </c>
      <c r="C213" t="s">
        <v>14</v>
      </c>
      <c r="E213" t="s">
        <v>98</v>
      </c>
      <c r="F213" t="s">
        <v>30</v>
      </c>
      <c r="G213" s="1">
        <v>45574</v>
      </c>
      <c r="H213" t="s">
        <v>556</v>
      </c>
      <c r="I213" t="s">
        <v>59</v>
      </c>
      <c r="J213">
        <v>-5057397690</v>
      </c>
      <c r="K213" t="s">
        <v>45</v>
      </c>
      <c r="L213" t="b">
        <v>1</v>
      </c>
    </row>
    <row r="214" spans="1:12" x14ac:dyDescent="0.3">
      <c r="A214" t="s">
        <v>557</v>
      </c>
      <c r="B214" t="s">
        <v>61</v>
      </c>
      <c r="C214" t="s">
        <v>28</v>
      </c>
      <c r="D214">
        <v>35</v>
      </c>
      <c r="E214" t="s">
        <v>309</v>
      </c>
      <c r="F214" t="s">
        <v>16</v>
      </c>
      <c r="G214" s="1">
        <v>45532</v>
      </c>
      <c r="H214" t="s">
        <v>558</v>
      </c>
      <c r="I214" t="s">
        <v>140</v>
      </c>
      <c r="J214">
        <v>-5671649327</v>
      </c>
      <c r="K214" t="s">
        <v>25</v>
      </c>
      <c r="L214" t="b">
        <v>1</v>
      </c>
    </row>
    <row r="215" spans="1:12" x14ac:dyDescent="0.3">
      <c r="A215" t="s">
        <v>559</v>
      </c>
      <c r="B215" t="s">
        <v>67</v>
      </c>
      <c r="C215" t="s">
        <v>14</v>
      </c>
      <c r="D215">
        <v>40</v>
      </c>
      <c r="E215" t="s">
        <v>165</v>
      </c>
      <c r="F215" t="s">
        <v>36</v>
      </c>
      <c r="G215" s="1">
        <v>43940</v>
      </c>
      <c r="H215" t="s">
        <v>560</v>
      </c>
      <c r="I215" t="s">
        <v>73</v>
      </c>
      <c r="J215">
        <v>-9802714871</v>
      </c>
      <c r="K215" t="s">
        <v>25</v>
      </c>
      <c r="L215" t="b">
        <v>0</v>
      </c>
    </row>
    <row r="216" spans="1:12" x14ac:dyDescent="0.3">
      <c r="A216" t="s">
        <v>561</v>
      </c>
      <c r="B216" t="s">
        <v>80</v>
      </c>
      <c r="C216" t="s">
        <v>41</v>
      </c>
      <c r="D216">
        <v>25</v>
      </c>
      <c r="E216" t="s">
        <v>76</v>
      </c>
      <c r="F216" t="s">
        <v>16</v>
      </c>
      <c r="G216" s="1">
        <v>44483</v>
      </c>
      <c r="H216" t="s">
        <v>562</v>
      </c>
      <c r="I216" t="s">
        <v>83</v>
      </c>
      <c r="J216">
        <v>-7178333210</v>
      </c>
      <c r="K216" t="s">
        <v>33</v>
      </c>
      <c r="L216" t="b">
        <v>0</v>
      </c>
    </row>
    <row r="217" spans="1:12" x14ac:dyDescent="0.3">
      <c r="A217" t="s">
        <v>563</v>
      </c>
      <c r="B217" t="s">
        <v>40</v>
      </c>
      <c r="C217" t="s">
        <v>28</v>
      </c>
      <c r="D217">
        <v>30</v>
      </c>
      <c r="E217" t="s">
        <v>120</v>
      </c>
      <c r="F217" t="s">
        <v>36</v>
      </c>
      <c r="G217" s="1">
        <v>45530</v>
      </c>
      <c r="H217" t="s">
        <v>564</v>
      </c>
      <c r="I217" t="s">
        <v>53</v>
      </c>
      <c r="J217">
        <v>-6025643470</v>
      </c>
      <c r="K217" t="s">
        <v>45</v>
      </c>
      <c r="L217" t="b">
        <v>0</v>
      </c>
    </row>
    <row r="218" spans="1:12" x14ac:dyDescent="0.3">
      <c r="A218" t="s">
        <v>565</v>
      </c>
      <c r="B218" t="s">
        <v>75</v>
      </c>
      <c r="C218" t="s">
        <v>21</v>
      </c>
      <c r="D218">
        <v>40</v>
      </c>
      <c r="E218" t="s">
        <v>48</v>
      </c>
      <c r="F218" t="s">
        <v>16</v>
      </c>
      <c r="G218" s="1">
        <v>43869</v>
      </c>
      <c r="H218" t="s">
        <v>566</v>
      </c>
      <c r="I218" t="s">
        <v>480</v>
      </c>
      <c r="J218">
        <v>-2871539914</v>
      </c>
      <c r="K218" t="s">
        <v>25</v>
      </c>
      <c r="L218" t="b">
        <v>1</v>
      </c>
    </row>
    <row r="219" spans="1:12" x14ac:dyDescent="0.3">
      <c r="A219" t="s">
        <v>567</v>
      </c>
      <c r="B219" t="s">
        <v>80</v>
      </c>
      <c r="C219" t="s">
        <v>28</v>
      </c>
      <c r="D219">
        <v>25</v>
      </c>
      <c r="E219" t="s">
        <v>76</v>
      </c>
      <c r="F219" t="s">
        <v>36</v>
      </c>
      <c r="G219" s="1">
        <v>44080</v>
      </c>
      <c r="H219" t="s">
        <v>568</v>
      </c>
      <c r="I219" t="s">
        <v>89</v>
      </c>
      <c r="J219">
        <v>-6686334140</v>
      </c>
      <c r="K219" t="s">
        <v>45</v>
      </c>
      <c r="L219" t="b">
        <v>0</v>
      </c>
    </row>
    <row r="220" spans="1:12" x14ac:dyDescent="0.3">
      <c r="A220" t="s">
        <v>569</v>
      </c>
      <c r="B220" t="s">
        <v>75</v>
      </c>
      <c r="C220" t="s">
        <v>47</v>
      </c>
      <c r="D220">
        <v>25</v>
      </c>
      <c r="E220" t="s">
        <v>42</v>
      </c>
      <c r="F220" t="s">
        <v>30</v>
      </c>
      <c r="G220" s="1">
        <v>44928</v>
      </c>
      <c r="H220" t="s">
        <v>570</v>
      </c>
      <c r="I220" t="s">
        <v>300</v>
      </c>
      <c r="J220">
        <v>-1159319524</v>
      </c>
      <c r="K220" t="s">
        <v>25</v>
      </c>
      <c r="L220" t="b">
        <v>0</v>
      </c>
    </row>
    <row r="221" spans="1:12" x14ac:dyDescent="0.3">
      <c r="A221" t="s">
        <v>571</v>
      </c>
      <c r="B221" t="s">
        <v>67</v>
      </c>
      <c r="C221" t="s">
        <v>14</v>
      </c>
      <c r="D221">
        <v>30</v>
      </c>
      <c r="E221" t="s">
        <v>251</v>
      </c>
      <c r="F221" t="s">
        <v>16</v>
      </c>
      <c r="G221" s="1">
        <v>45090</v>
      </c>
      <c r="H221" t="s">
        <v>572</v>
      </c>
      <c r="I221" t="s">
        <v>73</v>
      </c>
      <c r="J221">
        <v>-6904098365</v>
      </c>
      <c r="K221" t="s">
        <v>19</v>
      </c>
      <c r="L221" t="b">
        <v>1</v>
      </c>
    </row>
    <row r="222" spans="1:12" x14ac:dyDescent="0.3">
      <c r="A222" t="s">
        <v>573</v>
      </c>
      <c r="B222" t="s">
        <v>61</v>
      </c>
      <c r="C222" t="s">
        <v>41</v>
      </c>
      <c r="D222">
        <v>25</v>
      </c>
      <c r="E222" t="s">
        <v>210</v>
      </c>
      <c r="F222" t="s">
        <v>16</v>
      </c>
      <c r="G222" s="1">
        <v>44908</v>
      </c>
      <c r="H222" t="s">
        <v>574</v>
      </c>
      <c r="I222" t="s">
        <v>104</v>
      </c>
      <c r="J222">
        <v>-5528993159</v>
      </c>
      <c r="K222" t="s">
        <v>25</v>
      </c>
      <c r="L222" t="b">
        <v>1</v>
      </c>
    </row>
    <row r="223" spans="1:12" x14ac:dyDescent="0.3">
      <c r="A223" t="s">
        <v>575</v>
      </c>
      <c r="B223" t="s">
        <v>27</v>
      </c>
      <c r="C223" t="s">
        <v>41</v>
      </c>
      <c r="D223">
        <v>40</v>
      </c>
      <c r="E223" t="s">
        <v>22</v>
      </c>
      <c r="F223" t="s">
        <v>30</v>
      </c>
      <c r="G223" s="1">
        <v>44623</v>
      </c>
      <c r="H223" t="s">
        <v>576</v>
      </c>
      <c r="I223" t="s">
        <v>431</v>
      </c>
      <c r="J223">
        <v>-8752437728</v>
      </c>
      <c r="K223" t="s">
        <v>45</v>
      </c>
      <c r="L223" t="b">
        <v>0</v>
      </c>
    </row>
    <row r="224" spans="1:12" x14ac:dyDescent="0.3">
      <c r="A224" t="s">
        <v>577</v>
      </c>
      <c r="B224" t="s">
        <v>27</v>
      </c>
      <c r="C224" t="s">
        <v>106</v>
      </c>
      <c r="D224">
        <v>35</v>
      </c>
      <c r="E224" t="s">
        <v>312</v>
      </c>
      <c r="F224" t="s">
        <v>16</v>
      </c>
      <c r="G224" s="1">
        <v>45332</v>
      </c>
      <c r="H224" t="s">
        <v>578</v>
      </c>
      <c r="I224" t="s">
        <v>194</v>
      </c>
      <c r="J224">
        <v>-4209548148</v>
      </c>
      <c r="K224" t="s">
        <v>19</v>
      </c>
      <c r="L224" t="b">
        <v>0</v>
      </c>
    </row>
    <row r="225" spans="1:12" x14ac:dyDescent="0.3">
      <c r="A225" t="s">
        <v>579</v>
      </c>
      <c r="B225" t="s">
        <v>40</v>
      </c>
      <c r="C225" t="s">
        <v>21</v>
      </c>
      <c r="D225">
        <v>30</v>
      </c>
      <c r="E225" t="s">
        <v>312</v>
      </c>
      <c r="F225" t="s">
        <v>30</v>
      </c>
      <c r="G225" s="1">
        <v>44524</v>
      </c>
      <c r="H225" t="s">
        <v>580</v>
      </c>
      <c r="I225" t="s">
        <v>280</v>
      </c>
      <c r="J225">
        <v>-7374605232</v>
      </c>
      <c r="K225" t="s">
        <v>19</v>
      </c>
      <c r="L225" t="b">
        <v>0</v>
      </c>
    </row>
    <row r="226" spans="1:12" x14ac:dyDescent="0.3">
      <c r="A226" t="s">
        <v>581</v>
      </c>
      <c r="B226" t="s">
        <v>75</v>
      </c>
      <c r="C226" t="s">
        <v>62</v>
      </c>
      <c r="D226">
        <v>40</v>
      </c>
      <c r="E226" t="s">
        <v>63</v>
      </c>
      <c r="F226" t="s">
        <v>16</v>
      </c>
      <c r="G226" s="1">
        <v>43960</v>
      </c>
      <c r="H226" t="s">
        <v>582</v>
      </c>
      <c r="I226" t="s">
        <v>132</v>
      </c>
      <c r="J226">
        <v>-276420864</v>
      </c>
      <c r="K226" t="s">
        <v>19</v>
      </c>
      <c r="L226" t="b">
        <v>0</v>
      </c>
    </row>
    <row r="227" spans="1:12" x14ac:dyDescent="0.3">
      <c r="A227" t="s">
        <v>583</v>
      </c>
      <c r="B227" t="s">
        <v>27</v>
      </c>
      <c r="C227" t="s">
        <v>62</v>
      </c>
      <c r="D227">
        <v>35</v>
      </c>
      <c r="E227" t="s">
        <v>120</v>
      </c>
      <c r="F227" t="s">
        <v>16</v>
      </c>
      <c r="G227" s="1">
        <v>45645</v>
      </c>
      <c r="H227" t="s">
        <v>584</v>
      </c>
      <c r="I227" t="s">
        <v>177</v>
      </c>
      <c r="J227">
        <v>-6756618442</v>
      </c>
      <c r="K227" t="s">
        <v>45</v>
      </c>
      <c r="L227" t="b">
        <v>1</v>
      </c>
    </row>
    <row r="228" spans="1:12" x14ac:dyDescent="0.3">
      <c r="A228" t="s">
        <v>585</v>
      </c>
      <c r="B228" t="s">
        <v>80</v>
      </c>
      <c r="C228" t="s">
        <v>28</v>
      </c>
      <c r="E228" t="s">
        <v>81</v>
      </c>
      <c r="F228" t="s">
        <v>16</v>
      </c>
      <c r="G228" s="1">
        <v>45373</v>
      </c>
      <c r="H228" t="s">
        <v>586</v>
      </c>
      <c r="I228" t="s">
        <v>89</v>
      </c>
      <c r="J228">
        <v>-8612590471</v>
      </c>
      <c r="K228" t="s">
        <v>33</v>
      </c>
      <c r="L228" t="b">
        <v>0</v>
      </c>
    </row>
    <row r="229" spans="1:12" x14ac:dyDescent="0.3">
      <c r="A229" t="s">
        <v>587</v>
      </c>
      <c r="B229" t="s">
        <v>27</v>
      </c>
      <c r="C229" t="s">
        <v>106</v>
      </c>
      <c r="D229">
        <v>35</v>
      </c>
      <c r="E229" t="s">
        <v>165</v>
      </c>
      <c r="F229" t="s">
        <v>36</v>
      </c>
      <c r="G229" s="1">
        <v>44725</v>
      </c>
      <c r="H229" t="s">
        <v>588</v>
      </c>
      <c r="I229" t="s">
        <v>194</v>
      </c>
      <c r="J229">
        <v>-9277423329</v>
      </c>
      <c r="K229" t="s">
        <v>33</v>
      </c>
      <c r="L229" t="b">
        <v>0</v>
      </c>
    </row>
    <row r="230" spans="1:12" x14ac:dyDescent="0.3">
      <c r="A230" t="s">
        <v>589</v>
      </c>
      <c r="B230" t="s">
        <v>80</v>
      </c>
      <c r="C230" t="s">
        <v>142</v>
      </c>
      <c r="D230">
        <v>35</v>
      </c>
      <c r="E230" t="s">
        <v>244</v>
      </c>
      <c r="F230" t="s">
        <v>30</v>
      </c>
      <c r="G230" s="1">
        <v>44849</v>
      </c>
      <c r="H230" t="s">
        <v>590</v>
      </c>
      <c r="I230" t="s">
        <v>160</v>
      </c>
      <c r="J230">
        <v>-5912662014</v>
      </c>
      <c r="K230" t="s">
        <v>33</v>
      </c>
      <c r="L230" t="b">
        <v>1</v>
      </c>
    </row>
    <row r="231" spans="1:12" x14ac:dyDescent="0.3">
      <c r="A231" t="s">
        <v>591</v>
      </c>
      <c r="B231" t="s">
        <v>35</v>
      </c>
      <c r="C231" t="s">
        <v>28</v>
      </c>
      <c r="D231">
        <v>25</v>
      </c>
      <c r="E231" t="s">
        <v>270</v>
      </c>
      <c r="F231" t="s">
        <v>16</v>
      </c>
      <c r="G231" s="1">
        <v>44712</v>
      </c>
      <c r="H231" t="s">
        <v>592</v>
      </c>
      <c r="I231" t="s">
        <v>323</v>
      </c>
      <c r="J231">
        <v>-7201859625</v>
      </c>
      <c r="K231" t="s">
        <v>45</v>
      </c>
      <c r="L231" t="b">
        <v>0</v>
      </c>
    </row>
    <row r="232" spans="1:12" x14ac:dyDescent="0.3">
      <c r="A232" t="s">
        <v>593</v>
      </c>
      <c r="B232" t="s">
        <v>35</v>
      </c>
      <c r="C232" t="s">
        <v>106</v>
      </c>
      <c r="D232">
        <v>35</v>
      </c>
      <c r="E232" t="s">
        <v>187</v>
      </c>
      <c r="F232" t="s">
        <v>36</v>
      </c>
      <c r="G232" s="1">
        <v>45184</v>
      </c>
      <c r="H232" t="s">
        <v>594</v>
      </c>
      <c r="I232" t="s">
        <v>307</v>
      </c>
      <c r="J232">
        <v>-3013674925</v>
      </c>
      <c r="K232" t="s">
        <v>19</v>
      </c>
      <c r="L232" t="b">
        <v>1</v>
      </c>
    </row>
    <row r="233" spans="1:12" x14ac:dyDescent="0.3">
      <c r="A233" t="s">
        <v>595</v>
      </c>
      <c r="B233" t="s">
        <v>80</v>
      </c>
      <c r="C233" t="s">
        <v>21</v>
      </c>
      <c r="D233">
        <v>30</v>
      </c>
      <c r="E233" t="s">
        <v>270</v>
      </c>
      <c r="F233" t="s">
        <v>36</v>
      </c>
      <c r="G233" s="1">
        <v>44746</v>
      </c>
      <c r="H233" t="s">
        <v>596</v>
      </c>
      <c r="I233" t="s">
        <v>240</v>
      </c>
      <c r="J233">
        <v>-1764750110</v>
      </c>
      <c r="K233" t="s">
        <v>33</v>
      </c>
      <c r="L233" t="b">
        <v>1</v>
      </c>
    </row>
    <row r="234" spans="1:12" x14ac:dyDescent="0.3">
      <c r="A234" t="s">
        <v>597</v>
      </c>
      <c r="B234" t="s">
        <v>40</v>
      </c>
      <c r="C234" t="s">
        <v>21</v>
      </c>
      <c r="E234" t="s">
        <v>81</v>
      </c>
      <c r="F234" t="s">
        <v>30</v>
      </c>
      <c r="G234" s="1">
        <v>45451</v>
      </c>
      <c r="H234" t="s">
        <v>598</v>
      </c>
      <c r="I234" t="s">
        <v>280</v>
      </c>
      <c r="J234">
        <v>-1783099973</v>
      </c>
      <c r="K234" t="s">
        <v>45</v>
      </c>
      <c r="L234" t="b">
        <v>1</v>
      </c>
    </row>
    <row r="235" spans="1:12" x14ac:dyDescent="0.3">
      <c r="A235" t="s">
        <v>599</v>
      </c>
      <c r="B235" t="s">
        <v>80</v>
      </c>
      <c r="C235" t="s">
        <v>21</v>
      </c>
      <c r="D235">
        <v>35</v>
      </c>
      <c r="E235" t="s">
        <v>259</v>
      </c>
      <c r="F235" t="s">
        <v>30</v>
      </c>
      <c r="G235" s="1">
        <v>44158</v>
      </c>
      <c r="H235" t="s">
        <v>600</v>
      </c>
      <c r="I235" t="s">
        <v>240</v>
      </c>
      <c r="J235">
        <v>-1926764920</v>
      </c>
      <c r="K235" t="s">
        <v>33</v>
      </c>
      <c r="L235" t="b">
        <v>0</v>
      </c>
    </row>
    <row r="236" spans="1:12" x14ac:dyDescent="0.3">
      <c r="A236" t="s">
        <v>601</v>
      </c>
      <c r="B236" t="s">
        <v>75</v>
      </c>
      <c r="C236" t="s">
        <v>21</v>
      </c>
      <c r="D236">
        <v>25</v>
      </c>
      <c r="E236" t="s">
        <v>120</v>
      </c>
      <c r="F236" t="s">
        <v>16</v>
      </c>
      <c r="G236" s="1">
        <v>45425</v>
      </c>
      <c r="H236" t="s">
        <v>602</v>
      </c>
      <c r="I236" t="s">
        <v>480</v>
      </c>
      <c r="J236">
        <v>-5182606887</v>
      </c>
      <c r="K236" t="s">
        <v>25</v>
      </c>
      <c r="L236" t="b">
        <v>0</v>
      </c>
    </row>
    <row r="237" spans="1:12" x14ac:dyDescent="0.3">
      <c r="A237" t="s">
        <v>603</v>
      </c>
      <c r="B237" t="s">
        <v>27</v>
      </c>
      <c r="C237" t="s">
        <v>21</v>
      </c>
      <c r="E237" t="s">
        <v>29</v>
      </c>
      <c r="F237" t="s">
        <v>36</v>
      </c>
      <c r="G237" s="1">
        <v>44590</v>
      </c>
      <c r="H237" t="s">
        <v>604</v>
      </c>
      <c r="I237" t="s">
        <v>93</v>
      </c>
      <c r="J237">
        <v>-7189813128</v>
      </c>
      <c r="K237" t="s">
        <v>33</v>
      </c>
      <c r="L237" t="b">
        <v>1</v>
      </c>
    </row>
    <row r="238" spans="1:12" x14ac:dyDescent="0.3">
      <c r="A238" t="s">
        <v>605</v>
      </c>
      <c r="B238" t="s">
        <v>61</v>
      </c>
      <c r="C238" t="s">
        <v>106</v>
      </c>
      <c r="E238" t="s">
        <v>251</v>
      </c>
      <c r="F238" t="s">
        <v>36</v>
      </c>
      <c r="G238" s="1">
        <v>45161</v>
      </c>
      <c r="H238" t="s">
        <v>606</v>
      </c>
      <c r="I238" t="s">
        <v>607</v>
      </c>
      <c r="J238">
        <v>-2087510292</v>
      </c>
      <c r="K238" t="s">
        <v>33</v>
      </c>
      <c r="L238" t="b">
        <v>0</v>
      </c>
    </row>
    <row r="239" spans="1:12" x14ac:dyDescent="0.3">
      <c r="A239" t="s">
        <v>608</v>
      </c>
      <c r="B239" t="s">
        <v>27</v>
      </c>
      <c r="C239" t="s">
        <v>106</v>
      </c>
      <c r="D239">
        <v>30</v>
      </c>
      <c r="E239" t="s">
        <v>309</v>
      </c>
      <c r="F239" t="s">
        <v>36</v>
      </c>
      <c r="G239" s="1">
        <v>44981</v>
      </c>
      <c r="H239" t="s">
        <v>609</v>
      </c>
      <c r="I239" t="s">
        <v>194</v>
      </c>
      <c r="J239">
        <v>-2184011844</v>
      </c>
      <c r="K239" t="s">
        <v>19</v>
      </c>
      <c r="L239" t="b">
        <v>0</v>
      </c>
    </row>
    <row r="240" spans="1:12" x14ac:dyDescent="0.3">
      <c r="A240" t="s">
        <v>610</v>
      </c>
      <c r="B240" t="s">
        <v>75</v>
      </c>
      <c r="C240" t="s">
        <v>41</v>
      </c>
      <c r="D240">
        <v>30</v>
      </c>
      <c r="E240" t="s">
        <v>210</v>
      </c>
      <c r="F240" t="s">
        <v>30</v>
      </c>
      <c r="G240" s="1">
        <v>44836</v>
      </c>
      <c r="H240" t="s">
        <v>611</v>
      </c>
      <c r="I240" t="s">
        <v>78</v>
      </c>
      <c r="J240">
        <v>-8260340847</v>
      </c>
      <c r="K240" t="s">
        <v>45</v>
      </c>
      <c r="L240" t="b">
        <v>1</v>
      </c>
    </row>
    <row r="241" spans="1:12" x14ac:dyDescent="0.3">
      <c r="A241" t="s">
        <v>612</v>
      </c>
      <c r="B241" t="s">
        <v>13</v>
      </c>
      <c r="C241" t="s">
        <v>47</v>
      </c>
      <c r="D241">
        <v>40</v>
      </c>
      <c r="E241" t="s">
        <v>29</v>
      </c>
      <c r="F241" t="s">
        <v>36</v>
      </c>
      <c r="G241" s="1">
        <v>44010</v>
      </c>
      <c r="H241" t="s">
        <v>613</v>
      </c>
      <c r="I241" t="s">
        <v>180</v>
      </c>
      <c r="J241">
        <v>-7297585987</v>
      </c>
      <c r="K241" t="s">
        <v>19</v>
      </c>
      <c r="L241" t="b">
        <v>1</v>
      </c>
    </row>
    <row r="242" spans="1:12" x14ac:dyDescent="0.3">
      <c r="A242" t="s">
        <v>614</v>
      </c>
      <c r="B242" t="s">
        <v>40</v>
      </c>
      <c r="C242" t="s">
        <v>62</v>
      </c>
      <c r="D242">
        <v>35</v>
      </c>
      <c r="E242" t="s">
        <v>278</v>
      </c>
      <c r="F242" t="s">
        <v>30</v>
      </c>
      <c r="G242" s="1">
        <v>44941</v>
      </c>
      <c r="H242" t="s">
        <v>615</v>
      </c>
      <c r="I242" t="s">
        <v>316</v>
      </c>
      <c r="J242">
        <v>-3103032431</v>
      </c>
      <c r="K242" t="s">
        <v>19</v>
      </c>
      <c r="L242" t="b">
        <v>0</v>
      </c>
    </row>
    <row r="243" spans="1:12" x14ac:dyDescent="0.3">
      <c r="A243" t="s">
        <v>616</v>
      </c>
      <c r="B243" t="s">
        <v>61</v>
      </c>
      <c r="C243" t="s">
        <v>14</v>
      </c>
      <c r="D243">
        <v>30</v>
      </c>
      <c r="E243" t="s">
        <v>229</v>
      </c>
      <c r="F243" t="s">
        <v>16</v>
      </c>
      <c r="G243" s="1">
        <v>44079</v>
      </c>
      <c r="H243" t="s">
        <v>617</v>
      </c>
      <c r="I243" t="s">
        <v>200</v>
      </c>
      <c r="J243">
        <v>-9839542960</v>
      </c>
      <c r="K243" t="s">
        <v>19</v>
      </c>
      <c r="L243" t="b">
        <v>1</v>
      </c>
    </row>
    <row r="244" spans="1:12" x14ac:dyDescent="0.3">
      <c r="A244" t="s">
        <v>618</v>
      </c>
      <c r="B244" t="s">
        <v>67</v>
      </c>
      <c r="C244" t="s">
        <v>21</v>
      </c>
      <c r="D244">
        <v>40</v>
      </c>
      <c r="E244" t="s">
        <v>312</v>
      </c>
      <c r="F244" t="s">
        <v>30</v>
      </c>
      <c r="G244" s="1">
        <v>45003</v>
      </c>
      <c r="H244" t="s">
        <v>619</v>
      </c>
      <c r="I244" t="s">
        <v>265</v>
      </c>
      <c r="J244">
        <v>-8446267145</v>
      </c>
      <c r="K244" t="s">
        <v>19</v>
      </c>
      <c r="L244" t="b">
        <v>0</v>
      </c>
    </row>
    <row r="245" spans="1:12" x14ac:dyDescent="0.3">
      <c r="A245" t="s">
        <v>620</v>
      </c>
      <c r="B245" t="s">
        <v>61</v>
      </c>
      <c r="C245" t="s">
        <v>142</v>
      </c>
      <c r="E245" t="s">
        <v>187</v>
      </c>
      <c r="F245" t="s">
        <v>36</v>
      </c>
      <c r="G245" s="1">
        <v>44646</v>
      </c>
      <c r="H245" t="s">
        <v>621</v>
      </c>
      <c r="I245" t="s">
        <v>231</v>
      </c>
      <c r="J245">
        <v>-2831435988</v>
      </c>
      <c r="K245" t="s">
        <v>19</v>
      </c>
      <c r="L245" t="b">
        <v>0</v>
      </c>
    </row>
    <row r="246" spans="1:12" x14ac:dyDescent="0.3">
      <c r="A246" t="s">
        <v>622</v>
      </c>
      <c r="B246" t="s">
        <v>80</v>
      </c>
      <c r="C246" t="s">
        <v>14</v>
      </c>
      <c r="D246">
        <v>40</v>
      </c>
      <c r="E246" t="s">
        <v>48</v>
      </c>
      <c r="F246" t="s">
        <v>16</v>
      </c>
      <c r="G246" s="1">
        <v>44480</v>
      </c>
      <c r="H246" t="s">
        <v>623</v>
      </c>
      <c r="I246" t="s">
        <v>276</v>
      </c>
      <c r="J246">
        <v>-2625660930</v>
      </c>
      <c r="K246" t="s">
        <v>33</v>
      </c>
      <c r="L246" t="b">
        <v>0</v>
      </c>
    </row>
    <row r="247" spans="1:12" x14ac:dyDescent="0.3">
      <c r="A247" t="s">
        <v>624</v>
      </c>
      <c r="B247" t="s">
        <v>40</v>
      </c>
      <c r="C247" t="s">
        <v>106</v>
      </c>
      <c r="D247">
        <v>30</v>
      </c>
      <c r="E247" t="s">
        <v>259</v>
      </c>
      <c r="F247" t="s">
        <v>30</v>
      </c>
      <c r="G247" s="1">
        <v>44203</v>
      </c>
      <c r="H247" t="s">
        <v>625</v>
      </c>
      <c r="I247" t="s">
        <v>128</v>
      </c>
      <c r="J247">
        <v>-4181861514</v>
      </c>
      <c r="K247" t="s">
        <v>19</v>
      </c>
      <c r="L247" t="b">
        <v>0</v>
      </c>
    </row>
    <row r="248" spans="1:12" x14ac:dyDescent="0.3">
      <c r="A248" t="s">
        <v>626</v>
      </c>
      <c r="B248" t="s">
        <v>27</v>
      </c>
      <c r="C248" t="s">
        <v>142</v>
      </c>
      <c r="D248">
        <v>25</v>
      </c>
      <c r="E248" t="s">
        <v>126</v>
      </c>
      <c r="F248" t="s">
        <v>36</v>
      </c>
      <c r="G248" s="1">
        <v>44168</v>
      </c>
      <c r="H248" t="s">
        <v>627</v>
      </c>
      <c r="I248" t="s">
        <v>217</v>
      </c>
      <c r="J248">
        <v>-5423401635</v>
      </c>
      <c r="K248" t="s">
        <v>19</v>
      </c>
      <c r="L248" t="b">
        <v>1</v>
      </c>
    </row>
    <row r="249" spans="1:12" x14ac:dyDescent="0.3">
      <c r="A249" t="s">
        <v>628</v>
      </c>
      <c r="B249" t="s">
        <v>67</v>
      </c>
      <c r="C249" t="s">
        <v>142</v>
      </c>
      <c r="D249">
        <v>35</v>
      </c>
      <c r="E249" t="s">
        <v>210</v>
      </c>
      <c r="F249" t="s">
        <v>16</v>
      </c>
      <c r="G249" s="1">
        <v>44344</v>
      </c>
      <c r="H249" t="s">
        <v>629</v>
      </c>
      <c r="I249" t="s">
        <v>402</v>
      </c>
      <c r="J249">
        <v>-1128497184</v>
      </c>
      <c r="K249" t="s">
        <v>45</v>
      </c>
      <c r="L249" t="b">
        <v>1</v>
      </c>
    </row>
    <row r="250" spans="1:12" x14ac:dyDescent="0.3">
      <c r="A250" t="s">
        <v>630</v>
      </c>
      <c r="B250" t="s">
        <v>35</v>
      </c>
      <c r="C250" t="s">
        <v>142</v>
      </c>
      <c r="D250">
        <v>30</v>
      </c>
      <c r="E250" t="s">
        <v>15</v>
      </c>
      <c r="F250" t="s">
        <v>30</v>
      </c>
      <c r="G250" s="1">
        <v>44923</v>
      </c>
      <c r="H250" t="s">
        <v>631</v>
      </c>
      <c r="I250" t="s">
        <v>632</v>
      </c>
      <c r="J250">
        <v>-9484910255</v>
      </c>
      <c r="K250" t="s">
        <v>25</v>
      </c>
      <c r="L250" t="b">
        <v>1</v>
      </c>
    </row>
    <row r="251" spans="1:12" x14ac:dyDescent="0.3">
      <c r="A251" t="s">
        <v>633</v>
      </c>
      <c r="B251" t="s">
        <v>61</v>
      </c>
      <c r="C251" t="s">
        <v>41</v>
      </c>
      <c r="D251">
        <v>30</v>
      </c>
      <c r="E251" t="s">
        <v>91</v>
      </c>
      <c r="F251" t="s">
        <v>30</v>
      </c>
      <c r="G251" s="1">
        <v>45070</v>
      </c>
      <c r="H251" t="s">
        <v>634</v>
      </c>
      <c r="I251" t="s">
        <v>104</v>
      </c>
      <c r="J251">
        <v>-2588967923</v>
      </c>
      <c r="K251" t="s">
        <v>33</v>
      </c>
      <c r="L251" t="b">
        <v>1</v>
      </c>
    </row>
    <row r="252" spans="1:12" x14ac:dyDescent="0.3">
      <c r="A252" t="s">
        <v>635</v>
      </c>
      <c r="B252" t="s">
        <v>27</v>
      </c>
      <c r="C252" t="s">
        <v>106</v>
      </c>
      <c r="D252">
        <v>25</v>
      </c>
      <c r="E252" t="s">
        <v>187</v>
      </c>
      <c r="F252" t="s">
        <v>30</v>
      </c>
      <c r="G252" s="1">
        <v>45410</v>
      </c>
      <c r="H252" t="s">
        <v>636</v>
      </c>
      <c r="I252" t="s">
        <v>194</v>
      </c>
      <c r="J252">
        <v>-822269404</v>
      </c>
      <c r="K252" t="s">
        <v>33</v>
      </c>
      <c r="L252" t="b">
        <v>0</v>
      </c>
    </row>
    <row r="253" spans="1:12" x14ac:dyDescent="0.3">
      <c r="A253" t="s">
        <v>637</v>
      </c>
      <c r="B253" t="s">
        <v>80</v>
      </c>
      <c r="C253" t="s">
        <v>142</v>
      </c>
      <c r="E253" t="s">
        <v>278</v>
      </c>
      <c r="F253" t="s">
        <v>36</v>
      </c>
      <c r="G253" s="1">
        <v>45651</v>
      </c>
      <c r="H253" t="s">
        <v>638</v>
      </c>
      <c r="I253" t="s">
        <v>160</v>
      </c>
      <c r="J253">
        <v>-3967275783</v>
      </c>
      <c r="K253" t="s">
        <v>33</v>
      </c>
      <c r="L253" t="b">
        <v>0</v>
      </c>
    </row>
    <row r="254" spans="1:12" x14ac:dyDescent="0.3">
      <c r="A254" t="s">
        <v>639</v>
      </c>
      <c r="B254" t="s">
        <v>35</v>
      </c>
      <c r="C254" t="s">
        <v>21</v>
      </c>
      <c r="D254">
        <v>40</v>
      </c>
      <c r="E254" t="s">
        <v>29</v>
      </c>
      <c r="F254" t="s">
        <v>36</v>
      </c>
      <c r="G254" s="1">
        <v>44440</v>
      </c>
      <c r="H254" t="s">
        <v>640</v>
      </c>
      <c r="I254" t="s">
        <v>183</v>
      </c>
      <c r="J254">
        <v>-4683414650</v>
      </c>
      <c r="K254" t="s">
        <v>19</v>
      </c>
      <c r="L254" t="b">
        <v>1</v>
      </c>
    </row>
    <row r="255" spans="1:12" x14ac:dyDescent="0.3">
      <c r="A255" t="s">
        <v>641</v>
      </c>
      <c r="B255" t="s">
        <v>61</v>
      </c>
      <c r="C255" t="s">
        <v>28</v>
      </c>
      <c r="D255">
        <v>40</v>
      </c>
      <c r="E255" t="s">
        <v>130</v>
      </c>
      <c r="F255" t="s">
        <v>36</v>
      </c>
      <c r="G255" s="1">
        <v>44248</v>
      </c>
      <c r="H255" t="s">
        <v>642</v>
      </c>
      <c r="I255" t="s">
        <v>140</v>
      </c>
      <c r="J255">
        <v>-1131290147</v>
      </c>
      <c r="K255" t="s">
        <v>19</v>
      </c>
      <c r="L255" t="b">
        <v>0</v>
      </c>
    </row>
    <row r="256" spans="1:12" x14ac:dyDescent="0.3">
      <c r="A256" t="s">
        <v>643</v>
      </c>
      <c r="B256" t="s">
        <v>40</v>
      </c>
      <c r="C256" t="s">
        <v>142</v>
      </c>
      <c r="D256">
        <v>35</v>
      </c>
      <c r="E256" t="s">
        <v>267</v>
      </c>
      <c r="F256" t="s">
        <v>36</v>
      </c>
      <c r="G256" s="1">
        <v>44885</v>
      </c>
      <c r="H256" t="s">
        <v>644</v>
      </c>
      <c r="I256" t="s">
        <v>163</v>
      </c>
      <c r="J256">
        <v>-7068277880</v>
      </c>
      <c r="K256" t="s">
        <v>19</v>
      </c>
      <c r="L256" t="b">
        <v>0</v>
      </c>
    </row>
    <row r="257" spans="1:12" x14ac:dyDescent="0.3">
      <c r="A257" t="s">
        <v>645</v>
      </c>
      <c r="B257" t="s">
        <v>75</v>
      </c>
      <c r="C257" t="s">
        <v>41</v>
      </c>
      <c r="D257">
        <v>25</v>
      </c>
      <c r="E257" t="s">
        <v>251</v>
      </c>
      <c r="F257" t="s">
        <v>16</v>
      </c>
      <c r="G257" s="1">
        <v>44119</v>
      </c>
      <c r="H257" t="s">
        <v>646</v>
      </c>
      <c r="I257" t="s">
        <v>78</v>
      </c>
      <c r="J257">
        <v>-6093068537</v>
      </c>
      <c r="K257" t="s">
        <v>45</v>
      </c>
      <c r="L257" t="b">
        <v>0</v>
      </c>
    </row>
    <row r="258" spans="1:12" x14ac:dyDescent="0.3">
      <c r="A258" t="s">
        <v>647</v>
      </c>
      <c r="B258" t="s">
        <v>80</v>
      </c>
      <c r="C258" t="s">
        <v>14</v>
      </c>
      <c r="E258" t="s">
        <v>267</v>
      </c>
      <c r="F258" t="s">
        <v>16</v>
      </c>
      <c r="G258" s="1">
        <v>45497</v>
      </c>
      <c r="H258" t="s">
        <v>648</v>
      </c>
      <c r="I258" t="s">
        <v>276</v>
      </c>
      <c r="J258">
        <v>-9097283214</v>
      </c>
      <c r="K258" t="s">
        <v>25</v>
      </c>
      <c r="L258" t="b">
        <v>1</v>
      </c>
    </row>
    <row r="259" spans="1:12" x14ac:dyDescent="0.3">
      <c r="A259" t="s">
        <v>649</v>
      </c>
      <c r="B259" t="s">
        <v>40</v>
      </c>
      <c r="C259" t="s">
        <v>106</v>
      </c>
      <c r="D259">
        <v>30</v>
      </c>
      <c r="E259" t="s">
        <v>244</v>
      </c>
      <c r="F259" t="s">
        <v>30</v>
      </c>
      <c r="G259" s="1">
        <v>44787</v>
      </c>
      <c r="H259" t="s">
        <v>650</v>
      </c>
      <c r="I259" t="s">
        <v>128</v>
      </c>
      <c r="J259">
        <v>-2850676250</v>
      </c>
      <c r="K259" t="s">
        <v>19</v>
      </c>
      <c r="L259" t="b">
        <v>1</v>
      </c>
    </row>
    <row r="260" spans="1:12" x14ac:dyDescent="0.3">
      <c r="A260" t="s">
        <v>651</v>
      </c>
      <c r="B260" t="s">
        <v>27</v>
      </c>
      <c r="C260" t="s">
        <v>47</v>
      </c>
      <c r="D260">
        <v>25</v>
      </c>
      <c r="E260" t="s">
        <v>309</v>
      </c>
      <c r="F260" t="s">
        <v>36</v>
      </c>
      <c r="G260" s="1">
        <v>44324</v>
      </c>
      <c r="H260" t="s">
        <v>652</v>
      </c>
      <c r="I260" t="s">
        <v>50</v>
      </c>
      <c r="J260">
        <v>-5381447442</v>
      </c>
      <c r="K260" t="s">
        <v>25</v>
      </c>
      <c r="L260" t="b">
        <v>1</v>
      </c>
    </row>
    <row r="261" spans="1:12" x14ac:dyDescent="0.3">
      <c r="A261" t="s">
        <v>653</v>
      </c>
      <c r="B261" t="s">
        <v>27</v>
      </c>
      <c r="C261" t="s">
        <v>41</v>
      </c>
      <c r="D261">
        <v>35</v>
      </c>
      <c r="E261" t="s">
        <v>309</v>
      </c>
      <c r="F261" t="s">
        <v>30</v>
      </c>
      <c r="G261" s="1">
        <v>45208</v>
      </c>
      <c r="H261" t="s">
        <v>654</v>
      </c>
      <c r="I261" t="s">
        <v>431</v>
      </c>
      <c r="J261">
        <v>-963480796</v>
      </c>
      <c r="K261" t="s">
        <v>45</v>
      </c>
      <c r="L261" t="b">
        <v>0</v>
      </c>
    </row>
    <row r="262" spans="1:12" x14ac:dyDescent="0.3">
      <c r="A262" t="s">
        <v>655</v>
      </c>
      <c r="B262" t="s">
        <v>13</v>
      </c>
      <c r="C262" t="s">
        <v>142</v>
      </c>
      <c r="D262">
        <v>40</v>
      </c>
      <c r="E262" t="s">
        <v>138</v>
      </c>
      <c r="F262" t="s">
        <v>30</v>
      </c>
      <c r="G262" s="1">
        <v>44580</v>
      </c>
      <c r="H262" t="s">
        <v>656</v>
      </c>
      <c r="I262" t="s">
        <v>144</v>
      </c>
      <c r="J262">
        <v>-509754509</v>
      </c>
      <c r="K262" t="s">
        <v>33</v>
      </c>
      <c r="L262" t="b">
        <v>1</v>
      </c>
    </row>
    <row r="263" spans="1:12" x14ac:dyDescent="0.3">
      <c r="A263" t="s">
        <v>657</v>
      </c>
      <c r="B263" t="s">
        <v>80</v>
      </c>
      <c r="C263" t="s">
        <v>106</v>
      </c>
      <c r="D263">
        <v>25</v>
      </c>
      <c r="E263" t="s">
        <v>113</v>
      </c>
      <c r="F263" t="s">
        <v>16</v>
      </c>
      <c r="G263" s="1">
        <v>44573</v>
      </c>
      <c r="H263" t="s">
        <v>658</v>
      </c>
      <c r="I263" t="s">
        <v>197</v>
      </c>
      <c r="J263">
        <v>-5265016730</v>
      </c>
      <c r="K263" t="s">
        <v>19</v>
      </c>
      <c r="L263" t="b">
        <v>1</v>
      </c>
    </row>
    <row r="264" spans="1:12" x14ac:dyDescent="0.3">
      <c r="A264" t="s">
        <v>659</v>
      </c>
      <c r="B264" t="s">
        <v>75</v>
      </c>
      <c r="C264" t="s">
        <v>28</v>
      </c>
      <c r="E264" t="s">
        <v>229</v>
      </c>
      <c r="F264" t="s">
        <v>30</v>
      </c>
      <c r="G264" s="1">
        <v>45082</v>
      </c>
      <c r="H264" t="s">
        <v>660</v>
      </c>
      <c r="I264" t="s">
        <v>375</v>
      </c>
      <c r="J264">
        <v>-8826170242</v>
      </c>
      <c r="K264" t="s">
        <v>25</v>
      </c>
      <c r="L264" t="b">
        <v>1</v>
      </c>
    </row>
    <row r="265" spans="1:12" x14ac:dyDescent="0.3">
      <c r="A265" t="s">
        <v>661</v>
      </c>
      <c r="B265" t="s">
        <v>80</v>
      </c>
      <c r="C265" t="s">
        <v>142</v>
      </c>
      <c r="D265">
        <v>35</v>
      </c>
      <c r="E265" t="s">
        <v>229</v>
      </c>
      <c r="F265" t="s">
        <v>36</v>
      </c>
      <c r="G265" s="1">
        <v>45377</v>
      </c>
      <c r="H265" t="s">
        <v>662</v>
      </c>
      <c r="I265" t="s">
        <v>160</v>
      </c>
      <c r="J265">
        <v>-7654562840</v>
      </c>
      <c r="K265" t="s">
        <v>25</v>
      </c>
      <c r="L265" t="b">
        <v>1</v>
      </c>
    </row>
    <row r="266" spans="1:12" x14ac:dyDescent="0.3">
      <c r="A266" t="s">
        <v>663</v>
      </c>
      <c r="B266" t="s">
        <v>80</v>
      </c>
      <c r="C266" t="s">
        <v>41</v>
      </c>
      <c r="E266" t="s">
        <v>187</v>
      </c>
      <c r="F266" t="s">
        <v>16</v>
      </c>
      <c r="G266" s="1">
        <v>44111</v>
      </c>
      <c r="H266" t="s">
        <v>664</v>
      </c>
      <c r="I266" t="s">
        <v>83</v>
      </c>
      <c r="J266">
        <v>-7722560530</v>
      </c>
      <c r="K266" t="s">
        <v>19</v>
      </c>
      <c r="L266" t="b">
        <v>1</v>
      </c>
    </row>
    <row r="267" spans="1:12" x14ac:dyDescent="0.3">
      <c r="A267" t="s">
        <v>665</v>
      </c>
      <c r="B267" t="s">
        <v>75</v>
      </c>
      <c r="C267" t="s">
        <v>62</v>
      </c>
      <c r="D267">
        <v>30</v>
      </c>
      <c r="E267" t="s">
        <v>113</v>
      </c>
      <c r="F267" t="s">
        <v>16</v>
      </c>
      <c r="G267" s="1">
        <v>44502</v>
      </c>
      <c r="H267" t="s">
        <v>666</v>
      </c>
      <c r="I267" t="s">
        <v>132</v>
      </c>
      <c r="J267">
        <v>-3402665022</v>
      </c>
      <c r="K267" t="s">
        <v>33</v>
      </c>
      <c r="L267" t="b">
        <v>1</v>
      </c>
    </row>
    <row r="268" spans="1:12" x14ac:dyDescent="0.3">
      <c r="A268" t="s">
        <v>667</v>
      </c>
      <c r="B268" t="s">
        <v>80</v>
      </c>
      <c r="C268" t="s">
        <v>21</v>
      </c>
      <c r="E268" t="s">
        <v>15</v>
      </c>
      <c r="F268" t="s">
        <v>30</v>
      </c>
      <c r="G268" s="1">
        <v>44519</v>
      </c>
      <c r="H268" t="s">
        <v>668</v>
      </c>
      <c r="I268" t="s">
        <v>240</v>
      </c>
      <c r="J268">
        <v>-7416787255</v>
      </c>
      <c r="K268" t="s">
        <v>33</v>
      </c>
      <c r="L268" t="b">
        <v>0</v>
      </c>
    </row>
    <row r="269" spans="1:12" x14ac:dyDescent="0.3">
      <c r="A269" t="s">
        <v>669</v>
      </c>
      <c r="B269" t="s">
        <v>75</v>
      </c>
      <c r="C269" t="s">
        <v>47</v>
      </c>
      <c r="E269" t="s">
        <v>251</v>
      </c>
      <c r="F269" t="s">
        <v>16</v>
      </c>
      <c r="G269" s="1">
        <v>44585</v>
      </c>
      <c r="H269" t="s">
        <v>670</v>
      </c>
      <c r="I269" t="s">
        <v>300</v>
      </c>
      <c r="J269">
        <v>-8621102257</v>
      </c>
      <c r="K269" t="s">
        <v>33</v>
      </c>
      <c r="L269" t="b">
        <v>0</v>
      </c>
    </row>
    <row r="270" spans="1:12" x14ac:dyDescent="0.3">
      <c r="A270" t="s">
        <v>671</v>
      </c>
      <c r="B270" t="s">
        <v>80</v>
      </c>
      <c r="C270" t="s">
        <v>14</v>
      </c>
      <c r="E270" t="s">
        <v>175</v>
      </c>
      <c r="F270" t="s">
        <v>30</v>
      </c>
      <c r="G270" s="1">
        <v>45119</v>
      </c>
      <c r="H270" t="s">
        <v>672</v>
      </c>
      <c r="I270" t="s">
        <v>276</v>
      </c>
      <c r="J270">
        <v>-305690673</v>
      </c>
      <c r="K270" t="s">
        <v>45</v>
      </c>
      <c r="L270" t="b">
        <v>1</v>
      </c>
    </row>
    <row r="271" spans="1:12" x14ac:dyDescent="0.3">
      <c r="A271" t="s">
        <v>673</v>
      </c>
      <c r="B271" t="s">
        <v>67</v>
      </c>
      <c r="C271" t="s">
        <v>41</v>
      </c>
      <c r="D271">
        <v>25</v>
      </c>
      <c r="E271" t="s">
        <v>87</v>
      </c>
      <c r="F271" t="s">
        <v>16</v>
      </c>
      <c r="G271" s="1">
        <v>44904</v>
      </c>
      <c r="H271" t="s">
        <v>674</v>
      </c>
      <c r="I271" t="s">
        <v>70</v>
      </c>
      <c r="J271">
        <v>-4716392822</v>
      </c>
      <c r="K271" t="s">
        <v>25</v>
      </c>
      <c r="L271" t="b">
        <v>1</v>
      </c>
    </row>
    <row r="272" spans="1:12" x14ac:dyDescent="0.3">
      <c r="A272" t="s">
        <v>675</v>
      </c>
      <c r="B272" t="s">
        <v>80</v>
      </c>
      <c r="C272" t="s">
        <v>106</v>
      </c>
      <c r="D272">
        <v>30</v>
      </c>
      <c r="E272" t="s">
        <v>63</v>
      </c>
      <c r="F272" t="s">
        <v>16</v>
      </c>
      <c r="G272" s="1">
        <v>45003</v>
      </c>
      <c r="H272" t="s">
        <v>676</v>
      </c>
      <c r="I272" t="s">
        <v>197</v>
      </c>
      <c r="J272">
        <v>-4143637188</v>
      </c>
      <c r="K272" t="s">
        <v>25</v>
      </c>
      <c r="L272" t="b">
        <v>0</v>
      </c>
    </row>
    <row r="273" spans="1:12" x14ac:dyDescent="0.3">
      <c r="A273" t="s">
        <v>677</v>
      </c>
      <c r="B273" t="s">
        <v>27</v>
      </c>
      <c r="C273" t="s">
        <v>47</v>
      </c>
      <c r="D273">
        <v>40</v>
      </c>
      <c r="E273" t="s">
        <v>251</v>
      </c>
      <c r="F273" t="s">
        <v>16</v>
      </c>
      <c r="G273" s="1">
        <v>44676</v>
      </c>
      <c r="H273" t="s">
        <v>678</v>
      </c>
      <c r="I273" t="s">
        <v>50</v>
      </c>
      <c r="J273">
        <v>-2392312603</v>
      </c>
      <c r="K273" t="s">
        <v>25</v>
      </c>
      <c r="L273" t="b">
        <v>0</v>
      </c>
    </row>
    <row r="274" spans="1:12" x14ac:dyDescent="0.3">
      <c r="A274" t="s">
        <v>679</v>
      </c>
      <c r="B274" t="s">
        <v>75</v>
      </c>
      <c r="C274" t="s">
        <v>47</v>
      </c>
      <c r="D274">
        <v>25</v>
      </c>
      <c r="E274" t="s">
        <v>63</v>
      </c>
      <c r="F274" t="s">
        <v>30</v>
      </c>
      <c r="G274" s="1">
        <v>44255</v>
      </c>
      <c r="H274" t="s">
        <v>680</v>
      </c>
      <c r="I274" t="s">
        <v>300</v>
      </c>
      <c r="J274">
        <v>-3260931065</v>
      </c>
      <c r="K274" t="s">
        <v>45</v>
      </c>
      <c r="L274" t="b">
        <v>1</v>
      </c>
    </row>
    <row r="275" spans="1:12" x14ac:dyDescent="0.3">
      <c r="A275" t="s">
        <v>681</v>
      </c>
      <c r="B275" t="s">
        <v>75</v>
      </c>
      <c r="C275" t="s">
        <v>47</v>
      </c>
      <c r="E275" t="s">
        <v>81</v>
      </c>
      <c r="F275" t="s">
        <v>16</v>
      </c>
      <c r="G275" s="1">
        <v>44772</v>
      </c>
      <c r="H275" t="s">
        <v>682</v>
      </c>
      <c r="I275" t="s">
        <v>300</v>
      </c>
      <c r="J275">
        <v>-8433567085</v>
      </c>
      <c r="K275" t="s">
        <v>25</v>
      </c>
      <c r="L275" t="b">
        <v>1</v>
      </c>
    </row>
    <row r="276" spans="1:12" x14ac:dyDescent="0.3">
      <c r="A276" t="s">
        <v>683</v>
      </c>
      <c r="B276" t="s">
        <v>40</v>
      </c>
      <c r="C276" t="s">
        <v>142</v>
      </c>
      <c r="D276">
        <v>35</v>
      </c>
      <c r="E276" t="s">
        <v>87</v>
      </c>
      <c r="F276" t="s">
        <v>16</v>
      </c>
      <c r="G276" s="1">
        <v>44335</v>
      </c>
      <c r="H276" t="s">
        <v>684</v>
      </c>
      <c r="I276" t="s">
        <v>163</v>
      </c>
      <c r="J276">
        <v>-414545634</v>
      </c>
      <c r="K276" t="s">
        <v>45</v>
      </c>
      <c r="L276" t="b">
        <v>1</v>
      </c>
    </row>
    <row r="277" spans="1:12" x14ac:dyDescent="0.3">
      <c r="A277" t="s">
        <v>685</v>
      </c>
      <c r="B277" t="s">
        <v>35</v>
      </c>
      <c r="C277" t="s">
        <v>21</v>
      </c>
      <c r="D277">
        <v>35</v>
      </c>
      <c r="E277" t="s">
        <v>63</v>
      </c>
      <c r="F277" t="s">
        <v>30</v>
      </c>
      <c r="G277" s="1">
        <v>45274</v>
      </c>
      <c r="H277" t="s">
        <v>686</v>
      </c>
      <c r="I277" t="s">
        <v>183</v>
      </c>
      <c r="J277">
        <v>-200053473</v>
      </c>
      <c r="K277" t="s">
        <v>33</v>
      </c>
      <c r="L277" t="b">
        <v>1</v>
      </c>
    </row>
    <row r="278" spans="1:12" x14ac:dyDescent="0.3">
      <c r="A278" t="s">
        <v>687</v>
      </c>
      <c r="B278" t="s">
        <v>35</v>
      </c>
      <c r="C278" t="s">
        <v>142</v>
      </c>
      <c r="D278">
        <v>35</v>
      </c>
      <c r="E278" t="s">
        <v>110</v>
      </c>
      <c r="F278" t="s">
        <v>30</v>
      </c>
      <c r="G278" s="1">
        <v>44943</v>
      </c>
      <c r="H278" t="s">
        <v>688</v>
      </c>
      <c r="I278" t="s">
        <v>632</v>
      </c>
      <c r="J278">
        <v>-9162475540</v>
      </c>
      <c r="K278" t="s">
        <v>19</v>
      </c>
      <c r="L278" t="b">
        <v>0</v>
      </c>
    </row>
    <row r="279" spans="1:12" x14ac:dyDescent="0.3">
      <c r="A279" t="s">
        <v>689</v>
      </c>
      <c r="B279" t="s">
        <v>40</v>
      </c>
      <c r="C279" t="s">
        <v>106</v>
      </c>
      <c r="D279">
        <v>30</v>
      </c>
      <c r="E279" t="s">
        <v>165</v>
      </c>
      <c r="F279" t="s">
        <v>36</v>
      </c>
      <c r="G279" s="1">
        <v>45293</v>
      </c>
      <c r="H279" t="s">
        <v>690</v>
      </c>
      <c r="I279" t="s">
        <v>128</v>
      </c>
      <c r="J279">
        <v>-1082555988</v>
      </c>
      <c r="K279" t="s">
        <v>25</v>
      </c>
      <c r="L279" t="b">
        <v>1</v>
      </c>
    </row>
    <row r="280" spans="1:12" x14ac:dyDescent="0.3">
      <c r="A280" t="s">
        <v>691</v>
      </c>
      <c r="B280" t="s">
        <v>35</v>
      </c>
      <c r="C280" t="s">
        <v>142</v>
      </c>
      <c r="D280">
        <v>40</v>
      </c>
      <c r="E280" t="s">
        <v>233</v>
      </c>
      <c r="F280" t="s">
        <v>30</v>
      </c>
      <c r="G280" s="1">
        <v>44386</v>
      </c>
      <c r="H280" t="s">
        <v>692</v>
      </c>
      <c r="I280" t="s">
        <v>632</v>
      </c>
      <c r="J280">
        <v>-5343961128</v>
      </c>
      <c r="K280" t="s">
        <v>25</v>
      </c>
      <c r="L280" t="b">
        <v>1</v>
      </c>
    </row>
    <row r="281" spans="1:12" x14ac:dyDescent="0.3">
      <c r="A281" t="s">
        <v>693</v>
      </c>
      <c r="B281" t="s">
        <v>61</v>
      </c>
      <c r="C281" t="s">
        <v>62</v>
      </c>
      <c r="D281">
        <v>25</v>
      </c>
      <c r="E281" t="s">
        <v>259</v>
      </c>
      <c r="F281" t="s">
        <v>30</v>
      </c>
      <c r="G281" s="1">
        <v>44321</v>
      </c>
      <c r="H281" t="s">
        <v>694</v>
      </c>
      <c r="I281" t="s">
        <v>65</v>
      </c>
      <c r="J281">
        <v>-1093371188</v>
      </c>
      <c r="K281" t="s">
        <v>33</v>
      </c>
      <c r="L281" t="b">
        <v>1</v>
      </c>
    </row>
    <row r="282" spans="1:12" x14ac:dyDescent="0.3">
      <c r="A282" t="s">
        <v>695</v>
      </c>
      <c r="B282" t="s">
        <v>67</v>
      </c>
      <c r="C282" t="s">
        <v>21</v>
      </c>
      <c r="D282">
        <v>30</v>
      </c>
      <c r="E282" t="s">
        <v>187</v>
      </c>
      <c r="F282" t="s">
        <v>36</v>
      </c>
      <c r="G282" s="1">
        <v>44507</v>
      </c>
      <c r="H282" t="s">
        <v>696</v>
      </c>
      <c r="I282" t="s">
        <v>265</v>
      </c>
      <c r="J282">
        <v>-5473820235</v>
      </c>
      <c r="K282" t="s">
        <v>19</v>
      </c>
      <c r="L282" t="b">
        <v>1</v>
      </c>
    </row>
    <row r="283" spans="1:12" x14ac:dyDescent="0.3">
      <c r="A283" t="s">
        <v>697</v>
      </c>
      <c r="B283" t="s">
        <v>61</v>
      </c>
      <c r="C283" t="s">
        <v>21</v>
      </c>
      <c r="D283">
        <v>25</v>
      </c>
      <c r="E283" t="s">
        <v>126</v>
      </c>
      <c r="F283" t="s">
        <v>36</v>
      </c>
      <c r="G283" s="1">
        <v>45168</v>
      </c>
      <c r="H283" t="s">
        <v>698</v>
      </c>
      <c r="I283" t="s">
        <v>147</v>
      </c>
      <c r="J283">
        <v>-8485571616</v>
      </c>
      <c r="K283" t="s">
        <v>45</v>
      </c>
      <c r="L283" t="b">
        <v>0</v>
      </c>
    </row>
    <row r="284" spans="1:12" x14ac:dyDescent="0.3">
      <c r="A284" t="s">
        <v>699</v>
      </c>
      <c r="B284" t="s">
        <v>75</v>
      </c>
      <c r="C284" t="s">
        <v>106</v>
      </c>
      <c r="D284">
        <v>30</v>
      </c>
      <c r="E284" t="s">
        <v>172</v>
      </c>
      <c r="F284" t="s">
        <v>36</v>
      </c>
      <c r="G284" s="1">
        <v>45153</v>
      </c>
      <c r="H284" t="s">
        <v>700</v>
      </c>
      <c r="I284" t="s">
        <v>153</v>
      </c>
      <c r="J284">
        <v>-6880294239</v>
      </c>
      <c r="K284" t="s">
        <v>19</v>
      </c>
      <c r="L284" t="b">
        <v>0</v>
      </c>
    </row>
    <row r="285" spans="1:12" x14ac:dyDescent="0.3">
      <c r="A285" t="s">
        <v>701</v>
      </c>
      <c r="B285" t="s">
        <v>67</v>
      </c>
      <c r="C285" t="s">
        <v>14</v>
      </c>
      <c r="E285" t="s">
        <v>386</v>
      </c>
      <c r="F285" t="s">
        <v>16</v>
      </c>
      <c r="G285" s="1">
        <v>44189</v>
      </c>
      <c r="H285" t="s">
        <v>702</v>
      </c>
      <c r="I285" t="s">
        <v>73</v>
      </c>
      <c r="J285">
        <v>-9036788126</v>
      </c>
      <c r="K285" t="s">
        <v>33</v>
      </c>
      <c r="L285" t="b">
        <v>0</v>
      </c>
    </row>
    <row r="286" spans="1:12" x14ac:dyDescent="0.3">
      <c r="A286" t="s">
        <v>703</v>
      </c>
      <c r="B286" t="s">
        <v>27</v>
      </c>
      <c r="C286" t="s">
        <v>62</v>
      </c>
      <c r="D286">
        <v>40</v>
      </c>
      <c r="E286" t="s">
        <v>267</v>
      </c>
      <c r="F286" t="s">
        <v>30</v>
      </c>
      <c r="G286" s="1">
        <v>45617</v>
      </c>
      <c r="H286" t="s">
        <v>704</v>
      </c>
      <c r="I286" t="s">
        <v>177</v>
      </c>
      <c r="J286">
        <v>-8686694319</v>
      </c>
      <c r="K286" t="s">
        <v>33</v>
      </c>
      <c r="L286" t="b">
        <v>1</v>
      </c>
    </row>
    <row r="287" spans="1:12" x14ac:dyDescent="0.3">
      <c r="A287" t="s">
        <v>705</v>
      </c>
      <c r="B287" t="s">
        <v>27</v>
      </c>
      <c r="C287" t="s">
        <v>41</v>
      </c>
      <c r="D287">
        <v>35</v>
      </c>
      <c r="E287" t="s">
        <v>113</v>
      </c>
      <c r="F287" t="s">
        <v>16</v>
      </c>
      <c r="G287" s="1">
        <v>44517</v>
      </c>
      <c r="H287" t="s">
        <v>706</v>
      </c>
      <c r="I287" t="s">
        <v>431</v>
      </c>
      <c r="J287">
        <v>-2939087883</v>
      </c>
      <c r="K287" t="s">
        <v>19</v>
      </c>
      <c r="L287" t="b">
        <v>1</v>
      </c>
    </row>
    <row r="288" spans="1:12" x14ac:dyDescent="0.3">
      <c r="A288" t="s">
        <v>707</v>
      </c>
      <c r="B288" t="s">
        <v>75</v>
      </c>
      <c r="C288" t="s">
        <v>142</v>
      </c>
      <c r="D288">
        <v>30</v>
      </c>
      <c r="E288" t="s">
        <v>87</v>
      </c>
      <c r="F288" t="s">
        <v>36</v>
      </c>
      <c r="G288" s="1">
        <v>44225</v>
      </c>
      <c r="H288" t="s">
        <v>708</v>
      </c>
      <c r="I288" t="s">
        <v>436</v>
      </c>
      <c r="J288">
        <v>-4344812307</v>
      </c>
      <c r="K288" t="s">
        <v>45</v>
      </c>
      <c r="L288" t="b">
        <v>0</v>
      </c>
    </row>
    <row r="289" spans="1:12" x14ac:dyDescent="0.3">
      <c r="A289" t="s">
        <v>709</v>
      </c>
      <c r="B289" t="s">
        <v>75</v>
      </c>
      <c r="C289" t="s">
        <v>28</v>
      </c>
      <c r="D289">
        <v>35</v>
      </c>
      <c r="E289" t="s">
        <v>63</v>
      </c>
      <c r="F289" t="s">
        <v>16</v>
      </c>
      <c r="G289" s="1">
        <v>45339</v>
      </c>
      <c r="H289" t="s">
        <v>710</v>
      </c>
      <c r="I289" t="s">
        <v>375</v>
      </c>
      <c r="J289">
        <v>-3402424032</v>
      </c>
      <c r="K289" t="s">
        <v>45</v>
      </c>
      <c r="L289" t="b">
        <v>1</v>
      </c>
    </row>
    <row r="290" spans="1:12" x14ac:dyDescent="0.3">
      <c r="A290" t="s">
        <v>711</v>
      </c>
      <c r="B290" t="s">
        <v>67</v>
      </c>
      <c r="C290" t="s">
        <v>142</v>
      </c>
      <c r="D290">
        <v>30</v>
      </c>
      <c r="E290" t="s">
        <v>259</v>
      </c>
      <c r="F290" t="s">
        <v>36</v>
      </c>
      <c r="G290" s="1">
        <v>45524</v>
      </c>
      <c r="H290" t="s">
        <v>712</v>
      </c>
      <c r="I290" t="s">
        <v>402</v>
      </c>
      <c r="J290">
        <v>-8105955183</v>
      </c>
      <c r="K290" t="s">
        <v>25</v>
      </c>
      <c r="L290" t="b">
        <v>1</v>
      </c>
    </row>
    <row r="291" spans="1:12" x14ac:dyDescent="0.3">
      <c r="A291" t="s">
        <v>713</v>
      </c>
      <c r="B291" t="s">
        <v>80</v>
      </c>
      <c r="C291" t="s">
        <v>47</v>
      </c>
      <c r="D291">
        <v>25</v>
      </c>
      <c r="E291" t="s">
        <v>233</v>
      </c>
      <c r="F291" t="s">
        <v>36</v>
      </c>
      <c r="G291" s="1">
        <v>44493</v>
      </c>
      <c r="H291" t="s">
        <v>322</v>
      </c>
      <c r="I291" t="s">
        <v>96</v>
      </c>
      <c r="J291">
        <v>-2694500533</v>
      </c>
      <c r="K291" t="s">
        <v>45</v>
      </c>
      <c r="L291" t="b">
        <v>0</v>
      </c>
    </row>
    <row r="292" spans="1:12" x14ac:dyDescent="0.3">
      <c r="A292" t="s">
        <v>714</v>
      </c>
      <c r="B292" t="s">
        <v>80</v>
      </c>
      <c r="C292" t="s">
        <v>142</v>
      </c>
      <c r="D292">
        <v>30</v>
      </c>
      <c r="E292" t="s">
        <v>81</v>
      </c>
      <c r="F292" t="s">
        <v>36</v>
      </c>
      <c r="G292" s="1">
        <v>44449</v>
      </c>
      <c r="H292" t="s">
        <v>715</v>
      </c>
      <c r="I292" t="s">
        <v>160</v>
      </c>
      <c r="J292">
        <v>-2408916497</v>
      </c>
      <c r="K292" t="s">
        <v>19</v>
      </c>
      <c r="L292" t="b">
        <v>0</v>
      </c>
    </row>
    <row r="293" spans="1:12" x14ac:dyDescent="0.3">
      <c r="A293" t="s">
        <v>716</v>
      </c>
      <c r="B293" t="s">
        <v>35</v>
      </c>
      <c r="C293" t="s">
        <v>41</v>
      </c>
      <c r="D293">
        <v>35</v>
      </c>
      <c r="E293" t="s">
        <v>63</v>
      </c>
      <c r="F293" t="s">
        <v>16</v>
      </c>
      <c r="G293" s="1">
        <v>45198</v>
      </c>
      <c r="H293" t="s">
        <v>717</v>
      </c>
      <c r="I293" t="s">
        <v>167</v>
      </c>
      <c r="J293">
        <v>-3735439626</v>
      </c>
      <c r="K293" t="s">
        <v>33</v>
      </c>
      <c r="L293" t="b">
        <v>0</v>
      </c>
    </row>
    <row r="294" spans="1:12" x14ac:dyDescent="0.3">
      <c r="A294" t="s">
        <v>718</v>
      </c>
      <c r="B294" t="s">
        <v>80</v>
      </c>
      <c r="C294" t="s">
        <v>142</v>
      </c>
      <c r="E294" t="s">
        <v>15</v>
      </c>
      <c r="F294" t="s">
        <v>30</v>
      </c>
      <c r="G294" s="1">
        <v>44071</v>
      </c>
      <c r="H294" t="s">
        <v>719</v>
      </c>
      <c r="I294" t="s">
        <v>160</v>
      </c>
      <c r="J294">
        <v>-3652717271</v>
      </c>
      <c r="K294" t="s">
        <v>25</v>
      </c>
      <c r="L294" t="b">
        <v>0</v>
      </c>
    </row>
    <row r="295" spans="1:12" x14ac:dyDescent="0.3">
      <c r="A295" t="s">
        <v>720</v>
      </c>
      <c r="B295" t="s">
        <v>40</v>
      </c>
      <c r="C295" t="s">
        <v>62</v>
      </c>
      <c r="E295" t="s">
        <v>233</v>
      </c>
      <c r="F295" t="s">
        <v>16</v>
      </c>
      <c r="G295" s="1">
        <v>44810</v>
      </c>
      <c r="H295" t="s">
        <v>721</v>
      </c>
      <c r="I295" t="s">
        <v>316</v>
      </c>
      <c r="J295">
        <v>-2397240421</v>
      </c>
      <c r="K295" t="s">
        <v>25</v>
      </c>
      <c r="L295" t="b">
        <v>1</v>
      </c>
    </row>
    <row r="296" spans="1:12" x14ac:dyDescent="0.3">
      <c r="A296" t="s">
        <v>722</v>
      </c>
      <c r="B296" t="s">
        <v>40</v>
      </c>
      <c r="C296" t="s">
        <v>62</v>
      </c>
      <c r="D296">
        <v>40</v>
      </c>
      <c r="E296" t="s">
        <v>91</v>
      </c>
      <c r="F296" t="s">
        <v>36</v>
      </c>
      <c r="G296" s="1">
        <v>45382</v>
      </c>
      <c r="H296" t="s">
        <v>723</v>
      </c>
      <c r="I296" t="s">
        <v>316</v>
      </c>
      <c r="J296">
        <v>-6931216375</v>
      </c>
      <c r="K296" t="s">
        <v>33</v>
      </c>
      <c r="L296" t="b">
        <v>1</v>
      </c>
    </row>
    <row r="297" spans="1:12" x14ac:dyDescent="0.3">
      <c r="A297" t="s">
        <v>724</v>
      </c>
      <c r="B297" t="s">
        <v>67</v>
      </c>
      <c r="C297" t="s">
        <v>21</v>
      </c>
      <c r="D297">
        <v>30</v>
      </c>
      <c r="E297" t="s">
        <v>91</v>
      </c>
      <c r="F297" t="s">
        <v>16</v>
      </c>
      <c r="G297" s="1">
        <v>44907</v>
      </c>
      <c r="H297" t="s">
        <v>725</v>
      </c>
      <c r="I297" t="s">
        <v>265</v>
      </c>
      <c r="J297">
        <v>-1820916600</v>
      </c>
      <c r="K297" t="s">
        <v>45</v>
      </c>
      <c r="L297" t="b">
        <v>0</v>
      </c>
    </row>
    <row r="298" spans="1:12" x14ac:dyDescent="0.3">
      <c r="A298" t="s">
        <v>726</v>
      </c>
      <c r="B298" t="s">
        <v>13</v>
      </c>
      <c r="C298" t="s">
        <v>106</v>
      </c>
      <c r="E298" t="s">
        <v>187</v>
      </c>
      <c r="F298" t="s">
        <v>30</v>
      </c>
      <c r="G298" s="1">
        <v>44866</v>
      </c>
      <c r="H298" t="s">
        <v>727</v>
      </c>
      <c r="I298" t="s">
        <v>108</v>
      </c>
      <c r="J298">
        <v>-23142899</v>
      </c>
      <c r="K298" t="s">
        <v>33</v>
      </c>
      <c r="L298" t="b">
        <v>1</v>
      </c>
    </row>
    <row r="299" spans="1:12" x14ac:dyDescent="0.3">
      <c r="A299" t="s">
        <v>728</v>
      </c>
      <c r="B299" t="s">
        <v>61</v>
      </c>
      <c r="C299" t="s">
        <v>14</v>
      </c>
      <c r="D299">
        <v>35</v>
      </c>
      <c r="E299" t="s">
        <v>87</v>
      </c>
      <c r="F299" t="s">
        <v>16</v>
      </c>
      <c r="G299" s="1">
        <v>45224</v>
      </c>
      <c r="H299" t="s">
        <v>729</v>
      </c>
      <c r="I299" t="s">
        <v>200</v>
      </c>
      <c r="J299">
        <v>-1851327971</v>
      </c>
      <c r="K299" t="s">
        <v>45</v>
      </c>
      <c r="L299" t="b">
        <v>0</v>
      </c>
    </row>
    <row r="300" spans="1:12" x14ac:dyDescent="0.3">
      <c r="A300" t="s">
        <v>730</v>
      </c>
      <c r="B300" t="s">
        <v>13</v>
      </c>
      <c r="C300" t="s">
        <v>28</v>
      </c>
      <c r="E300" t="s">
        <v>22</v>
      </c>
      <c r="F300" t="s">
        <v>36</v>
      </c>
      <c r="G300" s="1">
        <v>44101</v>
      </c>
      <c r="H300" t="s">
        <v>731</v>
      </c>
      <c r="I300" t="s">
        <v>56</v>
      </c>
      <c r="J300">
        <v>-4572308480</v>
      </c>
      <c r="K300" t="s">
        <v>33</v>
      </c>
      <c r="L300" t="b">
        <v>0</v>
      </c>
    </row>
    <row r="301" spans="1:12" x14ac:dyDescent="0.3">
      <c r="A301" t="s">
        <v>732</v>
      </c>
      <c r="B301" t="s">
        <v>27</v>
      </c>
      <c r="C301" t="s">
        <v>47</v>
      </c>
      <c r="E301" t="s">
        <v>116</v>
      </c>
      <c r="F301" t="s">
        <v>36</v>
      </c>
      <c r="G301" s="1">
        <v>45312</v>
      </c>
      <c r="H301" t="s">
        <v>733</v>
      </c>
      <c r="I301" t="s">
        <v>50</v>
      </c>
      <c r="J301">
        <v>-18418619</v>
      </c>
      <c r="K301" t="s">
        <v>19</v>
      </c>
      <c r="L301" t="b">
        <v>1</v>
      </c>
    </row>
    <row r="302" spans="1:12" x14ac:dyDescent="0.3">
      <c r="A302" t="s">
        <v>734</v>
      </c>
      <c r="B302" t="s">
        <v>27</v>
      </c>
      <c r="C302" t="s">
        <v>142</v>
      </c>
      <c r="D302">
        <v>30</v>
      </c>
      <c r="E302" t="s">
        <v>48</v>
      </c>
      <c r="F302" t="s">
        <v>16</v>
      </c>
      <c r="G302" s="1">
        <v>44698</v>
      </c>
      <c r="H302" t="s">
        <v>735</v>
      </c>
      <c r="I302" t="s">
        <v>217</v>
      </c>
      <c r="J302">
        <v>-3036625435</v>
      </c>
      <c r="K302" t="s">
        <v>45</v>
      </c>
      <c r="L302" t="b">
        <v>0</v>
      </c>
    </row>
    <row r="303" spans="1:12" x14ac:dyDescent="0.3">
      <c r="A303" t="s">
        <v>736</v>
      </c>
      <c r="B303" t="s">
        <v>27</v>
      </c>
      <c r="C303" t="s">
        <v>142</v>
      </c>
      <c r="D303">
        <v>25</v>
      </c>
      <c r="E303" t="s">
        <v>22</v>
      </c>
      <c r="F303" t="s">
        <v>36</v>
      </c>
      <c r="G303" s="1">
        <v>44668</v>
      </c>
      <c r="H303" t="s">
        <v>737</v>
      </c>
      <c r="I303" t="s">
        <v>217</v>
      </c>
      <c r="J303">
        <v>-1721314518</v>
      </c>
      <c r="K303" t="s">
        <v>19</v>
      </c>
      <c r="L303" t="b">
        <v>1</v>
      </c>
    </row>
    <row r="304" spans="1:12" x14ac:dyDescent="0.3">
      <c r="A304" t="s">
        <v>738</v>
      </c>
      <c r="B304" t="s">
        <v>80</v>
      </c>
      <c r="C304" t="s">
        <v>41</v>
      </c>
      <c r="D304">
        <v>35</v>
      </c>
      <c r="E304" t="s">
        <v>130</v>
      </c>
      <c r="F304" t="s">
        <v>36</v>
      </c>
      <c r="G304" s="1">
        <v>44600</v>
      </c>
      <c r="H304" t="s">
        <v>739</v>
      </c>
      <c r="I304" t="s">
        <v>83</v>
      </c>
      <c r="J304">
        <v>-5151092267</v>
      </c>
      <c r="K304" t="s">
        <v>25</v>
      </c>
      <c r="L304" t="b">
        <v>1</v>
      </c>
    </row>
    <row r="305" spans="1:12" x14ac:dyDescent="0.3">
      <c r="A305" t="s">
        <v>740</v>
      </c>
      <c r="B305" t="s">
        <v>61</v>
      </c>
      <c r="C305" t="s">
        <v>106</v>
      </c>
      <c r="D305">
        <v>35</v>
      </c>
      <c r="E305" t="s">
        <v>68</v>
      </c>
      <c r="F305" t="s">
        <v>30</v>
      </c>
      <c r="G305" s="1">
        <v>44635</v>
      </c>
      <c r="H305" t="s">
        <v>741</v>
      </c>
      <c r="I305" t="s">
        <v>607</v>
      </c>
      <c r="J305">
        <v>-5926249450</v>
      </c>
      <c r="K305" t="s">
        <v>33</v>
      </c>
      <c r="L305" t="b">
        <v>1</v>
      </c>
    </row>
    <row r="306" spans="1:12" x14ac:dyDescent="0.3">
      <c r="A306" t="s">
        <v>742</v>
      </c>
      <c r="B306" t="s">
        <v>67</v>
      </c>
      <c r="C306" t="s">
        <v>62</v>
      </c>
      <c r="D306">
        <v>25</v>
      </c>
      <c r="E306" t="s">
        <v>312</v>
      </c>
      <c r="F306" t="s">
        <v>36</v>
      </c>
      <c r="G306" s="1">
        <v>45210</v>
      </c>
      <c r="H306" t="s">
        <v>743</v>
      </c>
      <c r="I306" t="s">
        <v>257</v>
      </c>
      <c r="J306">
        <v>-4754102251</v>
      </c>
      <c r="K306" t="s">
        <v>25</v>
      </c>
      <c r="L306" t="b">
        <v>1</v>
      </c>
    </row>
    <row r="307" spans="1:12" x14ac:dyDescent="0.3">
      <c r="A307" t="s">
        <v>744</v>
      </c>
      <c r="B307" t="s">
        <v>80</v>
      </c>
      <c r="C307" t="s">
        <v>28</v>
      </c>
      <c r="D307">
        <v>30</v>
      </c>
      <c r="E307" t="s">
        <v>244</v>
      </c>
      <c r="F307" t="s">
        <v>36</v>
      </c>
      <c r="G307" s="1">
        <v>44148</v>
      </c>
      <c r="H307" t="s">
        <v>745</v>
      </c>
      <c r="I307" t="s">
        <v>89</v>
      </c>
      <c r="J307">
        <v>-6771196420</v>
      </c>
      <c r="K307" t="s">
        <v>25</v>
      </c>
      <c r="L307" t="b">
        <v>0</v>
      </c>
    </row>
    <row r="308" spans="1:12" x14ac:dyDescent="0.3">
      <c r="A308" t="s">
        <v>746</v>
      </c>
      <c r="B308" t="s">
        <v>13</v>
      </c>
      <c r="C308" t="s">
        <v>21</v>
      </c>
      <c r="D308">
        <v>25</v>
      </c>
      <c r="E308" t="s">
        <v>270</v>
      </c>
      <c r="F308" t="s">
        <v>30</v>
      </c>
      <c r="G308" s="1">
        <v>45399</v>
      </c>
      <c r="H308" t="s">
        <v>747</v>
      </c>
      <c r="I308" t="s">
        <v>24</v>
      </c>
      <c r="J308">
        <v>-5226557675</v>
      </c>
      <c r="K308" t="s">
        <v>25</v>
      </c>
      <c r="L308" t="b">
        <v>1</v>
      </c>
    </row>
    <row r="309" spans="1:12" x14ac:dyDescent="0.3">
      <c r="A309" t="s">
        <v>748</v>
      </c>
      <c r="B309" t="s">
        <v>67</v>
      </c>
      <c r="C309" t="s">
        <v>62</v>
      </c>
      <c r="D309">
        <v>30</v>
      </c>
      <c r="E309" t="s">
        <v>187</v>
      </c>
      <c r="F309" t="s">
        <v>30</v>
      </c>
      <c r="G309" s="1">
        <v>43899</v>
      </c>
      <c r="H309" t="s">
        <v>749</v>
      </c>
      <c r="I309" t="s">
        <v>257</v>
      </c>
      <c r="J309">
        <v>-9523668787</v>
      </c>
      <c r="K309" t="s">
        <v>25</v>
      </c>
      <c r="L309" t="b">
        <v>0</v>
      </c>
    </row>
    <row r="310" spans="1:12" x14ac:dyDescent="0.3">
      <c r="A310" t="s">
        <v>750</v>
      </c>
      <c r="B310" t="s">
        <v>27</v>
      </c>
      <c r="C310" t="s">
        <v>47</v>
      </c>
      <c r="D310">
        <v>30</v>
      </c>
      <c r="E310" t="s">
        <v>278</v>
      </c>
      <c r="F310" t="s">
        <v>36</v>
      </c>
      <c r="G310" s="1">
        <v>44729</v>
      </c>
      <c r="H310" t="s">
        <v>751</v>
      </c>
      <c r="I310" t="s">
        <v>50</v>
      </c>
      <c r="J310">
        <v>-7883619688</v>
      </c>
      <c r="K310" t="s">
        <v>33</v>
      </c>
      <c r="L310" t="b">
        <v>0</v>
      </c>
    </row>
    <row r="311" spans="1:12" x14ac:dyDescent="0.3">
      <c r="A311" t="s">
        <v>752</v>
      </c>
      <c r="B311" t="s">
        <v>27</v>
      </c>
      <c r="C311" t="s">
        <v>106</v>
      </c>
      <c r="D311">
        <v>30</v>
      </c>
      <c r="E311" t="s">
        <v>210</v>
      </c>
      <c r="F311" t="s">
        <v>16</v>
      </c>
      <c r="G311" s="1">
        <v>45501</v>
      </c>
      <c r="H311" t="s">
        <v>753</v>
      </c>
      <c r="I311" t="s">
        <v>194</v>
      </c>
      <c r="J311">
        <v>-3135030586</v>
      </c>
      <c r="K311" t="s">
        <v>25</v>
      </c>
      <c r="L311" t="b">
        <v>0</v>
      </c>
    </row>
    <row r="312" spans="1:12" x14ac:dyDescent="0.3">
      <c r="A312" t="s">
        <v>754</v>
      </c>
      <c r="B312" t="s">
        <v>40</v>
      </c>
      <c r="C312" t="s">
        <v>47</v>
      </c>
      <c r="D312">
        <v>30</v>
      </c>
      <c r="E312" t="s">
        <v>76</v>
      </c>
      <c r="F312" t="s">
        <v>30</v>
      </c>
      <c r="G312" s="1">
        <v>44898</v>
      </c>
      <c r="H312" t="s">
        <v>755</v>
      </c>
      <c r="I312" t="s">
        <v>214</v>
      </c>
      <c r="J312">
        <v>-2105524727</v>
      </c>
      <c r="K312" t="s">
        <v>33</v>
      </c>
      <c r="L312" t="b">
        <v>0</v>
      </c>
    </row>
    <row r="313" spans="1:12" x14ac:dyDescent="0.3">
      <c r="A313" t="s">
        <v>756</v>
      </c>
      <c r="B313" t="s">
        <v>27</v>
      </c>
      <c r="C313" t="s">
        <v>14</v>
      </c>
      <c r="E313" t="s">
        <v>259</v>
      </c>
      <c r="F313" t="s">
        <v>16</v>
      </c>
      <c r="G313" s="1">
        <v>45113</v>
      </c>
      <c r="H313" t="s">
        <v>757</v>
      </c>
      <c r="I313" t="s">
        <v>191</v>
      </c>
      <c r="J313">
        <v>-6333021259</v>
      </c>
      <c r="K313" t="s">
        <v>33</v>
      </c>
      <c r="L313" t="b">
        <v>1</v>
      </c>
    </row>
    <row r="314" spans="1:12" x14ac:dyDescent="0.3">
      <c r="A314" t="s">
        <v>758</v>
      </c>
      <c r="B314" t="s">
        <v>27</v>
      </c>
      <c r="C314" t="s">
        <v>21</v>
      </c>
      <c r="D314">
        <v>35</v>
      </c>
      <c r="E314" t="s">
        <v>386</v>
      </c>
      <c r="F314" t="s">
        <v>36</v>
      </c>
      <c r="G314" s="1">
        <v>45440</v>
      </c>
      <c r="H314" t="s">
        <v>759</v>
      </c>
      <c r="I314" t="s">
        <v>93</v>
      </c>
      <c r="J314">
        <v>-6501917919</v>
      </c>
      <c r="K314" t="s">
        <v>19</v>
      </c>
      <c r="L314" t="b">
        <v>1</v>
      </c>
    </row>
    <row r="315" spans="1:12" x14ac:dyDescent="0.3">
      <c r="A315" t="s">
        <v>760</v>
      </c>
      <c r="B315" t="s">
        <v>80</v>
      </c>
      <c r="C315" t="s">
        <v>14</v>
      </c>
      <c r="D315">
        <v>30</v>
      </c>
      <c r="E315" t="s">
        <v>251</v>
      </c>
      <c r="F315" t="s">
        <v>16</v>
      </c>
      <c r="G315" s="1">
        <v>45376</v>
      </c>
      <c r="H315" t="s">
        <v>761</v>
      </c>
      <c r="I315" t="s">
        <v>276</v>
      </c>
      <c r="J315">
        <v>-2521310961</v>
      </c>
      <c r="K315" t="s">
        <v>45</v>
      </c>
      <c r="L315" t="b">
        <v>0</v>
      </c>
    </row>
    <row r="316" spans="1:12" x14ac:dyDescent="0.3">
      <c r="A316" t="s">
        <v>762</v>
      </c>
      <c r="B316" t="s">
        <v>67</v>
      </c>
      <c r="C316" t="s">
        <v>41</v>
      </c>
      <c r="D316">
        <v>35</v>
      </c>
      <c r="E316" t="s">
        <v>63</v>
      </c>
      <c r="F316" t="s">
        <v>36</v>
      </c>
      <c r="G316" s="1">
        <v>43949</v>
      </c>
      <c r="H316" t="s">
        <v>763</v>
      </c>
      <c r="I316" t="s">
        <v>70</v>
      </c>
      <c r="J316">
        <v>-2728476569</v>
      </c>
      <c r="K316" t="s">
        <v>45</v>
      </c>
      <c r="L316" t="b">
        <v>0</v>
      </c>
    </row>
    <row r="317" spans="1:12" x14ac:dyDescent="0.3">
      <c r="A317" t="s">
        <v>764</v>
      </c>
      <c r="B317" t="s">
        <v>61</v>
      </c>
      <c r="C317" t="s">
        <v>47</v>
      </c>
      <c r="D317">
        <v>40</v>
      </c>
      <c r="E317" t="s">
        <v>138</v>
      </c>
      <c r="F317" t="s">
        <v>16</v>
      </c>
      <c r="G317" s="1">
        <v>44507</v>
      </c>
      <c r="H317" t="s">
        <v>765</v>
      </c>
      <c r="I317" t="s">
        <v>100</v>
      </c>
      <c r="J317">
        <v>-4120092819</v>
      </c>
      <c r="K317" t="s">
        <v>33</v>
      </c>
      <c r="L317" t="b">
        <v>1</v>
      </c>
    </row>
    <row r="318" spans="1:12" x14ac:dyDescent="0.3">
      <c r="A318" t="s">
        <v>766</v>
      </c>
      <c r="B318" t="s">
        <v>40</v>
      </c>
      <c r="C318" t="s">
        <v>41</v>
      </c>
      <c r="D318">
        <v>25</v>
      </c>
      <c r="E318" t="s">
        <v>259</v>
      </c>
      <c r="F318" t="s">
        <v>16</v>
      </c>
      <c r="G318" s="1">
        <v>43936</v>
      </c>
      <c r="H318" t="s">
        <v>767</v>
      </c>
      <c r="I318" t="s">
        <v>44</v>
      </c>
      <c r="J318">
        <v>-6678498435</v>
      </c>
      <c r="K318" t="s">
        <v>19</v>
      </c>
      <c r="L318" t="b">
        <v>0</v>
      </c>
    </row>
    <row r="319" spans="1:12" x14ac:dyDescent="0.3">
      <c r="A319" t="s">
        <v>768</v>
      </c>
      <c r="B319" t="s">
        <v>27</v>
      </c>
      <c r="C319" t="s">
        <v>142</v>
      </c>
      <c r="D319">
        <v>25</v>
      </c>
      <c r="E319" t="s">
        <v>102</v>
      </c>
      <c r="F319" t="s">
        <v>30</v>
      </c>
      <c r="G319" s="1">
        <v>45206</v>
      </c>
      <c r="H319" t="s">
        <v>769</v>
      </c>
      <c r="I319" t="s">
        <v>217</v>
      </c>
      <c r="J319">
        <v>-2418623689</v>
      </c>
      <c r="K319" t="s">
        <v>33</v>
      </c>
      <c r="L319" t="b">
        <v>1</v>
      </c>
    </row>
    <row r="320" spans="1:12" x14ac:dyDescent="0.3">
      <c r="A320" t="s">
        <v>770</v>
      </c>
      <c r="B320" t="s">
        <v>40</v>
      </c>
      <c r="C320" t="s">
        <v>14</v>
      </c>
      <c r="D320">
        <v>35</v>
      </c>
      <c r="E320" t="s">
        <v>68</v>
      </c>
      <c r="F320" t="s">
        <v>16</v>
      </c>
      <c r="G320" s="1">
        <v>45349</v>
      </c>
      <c r="H320" t="s">
        <v>771</v>
      </c>
      <c r="I320" t="s">
        <v>59</v>
      </c>
      <c r="J320">
        <v>-3628917755</v>
      </c>
      <c r="K320" t="s">
        <v>33</v>
      </c>
      <c r="L320" t="b">
        <v>0</v>
      </c>
    </row>
    <row r="321" spans="1:12" x14ac:dyDescent="0.3">
      <c r="A321" t="s">
        <v>772</v>
      </c>
      <c r="B321" t="s">
        <v>75</v>
      </c>
      <c r="C321" t="s">
        <v>106</v>
      </c>
      <c r="D321">
        <v>30</v>
      </c>
      <c r="E321" t="s">
        <v>91</v>
      </c>
      <c r="F321" t="s">
        <v>30</v>
      </c>
      <c r="G321" s="1">
        <v>44249</v>
      </c>
      <c r="H321" t="s">
        <v>773</v>
      </c>
      <c r="I321" t="s">
        <v>153</v>
      </c>
      <c r="J321">
        <v>-6205634110</v>
      </c>
      <c r="K321" t="s">
        <v>33</v>
      </c>
      <c r="L321" t="b">
        <v>1</v>
      </c>
    </row>
    <row r="322" spans="1:12" x14ac:dyDescent="0.3">
      <c r="A322" t="s">
        <v>774</v>
      </c>
      <c r="B322" t="s">
        <v>40</v>
      </c>
      <c r="C322" t="s">
        <v>47</v>
      </c>
      <c r="D322">
        <v>35</v>
      </c>
      <c r="E322" t="s">
        <v>130</v>
      </c>
      <c r="F322" t="s">
        <v>30</v>
      </c>
      <c r="G322" s="1">
        <v>45159</v>
      </c>
      <c r="H322" t="s">
        <v>775</v>
      </c>
      <c r="I322" t="s">
        <v>214</v>
      </c>
      <c r="J322">
        <v>-5950342810</v>
      </c>
      <c r="K322" t="s">
        <v>19</v>
      </c>
      <c r="L322" t="b">
        <v>0</v>
      </c>
    </row>
    <row r="323" spans="1:12" x14ac:dyDescent="0.3">
      <c r="A323" t="s">
        <v>776</v>
      </c>
      <c r="B323" t="s">
        <v>75</v>
      </c>
      <c r="C323" t="s">
        <v>28</v>
      </c>
      <c r="D323">
        <v>40</v>
      </c>
      <c r="E323" t="s">
        <v>98</v>
      </c>
      <c r="F323" t="s">
        <v>36</v>
      </c>
      <c r="G323" s="1">
        <v>45390</v>
      </c>
      <c r="H323" t="s">
        <v>777</v>
      </c>
      <c r="I323" t="s">
        <v>375</v>
      </c>
      <c r="J323">
        <v>-3904383033</v>
      </c>
      <c r="K323" t="s">
        <v>45</v>
      </c>
      <c r="L323" t="b">
        <v>0</v>
      </c>
    </row>
    <row r="324" spans="1:12" x14ac:dyDescent="0.3">
      <c r="A324" t="s">
        <v>778</v>
      </c>
      <c r="B324" t="s">
        <v>40</v>
      </c>
      <c r="C324" t="s">
        <v>21</v>
      </c>
      <c r="D324">
        <v>35</v>
      </c>
      <c r="E324" t="s">
        <v>22</v>
      </c>
      <c r="F324" t="s">
        <v>30</v>
      </c>
      <c r="G324" s="1">
        <v>45600</v>
      </c>
      <c r="H324" t="s">
        <v>779</v>
      </c>
      <c r="I324" t="s">
        <v>280</v>
      </c>
      <c r="J324">
        <v>-1990970050</v>
      </c>
      <c r="K324" t="s">
        <v>19</v>
      </c>
      <c r="L324" t="b">
        <v>1</v>
      </c>
    </row>
    <row r="325" spans="1:12" x14ac:dyDescent="0.3">
      <c r="A325" t="s">
        <v>780</v>
      </c>
      <c r="B325" t="s">
        <v>35</v>
      </c>
      <c r="C325" t="s">
        <v>62</v>
      </c>
      <c r="E325" t="s">
        <v>113</v>
      </c>
      <c r="F325" t="s">
        <v>30</v>
      </c>
      <c r="G325" s="1">
        <v>44686</v>
      </c>
      <c r="H325" t="s">
        <v>781</v>
      </c>
      <c r="I325" t="s">
        <v>380</v>
      </c>
      <c r="J325">
        <v>-4054683564</v>
      </c>
      <c r="K325" t="s">
        <v>25</v>
      </c>
      <c r="L325" t="b">
        <v>0</v>
      </c>
    </row>
    <row r="326" spans="1:12" x14ac:dyDescent="0.3">
      <c r="A326" t="s">
        <v>782</v>
      </c>
      <c r="B326" t="s">
        <v>67</v>
      </c>
      <c r="C326" t="s">
        <v>106</v>
      </c>
      <c r="D326">
        <v>40</v>
      </c>
      <c r="E326" t="s">
        <v>126</v>
      </c>
      <c r="F326" t="s">
        <v>36</v>
      </c>
      <c r="G326" s="1">
        <v>44958</v>
      </c>
      <c r="H326" t="s">
        <v>783</v>
      </c>
      <c r="I326" t="s">
        <v>124</v>
      </c>
      <c r="J326">
        <v>-2156818208</v>
      </c>
      <c r="K326" t="s">
        <v>19</v>
      </c>
      <c r="L326" t="b">
        <v>0</v>
      </c>
    </row>
    <row r="327" spans="1:12" x14ac:dyDescent="0.3">
      <c r="A327" t="s">
        <v>784</v>
      </c>
      <c r="B327" t="s">
        <v>35</v>
      </c>
      <c r="C327" t="s">
        <v>106</v>
      </c>
      <c r="D327">
        <v>40</v>
      </c>
      <c r="E327" t="s">
        <v>386</v>
      </c>
      <c r="F327" t="s">
        <v>30</v>
      </c>
      <c r="G327" s="1">
        <v>44835</v>
      </c>
      <c r="H327" t="s">
        <v>785</v>
      </c>
      <c r="I327" t="s">
        <v>307</v>
      </c>
      <c r="J327">
        <v>-6790422710</v>
      </c>
      <c r="K327" t="s">
        <v>19</v>
      </c>
      <c r="L327" t="b">
        <v>1</v>
      </c>
    </row>
    <row r="328" spans="1:12" x14ac:dyDescent="0.3">
      <c r="A328" t="s">
        <v>786</v>
      </c>
      <c r="B328" t="s">
        <v>40</v>
      </c>
      <c r="C328" t="s">
        <v>41</v>
      </c>
      <c r="D328">
        <v>30</v>
      </c>
      <c r="E328" t="s">
        <v>29</v>
      </c>
      <c r="F328" t="s">
        <v>30</v>
      </c>
      <c r="G328" s="1">
        <v>44831</v>
      </c>
      <c r="H328" t="s">
        <v>787</v>
      </c>
      <c r="I328" t="s">
        <v>44</v>
      </c>
      <c r="J328">
        <v>-3322889856</v>
      </c>
      <c r="K328" t="s">
        <v>19</v>
      </c>
      <c r="L328" t="b">
        <v>0</v>
      </c>
    </row>
    <row r="329" spans="1:12" x14ac:dyDescent="0.3">
      <c r="A329" t="s">
        <v>788</v>
      </c>
      <c r="B329" t="s">
        <v>27</v>
      </c>
      <c r="C329" t="s">
        <v>14</v>
      </c>
      <c r="E329" t="s">
        <v>187</v>
      </c>
      <c r="F329" t="s">
        <v>30</v>
      </c>
      <c r="G329" s="1">
        <v>43930</v>
      </c>
      <c r="H329" t="s">
        <v>789</v>
      </c>
      <c r="I329" t="s">
        <v>191</v>
      </c>
      <c r="J329">
        <v>-2545960632</v>
      </c>
      <c r="K329" t="s">
        <v>19</v>
      </c>
      <c r="L329" t="b">
        <v>1</v>
      </c>
    </row>
    <row r="330" spans="1:12" x14ac:dyDescent="0.3">
      <c r="A330" t="s">
        <v>790</v>
      </c>
      <c r="B330" t="s">
        <v>67</v>
      </c>
      <c r="C330" t="s">
        <v>47</v>
      </c>
      <c r="D330">
        <v>25</v>
      </c>
      <c r="E330" t="s">
        <v>63</v>
      </c>
      <c r="F330" t="s">
        <v>16</v>
      </c>
      <c r="G330" s="1">
        <v>44278</v>
      </c>
      <c r="H330" t="s">
        <v>791</v>
      </c>
      <c r="I330" t="s">
        <v>118</v>
      </c>
      <c r="J330">
        <v>-9912971023</v>
      </c>
      <c r="K330" t="s">
        <v>45</v>
      </c>
      <c r="L330" t="b">
        <v>1</v>
      </c>
    </row>
    <row r="331" spans="1:12" x14ac:dyDescent="0.3">
      <c r="A331" t="s">
        <v>792</v>
      </c>
      <c r="B331" t="s">
        <v>75</v>
      </c>
      <c r="C331" t="s">
        <v>47</v>
      </c>
      <c r="D331">
        <v>40</v>
      </c>
      <c r="E331" t="s">
        <v>187</v>
      </c>
      <c r="F331" t="s">
        <v>30</v>
      </c>
      <c r="G331" s="1">
        <v>44960</v>
      </c>
      <c r="H331" t="s">
        <v>322</v>
      </c>
      <c r="I331" t="s">
        <v>300</v>
      </c>
      <c r="J331">
        <v>-8171752420</v>
      </c>
      <c r="K331" t="s">
        <v>25</v>
      </c>
      <c r="L331" t="b">
        <v>0</v>
      </c>
    </row>
    <row r="332" spans="1:12" x14ac:dyDescent="0.3">
      <c r="A332" t="s">
        <v>793</v>
      </c>
      <c r="B332" t="s">
        <v>35</v>
      </c>
      <c r="C332" t="s">
        <v>142</v>
      </c>
      <c r="E332" t="s">
        <v>165</v>
      </c>
      <c r="F332" t="s">
        <v>30</v>
      </c>
      <c r="G332" s="1">
        <v>45496</v>
      </c>
      <c r="H332" t="s">
        <v>794</v>
      </c>
      <c r="I332" t="s">
        <v>632</v>
      </c>
      <c r="J332">
        <v>-4955112746</v>
      </c>
      <c r="K332" t="s">
        <v>45</v>
      </c>
      <c r="L332" t="b">
        <v>0</v>
      </c>
    </row>
    <row r="333" spans="1:12" x14ac:dyDescent="0.3">
      <c r="A333" t="s">
        <v>795</v>
      </c>
      <c r="B333" t="s">
        <v>61</v>
      </c>
      <c r="C333" t="s">
        <v>142</v>
      </c>
      <c r="D333">
        <v>25</v>
      </c>
      <c r="E333" t="s">
        <v>110</v>
      </c>
      <c r="F333" t="s">
        <v>16</v>
      </c>
      <c r="G333" s="1">
        <v>44324</v>
      </c>
      <c r="H333" t="s">
        <v>796</v>
      </c>
      <c r="I333" t="s">
        <v>231</v>
      </c>
      <c r="J333">
        <v>-4721970545</v>
      </c>
      <c r="K333" t="s">
        <v>45</v>
      </c>
      <c r="L333" t="b">
        <v>0</v>
      </c>
    </row>
    <row r="334" spans="1:12" x14ac:dyDescent="0.3">
      <c r="A334" t="s">
        <v>797</v>
      </c>
      <c r="B334" t="s">
        <v>40</v>
      </c>
      <c r="C334" t="s">
        <v>21</v>
      </c>
      <c r="D334">
        <v>35</v>
      </c>
      <c r="E334" t="s">
        <v>22</v>
      </c>
      <c r="F334" t="s">
        <v>36</v>
      </c>
      <c r="G334" s="1">
        <v>44662</v>
      </c>
      <c r="H334" t="s">
        <v>798</v>
      </c>
      <c r="I334" t="s">
        <v>280</v>
      </c>
      <c r="J334">
        <v>-6927589550</v>
      </c>
      <c r="K334" t="s">
        <v>19</v>
      </c>
      <c r="L334" t="b">
        <v>0</v>
      </c>
    </row>
    <row r="335" spans="1:12" x14ac:dyDescent="0.3">
      <c r="A335" t="s">
        <v>799</v>
      </c>
      <c r="B335" t="s">
        <v>67</v>
      </c>
      <c r="C335" t="s">
        <v>41</v>
      </c>
      <c r="D335">
        <v>35</v>
      </c>
      <c r="E335" t="s">
        <v>278</v>
      </c>
      <c r="F335" t="s">
        <v>30</v>
      </c>
      <c r="G335" s="1">
        <v>45588</v>
      </c>
      <c r="H335" t="s">
        <v>800</v>
      </c>
      <c r="I335" t="s">
        <v>70</v>
      </c>
      <c r="J335">
        <v>-6874090379</v>
      </c>
      <c r="K335" t="s">
        <v>33</v>
      </c>
      <c r="L335" t="b">
        <v>0</v>
      </c>
    </row>
    <row r="336" spans="1:12" x14ac:dyDescent="0.3">
      <c r="A336" t="s">
        <v>801</v>
      </c>
      <c r="B336" t="s">
        <v>80</v>
      </c>
      <c r="C336" t="s">
        <v>106</v>
      </c>
      <c r="D336">
        <v>40</v>
      </c>
      <c r="E336" t="s">
        <v>309</v>
      </c>
      <c r="F336" t="s">
        <v>36</v>
      </c>
      <c r="G336" s="1">
        <v>43945</v>
      </c>
      <c r="H336" t="s">
        <v>802</v>
      </c>
      <c r="I336" t="s">
        <v>197</v>
      </c>
      <c r="J336">
        <v>-2146296135</v>
      </c>
      <c r="K336" t="s">
        <v>33</v>
      </c>
      <c r="L336" t="b">
        <v>0</v>
      </c>
    </row>
    <row r="337" spans="1:12" x14ac:dyDescent="0.3">
      <c r="A337" t="s">
        <v>803</v>
      </c>
      <c r="B337" t="s">
        <v>13</v>
      </c>
      <c r="C337" t="s">
        <v>47</v>
      </c>
      <c r="D337">
        <v>40</v>
      </c>
      <c r="E337" t="s">
        <v>116</v>
      </c>
      <c r="F337" t="s">
        <v>36</v>
      </c>
      <c r="G337" s="1">
        <v>44989</v>
      </c>
      <c r="H337" t="s">
        <v>804</v>
      </c>
      <c r="I337" t="s">
        <v>180</v>
      </c>
      <c r="J337">
        <v>-7157787111</v>
      </c>
      <c r="K337" t="s">
        <v>45</v>
      </c>
      <c r="L337" t="b">
        <v>0</v>
      </c>
    </row>
    <row r="338" spans="1:12" x14ac:dyDescent="0.3">
      <c r="A338" t="s">
        <v>805</v>
      </c>
      <c r="B338" t="s">
        <v>27</v>
      </c>
      <c r="C338" t="s">
        <v>28</v>
      </c>
      <c r="D338">
        <v>30</v>
      </c>
      <c r="E338" t="s">
        <v>29</v>
      </c>
      <c r="F338" t="s">
        <v>30</v>
      </c>
      <c r="G338" s="1">
        <v>44804</v>
      </c>
      <c r="H338" t="s">
        <v>806</v>
      </c>
      <c r="I338" t="s">
        <v>32</v>
      </c>
      <c r="J338">
        <v>-1663651558</v>
      </c>
      <c r="K338" t="s">
        <v>45</v>
      </c>
      <c r="L338" t="b">
        <v>1</v>
      </c>
    </row>
    <row r="339" spans="1:12" x14ac:dyDescent="0.3">
      <c r="A339" t="s">
        <v>807</v>
      </c>
      <c r="B339" t="s">
        <v>35</v>
      </c>
      <c r="C339" t="s">
        <v>41</v>
      </c>
      <c r="E339" t="s">
        <v>259</v>
      </c>
      <c r="F339" t="s">
        <v>16</v>
      </c>
      <c r="G339" s="1">
        <v>44198</v>
      </c>
      <c r="H339" t="s">
        <v>808</v>
      </c>
      <c r="I339" t="s">
        <v>167</v>
      </c>
      <c r="J339">
        <v>-7371470826</v>
      </c>
      <c r="K339" t="s">
        <v>19</v>
      </c>
      <c r="L339" t="b">
        <v>0</v>
      </c>
    </row>
    <row r="340" spans="1:12" x14ac:dyDescent="0.3">
      <c r="A340" t="s">
        <v>809</v>
      </c>
      <c r="B340" t="s">
        <v>67</v>
      </c>
      <c r="C340" t="s">
        <v>21</v>
      </c>
      <c r="E340" t="s">
        <v>29</v>
      </c>
      <c r="F340" t="s">
        <v>36</v>
      </c>
      <c r="G340" s="1">
        <v>43988</v>
      </c>
      <c r="H340" t="s">
        <v>810</v>
      </c>
      <c r="I340" t="s">
        <v>265</v>
      </c>
      <c r="J340">
        <v>-2359096055</v>
      </c>
      <c r="K340" t="s">
        <v>45</v>
      </c>
      <c r="L340" t="b">
        <v>1</v>
      </c>
    </row>
    <row r="341" spans="1:12" x14ac:dyDescent="0.3">
      <c r="A341" t="s">
        <v>811</v>
      </c>
      <c r="B341" t="s">
        <v>80</v>
      </c>
      <c r="C341" t="s">
        <v>21</v>
      </c>
      <c r="E341" t="s">
        <v>251</v>
      </c>
      <c r="F341" t="s">
        <v>30</v>
      </c>
      <c r="G341" s="1">
        <v>44117</v>
      </c>
      <c r="H341" t="s">
        <v>812</v>
      </c>
      <c r="I341" t="s">
        <v>240</v>
      </c>
      <c r="J341">
        <v>-7303064420</v>
      </c>
      <c r="K341" t="s">
        <v>19</v>
      </c>
      <c r="L341" t="b">
        <v>0</v>
      </c>
    </row>
    <row r="342" spans="1:12" x14ac:dyDescent="0.3">
      <c r="A342" t="s">
        <v>813</v>
      </c>
      <c r="B342" t="s">
        <v>13</v>
      </c>
      <c r="C342" t="s">
        <v>41</v>
      </c>
      <c r="E342" t="s">
        <v>15</v>
      </c>
      <c r="F342" t="s">
        <v>16</v>
      </c>
      <c r="G342" s="1">
        <v>44031</v>
      </c>
      <c r="H342" t="s">
        <v>814</v>
      </c>
      <c r="I342" t="s">
        <v>170</v>
      </c>
      <c r="J342">
        <v>-2146147682</v>
      </c>
      <c r="K342" t="s">
        <v>33</v>
      </c>
      <c r="L342" t="b">
        <v>0</v>
      </c>
    </row>
    <row r="343" spans="1:12" x14ac:dyDescent="0.3">
      <c r="A343" t="s">
        <v>815</v>
      </c>
      <c r="B343" t="s">
        <v>40</v>
      </c>
      <c r="C343" t="s">
        <v>21</v>
      </c>
      <c r="E343" t="s">
        <v>113</v>
      </c>
      <c r="F343" t="s">
        <v>36</v>
      </c>
      <c r="G343" s="1">
        <v>45415</v>
      </c>
      <c r="H343" t="s">
        <v>816</v>
      </c>
      <c r="I343" t="s">
        <v>280</v>
      </c>
      <c r="J343">
        <v>-4201654234</v>
      </c>
      <c r="K343" t="s">
        <v>33</v>
      </c>
      <c r="L343" t="b">
        <v>1</v>
      </c>
    </row>
    <row r="344" spans="1:12" x14ac:dyDescent="0.3">
      <c r="A344" t="s">
        <v>817</v>
      </c>
      <c r="B344" t="s">
        <v>75</v>
      </c>
      <c r="C344" t="s">
        <v>41</v>
      </c>
      <c r="D344">
        <v>40</v>
      </c>
      <c r="E344" t="s">
        <v>138</v>
      </c>
      <c r="F344" t="s">
        <v>30</v>
      </c>
      <c r="G344" s="1">
        <v>44599</v>
      </c>
      <c r="H344" t="s">
        <v>818</v>
      </c>
      <c r="I344" t="s">
        <v>78</v>
      </c>
      <c r="J344">
        <v>-6778265959</v>
      </c>
      <c r="K344" t="s">
        <v>25</v>
      </c>
      <c r="L344" t="b">
        <v>0</v>
      </c>
    </row>
    <row r="345" spans="1:12" x14ac:dyDescent="0.3">
      <c r="A345" t="s">
        <v>819</v>
      </c>
      <c r="B345" t="s">
        <v>80</v>
      </c>
      <c r="C345" t="s">
        <v>62</v>
      </c>
      <c r="D345">
        <v>25</v>
      </c>
      <c r="E345" t="s">
        <v>210</v>
      </c>
      <c r="F345" t="s">
        <v>16</v>
      </c>
      <c r="G345" s="1">
        <v>45291</v>
      </c>
      <c r="H345" t="s">
        <v>820</v>
      </c>
      <c r="I345" t="s">
        <v>150</v>
      </c>
      <c r="J345">
        <v>-8931992549</v>
      </c>
      <c r="K345" t="s">
        <v>33</v>
      </c>
      <c r="L345" t="b">
        <v>0</v>
      </c>
    </row>
    <row r="346" spans="1:12" x14ac:dyDescent="0.3">
      <c r="A346" t="s">
        <v>821</v>
      </c>
      <c r="B346" t="s">
        <v>80</v>
      </c>
      <c r="C346" t="s">
        <v>41</v>
      </c>
      <c r="D346">
        <v>30</v>
      </c>
      <c r="E346" t="s">
        <v>270</v>
      </c>
      <c r="F346" t="s">
        <v>36</v>
      </c>
      <c r="G346" s="1">
        <v>44569</v>
      </c>
      <c r="H346" t="s">
        <v>322</v>
      </c>
      <c r="I346" t="s">
        <v>83</v>
      </c>
      <c r="J346">
        <v>-2727516479</v>
      </c>
      <c r="K346" t="s">
        <v>45</v>
      </c>
      <c r="L346" t="b">
        <v>1</v>
      </c>
    </row>
    <row r="347" spans="1:12" x14ac:dyDescent="0.3">
      <c r="A347" t="s">
        <v>822</v>
      </c>
      <c r="B347" t="s">
        <v>35</v>
      </c>
      <c r="C347" t="s">
        <v>14</v>
      </c>
      <c r="D347">
        <v>40</v>
      </c>
      <c r="E347" t="s">
        <v>172</v>
      </c>
      <c r="F347" t="s">
        <v>16</v>
      </c>
      <c r="G347" s="1">
        <v>44102</v>
      </c>
      <c r="H347" t="s">
        <v>823</v>
      </c>
      <c r="I347" t="s">
        <v>38</v>
      </c>
      <c r="J347">
        <v>-7279103367</v>
      </c>
      <c r="K347" t="s">
        <v>33</v>
      </c>
      <c r="L347" t="b">
        <v>0</v>
      </c>
    </row>
    <row r="348" spans="1:12" x14ac:dyDescent="0.3">
      <c r="A348" t="s">
        <v>824</v>
      </c>
      <c r="B348" t="s">
        <v>80</v>
      </c>
      <c r="C348" t="s">
        <v>41</v>
      </c>
      <c r="D348">
        <v>25</v>
      </c>
      <c r="E348" t="s">
        <v>187</v>
      </c>
      <c r="F348" t="s">
        <v>36</v>
      </c>
      <c r="G348" s="1">
        <v>44966</v>
      </c>
      <c r="H348" t="s">
        <v>825</v>
      </c>
      <c r="I348" t="s">
        <v>83</v>
      </c>
      <c r="J348">
        <v>-2963533904</v>
      </c>
      <c r="K348" t="s">
        <v>19</v>
      </c>
      <c r="L348" t="b">
        <v>0</v>
      </c>
    </row>
    <row r="349" spans="1:12" x14ac:dyDescent="0.3">
      <c r="A349" t="s">
        <v>826</v>
      </c>
      <c r="B349" t="s">
        <v>40</v>
      </c>
      <c r="C349" t="s">
        <v>21</v>
      </c>
      <c r="D349">
        <v>40</v>
      </c>
      <c r="E349" t="s">
        <v>312</v>
      </c>
      <c r="F349" t="s">
        <v>36</v>
      </c>
      <c r="G349" s="1">
        <v>44625</v>
      </c>
      <c r="H349" t="s">
        <v>827</v>
      </c>
      <c r="I349" t="s">
        <v>280</v>
      </c>
      <c r="J349">
        <v>-5044817765</v>
      </c>
      <c r="K349" t="s">
        <v>33</v>
      </c>
      <c r="L349" t="b">
        <v>0</v>
      </c>
    </row>
    <row r="350" spans="1:12" x14ac:dyDescent="0.3">
      <c r="A350" t="s">
        <v>828</v>
      </c>
      <c r="B350" t="s">
        <v>67</v>
      </c>
      <c r="C350" t="s">
        <v>47</v>
      </c>
      <c r="E350" t="s">
        <v>126</v>
      </c>
      <c r="F350" t="s">
        <v>30</v>
      </c>
      <c r="G350" s="1">
        <v>44610</v>
      </c>
      <c r="H350" t="s">
        <v>829</v>
      </c>
      <c r="I350" t="s">
        <v>118</v>
      </c>
      <c r="J350">
        <v>-5586851275</v>
      </c>
      <c r="K350" t="s">
        <v>25</v>
      </c>
      <c r="L350" t="b">
        <v>1</v>
      </c>
    </row>
    <row r="351" spans="1:12" x14ac:dyDescent="0.3">
      <c r="A351" t="s">
        <v>830</v>
      </c>
      <c r="B351" t="s">
        <v>35</v>
      </c>
      <c r="C351" t="s">
        <v>14</v>
      </c>
      <c r="D351">
        <v>40</v>
      </c>
      <c r="E351" t="s">
        <v>120</v>
      </c>
      <c r="F351" t="s">
        <v>16</v>
      </c>
      <c r="G351" s="1">
        <v>44721</v>
      </c>
      <c r="H351" t="s">
        <v>831</v>
      </c>
      <c r="I351" t="s">
        <v>38</v>
      </c>
      <c r="J351">
        <v>-5289286645</v>
      </c>
      <c r="K351" t="s">
        <v>33</v>
      </c>
      <c r="L351" t="b">
        <v>0</v>
      </c>
    </row>
    <row r="352" spans="1:12" x14ac:dyDescent="0.3">
      <c r="A352" t="s">
        <v>832</v>
      </c>
      <c r="B352" t="s">
        <v>13</v>
      </c>
      <c r="C352" t="s">
        <v>21</v>
      </c>
      <c r="D352">
        <v>35</v>
      </c>
      <c r="E352" t="s">
        <v>76</v>
      </c>
      <c r="F352" t="s">
        <v>30</v>
      </c>
      <c r="G352" s="1">
        <v>45111</v>
      </c>
      <c r="H352" t="s">
        <v>833</v>
      </c>
      <c r="I352" t="s">
        <v>24</v>
      </c>
      <c r="J352">
        <v>-4911110960</v>
      </c>
      <c r="K352" t="s">
        <v>19</v>
      </c>
      <c r="L352" t="b">
        <v>0</v>
      </c>
    </row>
    <row r="353" spans="1:12" x14ac:dyDescent="0.3">
      <c r="A353" t="s">
        <v>834</v>
      </c>
      <c r="B353" t="s">
        <v>75</v>
      </c>
      <c r="C353" t="s">
        <v>142</v>
      </c>
      <c r="D353">
        <v>25</v>
      </c>
      <c r="E353" t="s">
        <v>138</v>
      </c>
      <c r="F353" t="s">
        <v>16</v>
      </c>
      <c r="G353" s="1">
        <v>44641</v>
      </c>
      <c r="H353" t="s">
        <v>835</v>
      </c>
      <c r="I353" t="s">
        <v>436</v>
      </c>
      <c r="J353">
        <v>-7981789045</v>
      </c>
      <c r="K353" t="s">
        <v>19</v>
      </c>
      <c r="L353" t="b">
        <v>0</v>
      </c>
    </row>
    <row r="354" spans="1:12" x14ac:dyDescent="0.3">
      <c r="A354" t="s">
        <v>836</v>
      </c>
      <c r="B354" t="s">
        <v>40</v>
      </c>
      <c r="C354" t="s">
        <v>142</v>
      </c>
      <c r="D354">
        <v>40</v>
      </c>
      <c r="E354" t="s">
        <v>251</v>
      </c>
      <c r="F354" t="s">
        <v>30</v>
      </c>
      <c r="G354" s="1">
        <v>45048</v>
      </c>
      <c r="H354" t="s">
        <v>837</v>
      </c>
      <c r="I354" t="s">
        <v>163</v>
      </c>
      <c r="J354">
        <v>-3378613714</v>
      </c>
      <c r="K354" t="s">
        <v>45</v>
      </c>
      <c r="L354" t="b">
        <v>0</v>
      </c>
    </row>
    <row r="355" spans="1:12" x14ac:dyDescent="0.3">
      <c r="A355" t="s">
        <v>838</v>
      </c>
      <c r="B355" t="s">
        <v>67</v>
      </c>
      <c r="C355" t="s">
        <v>47</v>
      </c>
      <c r="D355">
        <v>40</v>
      </c>
      <c r="E355" t="s">
        <v>76</v>
      </c>
      <c r="F355" t="s">
        <v>36</v>
      </c>
      <c r="G355" s="1">
        <v>44484</v>
      </c>
      <c r="H355" t="s">
        <v>839</v>
      </c>
      <c r="I355" t="s">
        <v>118</v>
      </c>
      <c r="J355">
        <v>-7660538443</v>
      </c>
      <c r="K355" t="s">
        <v>33</v>
      </c>
      <c r="L355" t="b">
        <v>1</v>
      </c>
    </row>
    <row r="356" spans="1:12" x14ac:dyDescent="0.3">
      <c r="A356" t="s">
        <v>840</v>
      </c>
      <c r="B356" t="s">
        <v>75</v>
      </c>
      <c r="C356" t="s">
        <v>47</v>
      </c>
      <c r="E356" t="s">
        <v>138</v>
      </c>
      <c r="F356" t="s">
        <v>36</v>
      </c>
      <c r="G356" s="1">
        <v>44405</v>
      </c>
      <c r="H356" t="s">
        <v>841</v>
      </c>
      <c r="I356" t="s">
        <v>300</v>
      </c>
      <c r="J356">
        <v>-4630600024</v>
      </c>
      <c r="K356" t="s">
        <v>19</v>
      </c>
      <c r="L356" t="b">
        <v>1</v>
      </c>
    </row>
    <row r="357" spans="1:12" x14ac:dyDescent="0.3">
      <c r="A357" t="s">
        <v>842</v>
      </c>
      <c r="B357" t="s">
        <v>13</v>
      </c>
      <c r="C357" t="s">
        <v>14</v>
      </c>
      <c r="E357" t="s">
        <v>102</v>
      </c>
      <c r="F357" t="s">
        <v>30</v>
      </c>
      <c r="G357" s="1">
        <v>44199</v>
      </c>
      <c r="H357" t="s">
        <v>843</v>
      </c>
      <c r="I357" t="s">
        <v>18</v>
      </c>
      <c r="J357">
        <v>-8955296385</v>
      </c>
      <c r="K357" t="s">
        <v>25</v>
      </c>
      <c r="L357" t="b">
        <v>0</v>
      </c>
    </row>
    <row r="358" spans="1:12" x14ac:dyDescent="0.3">
      <c r="A358" t="s">
        <v>844</v>
      </c>
      <c r="B358" t="s">
        <v>75</v>
      </c>
      <c r="C358" t="s">
        <v>62</v>
      </c>
      <c r="D358">
        <v>30</v>
      </c>
      <c r="E358" t="s">
        <v>81</v>
      </c>
      <c r="F358" t="s">
        <v>30</v>
      </c>
      <c r="G358" s="1">
        <v>43972</v>
      </c>
      <c r="H358" t="s">
        <v>845</v>
      </c>
      <c r="I358" t="s">
        <v>132</v>
      </c>
      <c r="J358">
        <v>-3960962625</v>
      </c>
      <c r="K358" t="s">
        <v>45</v>
      </c>
      <c r="L358" t="b">
        <v>0</v>
      </c>
    </row>
    <row r="359" spans="1:12" x14ac:dyDescent="0.3">
      <c r="A359" t="s">
        <v>846</v>
      </c>
      <c r="B359" t="s">
        <v>80</v>
      </c>
      <c r="C359" t="s">
        <v>47</v>
      </c>
      <c r="D359">
        <v>40</v>
      </c>
      <c r="E359" t="s">
        <v>29</v>
      </c>
      <c r="F359" t="s">
        <v>36</v>
      </c>
      <c r="G359" s="1">
        <v>44326</v>
      </c>
      <c r="H359" t="s">
        <v>847</v>
      </c>
      <c r="I359" t="s">
        <v>96</v>
      </c>
      <c r="J359">
        <v>-5826312818</v>
      </c>
      <c r="K359" t="s">
        <v>25</v>
      </c>
      <c r="L359" t="b">
        <v>1</v>
      </c>
    </row>
    <row r="360" spans="1:12" x14ac:dyDescent="0.3">
      <c r="A360" t="s">
        <v>848</v>
      </c>
      <c r="B360" t="s">
        <v>80</v>
      </c>
      <c r="C360" t="s">
        <v>142</v>
      </c>
      <c r="D360">
        <v>40</v>
      </c>
      <c r="E360" t="s">
        <v>42</v>
      </c>
      <c r="F360" t="s">
        <v>30</v>
      </c>
      <c r="G360" s="1">
        <v>44812</v>
      </c>
      <c r="H360" t="s">
        <v>849</v>
      </c>
      <c r="I360" t="s">
        <v>160</v>
      </c>
      <c r="J360">
        <v>-6482531105</v>
      </c>
      <c r="K360" t="s">
        <v>33</v>
      </c>
      <c r="L360" t="b">
        <v>1</v>
      </c>
    </row>
    <row r="361" spans="1:12" x14ac:dyDescent="0.3">
      <c r="A361" t="s">
        <v>850</v>
      </c>
      <c r="B361" t="s">
        <v>80</v>
      </c>
      <c r="C361" t="s">
        <v>41</v>
      </c>
      <c r="E361" t="s">
        <v>312</v>
      </c>
      <c r="F361" t="s">
        <v>30</v>
      </c>
      <c r="G361" s="1">
        <v>45494</v>
      </c>
      <c r="H361" t="s">
        <v>851</v>
      </c>
      <c r="I361" t="s">
        <v>83</v>
      </c>
      <c r="J361">
        <v>-920981959</v>
      </c>
      <c r="K361" t="s">
        <v>33</v>
      </c>
      <c r="L361" t="b">
        <v>0</v>
      </c>
    </row>
    <row r="362" spans="1:12" x14ac:dyDescent="0.3">
      <c r="A362" t="s">
        <v>852</v>
      </c>
      <c r="B362" t="s">
        <v>13</v>
      </c>
      <c r="C362" t="s">
        <v>21</v>
      </c>
      <c r="D362">
        <v>25</v>
      </c>
      <c r="E362" t="s">
        <v>29</v>
      </c>
      <c r="F362" t="s">
        <v>30</v>
      </c>
      <c r="G362" s="1">
        <v>44558</v>
      </c>
      <c r="H362" t="s">
        <v>853</v>
      </c>
      <c r="I362" t="s">
        <v>24</v>
      </c>
      <c r="J362">
        <v>-2752334382</v>
      </c>
      <c r="K362" t="s">
        <v>33</v>
      </c>
      <c r="L362" t="b">
        <v>1</v>
      </c>
    </row>
    <row r="363" spans="1:12" x14ac:dyDescent="0.3">
      <c r="A363" t="s">
        <v>854</v>
      </c>
      <c r="B363" t="s">
        <v>80</v>
      </c>
      <c r="C363" t="s">
        <v>142</v>
      </c>
      <c r="D363">
        <v>35</v>
      </c>
      <c r="E363" t="s">
        <v>22</v>
      </c>
      <c r="F363" t="s">
        <v>16</v>
      </c>
      <c r="G363" s="1">
        <v>44032</v>
      </c>
      <c r="H363" t="s">
        <v>855</v>
      </c>
      <c r="I363" t="s">
        <v>160</v>
      </c>
      <c r="J363">
        <v>-6404120910</v>
      </c>
      <c r="K363" t="s">
        <v>45</v>
      </c>
      <c r="L363" t="b">
        <v>0</v>
      </c>
    </row>
    <row r="364" spans="1:12" x14ac:dyDescent="0.3">
      <c r="A364" t="s">
        <v>856</v>
      </c>
      <c r="B364" t="s">
        <v>67</v>
      </c>
      <c r="C364" t="s">
        <v>142</v>
      </c>
      <c r="D364">
        <v>40</v>
      </c>
      <c r="E364" t="s">
        <v>251</v>
      </c>
      <c r="F364" t="s">
        <v>36</v>
      </c>
      <c r="G364" s="1">
        <v>45412</v>
      </c>
      <c r="H364" t="s">
        <v>857</v>
      </c>
      <c r="I364" t="s">
        <v>402</v>
      </c>
      <c r="J364">
        <v>-7911244210</v>
      </c>
      <c r="K364" t="s">
        <v>19</v>
      </c>
      <c r="L364" t="b">
        <v>1</v>
      </c>
    </row>
    <row r="365" spans="1:12" x14ac:dyDescent="0.3">
      <c r="A365" t="s">
        <v>858</v>
      </c>
      <c r="B365" t="s">
        <v>61</v>
      </c>
      <c r="C365" t="s">
        <v>62</v>
      </c>
      <c r="D365">
        <v>35</v>
      </c>
      <c r="E365" t="s">
        <v>42</v>
      </c>
      <c r="F365" t="s">
        <v>16</v>
      </c>
      <c r="G365" s="1">
        <v>44436</v>
      </c>
      <c r="H365" t="s">
        <v>859</v>
      </c>
      <c r="I365" t="s">
        <v>65</v>
      </c>
      <c r="J365">
        <v>-7536170616</v>
      </c>
      <c r="K365" t="s">
        <v>45</v>
      </c>
      <c r="L365" t="b">
        <v>1</v>
      </c>
    </row>
    <row r="366" spans="1:12" x14ac:dyDescent="0.3">
      <c r="A366" t="s">
        <v>860</v>
      </c>
      <c r="B366" t="s">
        <v>13</v>
      </c>
      <c r="C366" t="s">
        <v>14</v>
      </c>
      <c r="D366">
        <v>30</v>
      </c>
      <c r="E366" t="s">
        <v>172</v>
      </c>
      <c r="F366" t="s">
        <v>36</v>
      </c>
      <c r="G366" s="1">
        <v>44763</v>
      </c>
      <c r="H366" t="s">
        <v>861</v>
      </c>
      <c r="I366" t="s">
        <v>18</v>
      </c>
      <c r="J366">
        <v>-1366572239</v>
      </c>
      <c r="K366" t="s">
        <v>25</v>
      </c>
      <c r="L366" t="b">
        <v>1</v>
      </c>
    </row>
    <row r="367" spans="1:12" x14ac:dyDescent="0.3">
      <c r="A367" t="s">
        <v>862</v>
      </c>
      <c r="B367" t="s">
        <v>40</v>
      </c>
      <c r="C367" t="s">
        <v>14</v>
      </c>
      <c r="D367">
        <v>40</v>
      </c>
      <c r="E367" t="s">
        <v>42</v>
      </c>
      <c r="F367" t="s">
        <v>30</v>
      </c>
      <c r="G367" s="1">
        <v>45257</v>
      </c>
      <c r="H367" t="s">
        <v>863</v>
      </c>
      <c r="I367" t="s">
        <v>59</v>
      </c>
      <c r="J367">
        <v>-2990155798</v>
      </c>
      <c r="K367" t="s">
        <v>45</v>
      </c>
      <c r="L367" t="b">
        <v>1</v>
      </c>
    </row>
    <row r="368" spans="1:12" x14ac:dyDescent="0.3">
      <c r="A368" t="s">
        <v>864</v>
      </c>
      <c r="B368" t="s">
        <v>27</v>
      </c>
      <c r="C368" t="s">
        <v>106</v>
      </c>
      <c r="D368">
        <v>25</v>
      </c>
      <c r="E368" t="s">
        <v>312</v>
      </c>
      <c r="F368" t="s">
        <v>30</v>
      </c>
      <c r="G368" s="1">
        <v>44054</v>
      </c>
      <c r="H368" t="s">
        <v>865</v>
      </c>
      <c r="I368" t="s">
        <v>194</v>
      </c>
      <c r="J368">
        <v>-8028413907</v>
      </c>
      <c r="K368" t="s">
        <v>25</v>
      </c>
      <c r="L368" t="b">
        <v>0</v>
      </c>
    </row>
    <row r="369" spans="1:12" x14ac:dyDescent="0.3">
      <c r="A369" t="s">
        <v>866</v>
      </c>
      <c r="B369" t="s">
        <v>67</v>
      </c>
      <c r="C369" t="s">
        <v>62</v>
      </c>
      <c r="E369" t="s">
        <v>102</v>
      </c>
      <c r="F369" t="s">
        <v>16</v>
      </c>
      <c r="G369" s="1">
        <v>44508</v>
      </c>
      <c r="H369" t="s">
        <v>867</v>
      </c>
      <c r="I369" t="s">
        <v>257</v>
      </c>
      <c r="J369">
        <v>-882351304</v>
      </c>
      <c r="K369" t="s">
        <v>45</v>
      </c>
      <c r="L369" t="b">
        <v>1</v>
      </c>
    </row>
    <row r="370" spans="1:12" x14ac:dyDescent="0.3">
      <c r="A370" t="s">
        <v>868</v>
      </c>
      <c r="B370" t="s">
        <v>67</v>
      </c>
      <c r="C370" t="s">
        <v>41</v>
      </c>
      <c r="D370">
        <v>40</v>
      </c>
      <c r="E370" t="s">
        <v>63</v>
      </c>
      <c r="F370" t="s">
        <v>16</v>
      </c>
      <c r="G370" s="1">
        <v>45142</v>
      </c>
      <c r="H370" t="s">
        <v>869</v>
      </c>
      <c r="I370" t="s">
        <v>70</v>
      </c>
      <c r="J370">
        <v>-2312447314</v>
      </c>
      <c r="K370" t="s">
        <v>19</v>
      </c>
      <c r="L370" t="b">
        <v>1</v>
      </c>
    </row>
    <row r="371" spans="1:12" x14ac:dyDescent="0.3">
      <c r="A371" t="s">
        <v>870</v>
      </c>
      <c r="B371" t="s">
        <v>67</v>
      </c>
      <c r="C371" t="s">
        <v>14</v>
      </c>
      <c r="D371">
        <v>40</v>
      </c>
      <c r="E371" t="s">
        <v>87</v>
      </c>
      <c r="F371" t="s">
        <v>36</v>
      </c>
      <c r="G371" s="1">
        <v>43840</v>
      </c>
      <c r="H371" t="s">
        <v>871</v>
      </c>
      <c r="I371" t="s">
        <v>73</v>
      </c>
      <c r="J371">
        <v>-8477686341</v>
      </c>
      <c r="K371" t="s">
        <v>25</v>
      </c>
      <c r="L371" t="b">
        <v>0</v>
      </c>
    </row>
    <row r="372" spans="1:12" x14ac:dyDescent="0.3">
      <c r="A372" t="s">
        <v>872</v>
      </c>
      <c r="B372" t="s">
        <v>13</v>
      </c>
      <c r="C372" t="s">
        <v>21</v>
      </c>
      <c r="E372" t="s">
        <v>110</v>
      </c>
      <c r="F372" t="s">
        <v>16</v>
      </c>
      <c r="G372" s="1">
        <v>44580</v>
      </c>
      <c r="H372" t="s">
        <v>873</v>
      </c>
      <c r="I372" t="s">
        <v>24</v>
      </c>
      <c r="J372">
        <v>-3461994236</v>
      </c>
      <c r="K372" t="s">
        <v>33</v>
      </c>
      <c r="L372" t="b">
        <v>1</v>
      </c>
    </row>
    <row r="373" spans="1:12" x14ac:dyDescent="0.3">
      <c r="A373" t="s">
        <v>874</v>
      </c>
      <c r="B373" t="s">
        <v>35</v>
      </c>
      <c r="C373" t="s">
        <v>47</v>
      </c>
      <c r="D373">
        <v>40</v>
      </c>
      <c r="E373" t="s">
        <v>259</v>
      </c>
      <c r="F373" t="s">
        <v>36</v>
      </c>
      <c r="G373" s="1">
        <v>45053</v>
      </c>
      <c r="H373" t="s">
        <v>875</v>
      </c>
      <c r="I373" t="s">
        <v>346</v>
      </c>
      <c r="J373">
        <v>-6769459195</v>
      </c>
      <c r="K373" t="s">
        <v>33</v>
      </c>
      <c r="L373" t="b">
        <v>1</v>
      </c>
    </row>
    <row r="374" spans="1:12" x14ac:dyDescent="0.3">
      <c r="A374" t="s">
        <v>876</v>
      </c>
      <c r="B374" t="s">
        <v>13</v>
      </c>
      <c r="C374" t="s">
        <v>62</v>
      </c>
      <c r="D374">
        <v>35</v>
      </c>
      <c r="E374" t="s">
        <v>251</v>
      </c>
      <c r="F374" t="s">
        <v>30</v>
      </c>
      <c r="G374" s="1">
        <v>44184</v>
      </c>
      <c r="H374" t="s">
        <v>877</v>
      </c>
      <c r="I374" t="s">
        <v>237</v>
      </c>
      <c r="J374">
        <v>-6395517207</v>
      </c>
      <c r="K374" t="s">
        <v>45</v>
      </c>
      <c r="L374" t="b">
        <v>0</v>
      </c>
    </row>
    <row r="375" spans="1:12" x14ac:dyDescent="0.3">
      <c r="A375" t="s">
        <v>878</v>
      </c>
      <c r="B375" t="s">
        <v>35</v>
      </c>
      <c r="C375" t="s">
        <v>47</v>
      </c>
      <c r="E375" t="s">
        <v>48</v>
      </c>
      <c r="F375" t="s">
        <v>30</v>
      </c>
      <c r="G375" s="1">
        <v>44105</v>
      </c>
      <c r="H375" t="s">
        <v>879</v>
      </c>
      <c r="I375" t="s">
        <v>346</v>
      </c>
      <c r="J375">
        <v>-4964985600</v>
      </c>
      <c r="K375" t="s">
        <v>33</v>
      </c>
      <c r="L375" t="b">
        <v>1</v>
      </c>
    </row>
    <row r="376" spans="1:12" x14ac:dyDescent="0.3">
      <c r="A376" t="s">
        <v>880</v>
      </c>
      <c r="B376" t="s">
        <v>13</v>
      </c>
      <c r="C376" t="s">
        <v>142</v>
      </c>
      <c r="D376">
        <v>30</v>
      </c>
      <c r="E376" t="s">
        <v>175</v>
      </c>
      <c r="F376" t="s">
        <v>16</v>
      </c>
      <c r="G376" s="1">
        <v>44877</v>
      </c>
      <c r="H376" t="s">
        <v>881</v>
      </c>
      <c r="I376" t="s">
        <v>144</v>
      </c>
      <c r="J376">
        <v>-2562531354</v>
      </c>
      <c r="K376" t="s">
        <v>25</v>
      </c>
      <c r="L376" t="b">
        <v>0</v>
      </c>
    </row>
    <row r="377" spans="1:12" x14ac:dyDescent="0.3">
      <c r="A377" t="s">
        <v>882</v>
      </c>
      <c r="B377" t="s">
        <v>80</v>
      </c>
      <c r="C377" t="s">
        <v>21</v>
      </c>
      <c r="D377">
        <v>40</v>
      </c>
      <c r="E377" t="s">
        <v>244</v>
      </c>
      <c r="F377" t="s">
        <v>30</v>
      </c>
      <c r="G377" s="1">
        <v>44931</v>
      </c>
      <c r="H377" t="s">
        <v>883</v>
      </c>
      <c r="I377" t="s">
        <v>240</v>
      </c>
      <c r="J377">
        <v>-2510505378</v>
      </c>
      <c r="K377" t="s">
        <v>33</v>
      </c>
      <c r="L377" t="b">
        <v>0</v>
      </c>
    </row>
    <row r="378" spans="1:12" x14ac:dyDescent="0.3">
      <c r="A378" t="s">
        <v>884</v>
      </c>
      <c r="B378" t="s">
        <v>61</v>
      </c>
      <c r="C378" t="s">
        <v>21</v>
      </c>
      <c r="E378" t="s">
        <v>244</v>
      </c>
      <c r="F378" t="s">
        <v>36</v>
      </c>
      <c r="G378" s="1">
        <v>44118</v>
      </c>
      <c r="H378" t="s">
        <v>885</v>
      </c>
      <c r="I378" t="s">
        <v>147</v>
      </c>
      <c r="J378">
        <v>-5381649382</v>
      </c>
      <c r="K378" t="s">
        <v>19</v>
      </c>
      <c r="L378" t="b">
        <v>0</v>
      </c>
    </row>
    <row r="379" spans="1:12" x14ac:dyDescent="0.3">
      <c r="A379" t="s">
        <v>886</v>
      </c>
      <c r="B379" t="s">
        <v>27</v>
      </c>
      <c r="C379" t="s">
        <v>142</v>
      </c>
      <c r="D379">
        <v>35</v>
      </c>
      <c r="E379" t="s">
        <v>42</v>
      </c>
      <c r="F379" t="s">
        <v>16</v>
      </c>
      <c r="G379" s="1">
        <v>44230</v>
      </c>
      <c r="H379" t="s">
        <v>887</v>
      </c>
      <c r="I379" t="s">
        <v>217</v>
      </c>
      <c r="J379">
        <v>-1849196654</v>
      </c>
      <c r="K379" t="s">
        <v>19</v>
      </c>
      <c r="L379" t="b">
        <v>0</v>
      </c>
    </row>
    <row r="380" spans="1:12" x14ac:dyDescent="0.3">
      <c r="A380" t="s">
        <v>888</v>
      </c>
      <c r="B380" t="s">
        <v>75</v>
      </c>
      <c r="C380" t="s">
        <v>62</v>
      </c>
      <c r="D380">
        <v>40</v>
      </c>
      <c r="E380" t="s">
        <v>270</v>
      </c>
      <c r="F380" t="s">
        <v>36</v>
      </c>
      <c r="G380" s="1">
        <v>45285</v>
      </c>
      <c r="H380" t="s">
        <v>889</v>
      </c>
      <c r="I380" t="s">
        <v>132</v>
      </c>
      <c r="J380">
        <v>-3307704610</v>
      </c>
      <c r="K380" t="s">
        <v>45</v>
      </c>
      <c r="L380" t="b">
        <v>1</v>
      </c>
    </row>
    <row r="381" spans="1:12" x14ac:dyDescent="0.3">
      <c r="A381" t="s">
        <v>890</v>
      </c>
      <c r="B381" t="s">
        <v>13</v>
      </c>
      <c r="C381" t="s">
        <v>142</v>
      </c>
      <c r="E381" t="s">
        <v>68</v>
      </c>
      <c r="F381" t="s">
        <v>36</v>
      </c>
      <c r="G381" s="1">
        <v>43897</v>
      </c>
      <c r="H381" t="s">
        <v>891</v>
      </c>
      <c r="I381" t="s">
        <v>144</v>
      </c>
      <c r="J381">
        <v>-7295963903</v>
      </c>
      <c r="K381" t="s">
        <v>25</v>
      </c>
      <c r="L381" t="b">
        <v>0</v>
      </c>
    </row>
    <row r="382" spans="1:12" x14ac:dyDescent="0.3">
      <c r="A382" t="s">
        <v>892</v>
      </c>
      <c r="B382" t="s">
        <v>61</v>
      </c>
      <c r="C382" t="s">
        <v>47</v>
      </c>
      <c r="D382">
        <v>40</v>
      </c>
      <c r="E382" t="s">
        <v>259</v>
      </c>
      <c r="F382" t="s">
        <v>36</v>
      </c>
      <c r="G382" s="1">
        <v>44956</v>
      </c>
      <c r="H382" t="s">
        <v>893</v>
      </c>
      <c r="I382" t="s">
        <v>100</v>
      </c>
      <c r="J382">
        <v>-907426087</v>
      </c>
      <c r="K382" t="s">
        <v>19</v>
      </c>
      <c r="L382" t="b">
        <v>1</v>
      </c>
    </row>
    <row r="383" spans="1:12" x14ac:dyDescent="0.3">
      <c r="A383" t="s">
        <v>894</v>
      </c>
      <c r="B383" t="s">
        <v>35</v>
      </c>
      <c r="C383" t="s">
        <v>106</v>
      </c>
      <c r="E383" t="s">
        <v>229</v>
      </c>
      <c r="F383" t="s">
        <v>16</v>
      </c>
      <c r="G383" s="1">
        <v>45387</v>
      </c>
      <c r="H383" t="s">
        <v>895</v>
      </c>
      <c r="I383" t="s">
        <v>307</v>
      </c>
      <c r="J383">
        <v>-501716444</v>
      </c>
      <c r="K383" t="s">
        <v>19</v>
      </c>
      <c r="L383" t="b">
        <v>1</v>
      </c>
    </row>
    <row r="384" spans="1:12" x14ac:dyDescent="0.3">
      <c r="A384" t="s">
        <v>896</v>
      </c>
      <c r="B384" t="s">
        <v>80</v>
      </c>
      <c r="C384" t="s">
        <v>21</v>
      </c>
      <c r="D384">
        <v>25</v>
      </c>
      <c r="E384" t="s">
        <v>386</v>
      </c>
      <c r="F384" t="s">
        <v>16</v>
      </c>
      <c r="G384" s="1">
        <v>44440</v>
      </c>
      <c r="H384" t="s">
        <v>897</v>
      </c>
      <c r="I384" t="s">
        <v>240</v>
      </c>
      <c r="J384">
        <v>-5618579063</v>
      </c>
      <c r="K384" t="s">
        <v>25</v>
      </c>
      <c r="L384" t="b">
        <v>1</v>
      </c>
    </row>
    <row r="385" spans="1:12" x14ac:dyDescent="0.3">
      <c r="A385" t="s">
        <v>898</v>
      </c>
      <c r="B385" t="s">
        <v>35</v>
      </c>
      <c r="C385" t="s">
        <v>28</v>
      </c>
      <c r="D385">
        <v>35</v>
      </c>
      <c r="E385" t="s">
        <v>42</v>
      </c>
      <c r="F385" t="s">
        <v>16</v>
      </c>
      <c r="G385" s="1">
        <v>45419</v>
      </c>
      <c r="H385" t="s">
        <v>899</v>
      </c>
      <c r="I385" t="s">
        <v>323</v>
      </c>
      <c r="J385">
        <v>-7715910299</v>
      </c>
      <c r="K385" t="s">
        <v>33</v>
      </c>
      <c r="L385" t="b">
        <v>1</v>
      </c>
    </row>
    <row r="386" spans="1:12" x14ac:dyDescent="0.3">
      <c r="A386" t="s">
        <v>900</v>
      </c>
      <c r="B386" t="s">
        <v>40</v>
      </c>
      <c r="C386" t="s">
        <v>28</v>
      </c>
      <c r="E386" t="s">
        <v>270</v>
      </c>
      <c r="F386" t="s">
        <v>16</v>
      </c>
      <c r="G386" s="1">
        <v>45092</v>
      </c>
      <c r="H386" t="s">
        <v>901</v>
      </c>
      <c r="I386" t="s">
        <v>53</v>
      </c>
      <c r="J386">
        <v>-2156321357</v>
      </c>
      <c r="K386" t="s">
        <v>33</v>
      </c>
      <c r="L386" t="b">
        <v>1</v>
      </c>
    </row>
    <row r="387" spans="1:12" x14ac:dyDescent="0.3">
      <c r="A387" t="s">
        <v>902</v>
      </c>
      <c r="B387" t="s">
        <v>67</v>
      </c>
      <c r="C387" t="s">
        <v>47</v>
      </c>
      <c r="D387">
        <v>25</v>
      </c>
      <c r="E387" t="s">
        <v>210</v>
      </c>
      <c r="F387" t="s">
        <v>30</v>
      </c>
      <c r="G387" s="1">
        <v>44406</v>
      </c>
      <c r="H387" t="s">
        <v>903</v>
      </c>
      <c r="I387" t="s">
        <v>118</v>
      </c>
      <c r="J387">
        <v>-40104144</v>
      </c>
      <c r="K387" t="s">
        <v>45</v>
      </c>
      <c r="L387" t="b">
        <v>1</v>
      </c>
    </row>
    <row r="388" spans="1:12" x14ac:dyDescent="0.3">
      <c r="A388" t="s">
        <v>904</v>
      </c>
      <c r="B388" t="s">
        <v>35</v>
      </c>
      <c r="C388" t="s">
        <v>41</v>
      </c>
      <c r="D388">
        <v>35</v>
      </c>
      <c r="E388" t="s">
        <v>210</v>
      </c>
      <c r="F388" t="s">
        <v>30</v>
      </c>
      <c r="G388" s="1">
        <v>45222</v>
      </c>
      <c r="H388" t="s">
        <v>905</v>
      </c>
      <c r="I388" t="s">
        <v>167</v>
      </c>
      <c r="J388">
        <v>-9642297124</v>
      </c>
      <c r="K388" t="s">
        <v>33</v>
      </c>
      <c r="L388" t="b">
        <v>1</v>
      </c>
    </row>
    <row r="389" spans="1:12" x14ac:dyDescent="0.3">
      <c r="A389" t="s">
        <v>906</v>
      </c>
      <c r="B389" t="s">
        <v>80</v>
      </c>
      <c r="C389" t="s">
        <v>14</v>
      </c>
      <c r="D389">
        <v>25</v>
      </c>
      <c r="E389" t="s">
        <v>175</v>
      </c>
      <c r="F389" t="s">
        <v>16</v>
      </c>
      <c r="G389" s="1">
        <v>45267</v>
      </c>
      <c r="H389" t="s">
        <v>907</v>
      </c>
      <c r="I389" t="s">
        <v>276</v>
      </c>
      <c r="J389">
        <v>-2967188396</v>
      </c>
      <c r="K389" t="s">
        <v>25</v>
      </c>
      <c r="L389" t="b">
        <v>1</v>
      </c>
    </row>
    <row r="390" spans="1:12" x14ac:dyDescent="0.3">
      <c r="A390" t="s">
        <v>908</v>
      </c>
      <c r="B390" t="s">
        <v>40</v>
      </c>
      <c r="C390" t="s">
        <v>142</v>
      </c>
      <c r="D390">
        <v>30</v>
      </c>
      <c r="E390" t="s">
        <v>270</v>
      </c>
      <c r="F390" t="s">
        <v>36</v>
      </c>
      <c r="G390" s="1">
        <v>44122</v>
      </c>
      <c r="H390" t="s">
        <v>909</v>
      </c>
      <c r="I390" t="s">
        <v>163</v>
      </c>
      <c r="J390">
        <v>-7457314414</v>
      </c>
      <c r="K390" t="s">
        <v>19</v>
      </c>
      <c r="L390" t="b">
        <v>1</v>
      </c>
    </row>
    <row r="391" spans="1:12" x14ac:dyDescent="0.3">
      <c r="A391" t="s">
        <v>910</v>
      </c>
      <c r="B391" t="s">
        <v>80</v>
      </c>
      <c r="C391" t="s">
        <v>142</v>
      </c>
      <c r="D391">
        <v>40</v>
      </c>
      <c r="E391" t="s">
        <v>22</v>
      </c>
      <c r="F391" t="s">
        <v>30</v>
      </c>
      <c r="G391" s="1">
        <v>45458</v>
      </c>
      <c r="H391" t="s">
        <v>911</v>
      </c>
      <c r="I391" t="s">
        <v>160</v>
      </c>
      <c r="J391">
        <v>-8331170302</v>
      </c>
      <c r="K391" t="s">
        <v>33</v>
      </c>
      <c r="L391" t="b">
        <v>1</v>
      </c>
    </row>
    <row r="392" spans="1:12" x14ac:dyDescent="0.3">
      <c r="A392" t="s">
        <v>912</v>
      </c>
      <c r="B392" t="s">
        <v>35</v>
      </c>
      <c r="C392" t="s">
        <v>41</v>
      </c>
      <c r="D392">
        <v>35</v>
      </c>
      <c r="E392" t="s">
        <v>130</v>
      </c>
      <c r="F392" t="s">
        <v>36</v>
      </c>
      <c r="G392" s="1">
        <v>45022</v>
      </c>
      <c r="H392" t="s">
        <v>913</v>
      </c>
      <c r="I392" t="s">
        <v>167</v>
      </c>
      <c r="J392">
        <v>-7637153987</v>
      </c>
      <c r="K392" t="s">
        <v>45</v>
      </c>
      <c r="L392" t="b">
        <v>0</v>
      </c>
    </row>
    <row r="393" spans="1:12" x14ac:dyDescent="0.3">
      <c r="A393" t="s">
        <v>914</v>
      </c>
      <c r="B393" t="s">
        <v>13</v>
      </c>
      <c r="C393" t="s">
        <v>41</v>
      </c>
      <c r="D393">
        <v>40</v>
      </c>
      <c r="E393" t="s">
        <v>386</v>
      </c>
      <c r="F393" t="s">
        <v>30</v>
      </c>
      <c r="G393" s="1">
        <v>44564</v>
      </c>
      <c r="H393" t="s">
        <v>915</v>
      </c>
      <c r="I393" t="s">
        <v>170</v>
      </c>
      <c r="J393">
        <v>-5472812355</v>
      </c>
      <c r="K393" t="s">
        <v>33</v>
      </c>
      <c r="L393" t="b">
        <v>0</v>
      </c>
    </row>
    <row r="394" spans="1:12" x14ac:dyDescent="0.3">
      <c r="A394" t="s">
        <v>916</v>
      </c>
      <c r="B394" t="s">
        <v>80</v>
      </c>
      <c r="C394" t="s">
        <v>47</v>
      </c>
      <c r="D394">
        <v>30</v>
      </c>
      <c r="E394" t="s">
        <v>267</v>
      </c>
      <c r="F394" t="s">
        <v>36</v>
      </c>
      <c r="G394" s="1">
        <v>44380</v>
      </c>
      <c r="H394" t="s">
        <v>917</v>
      </c>
      <c r="I394" t="s">
        <v>96</v>
      </c>
      <c r="J394">
        <v>-7983631461</v>
      </c>
      <c r="K394" t="s">
        <v>25</v>
      </c>
      <c r="L394" t="b">
        <v>0</v>
      </c>
    </row>
    <row r="395" spans="1:12" x14ac:dyDescent="0.3">
      <c r="A395" t="s">
        <v>918</v>
      </c>
      <c r="B395" t="s">
        <v>61</v>
      </c>
      <c r="C395" t="s">
        <v>47</v>
      </c>
      <c r="E395" t="s">
        <v>81</v>
      </c>
      <c r="F395" t="s">
        <v>30</v>
      </c>
      <c r="G395" s="1">
        <v>45392</v>
      </c>
      <c r="H395" t="s">
        <v>919</v>
      </c>
      <c r="I395" t="s">
        <v>100</v>
      </c>
      <c r="J395">
        <v>-4912711306</v>
      </c>
      <c r="K395" t="s">
        <v>45</v>
      </c>
      <c r="L395" t="b">
        <v>1</v>
      </c>
    </row>
    <row r="396" spans="1:12" x14ac:dyDescent="0.3">
      <c r="A396" t="s">
        <v>920</v>
      </c>
      <c r="B396" t="s">
        <v>75</v>
      </c>
      <c r="C396" t="s">
        <v>41</v>
      </c>
      <c r="D396">
        <v>25</v>
      </c>
      <c r="E396" t="s">
        <v>68</v>
      </c>
      <c r="F396" t="s">
        <v>36</v>
      </c>
      <c r="G396" s="1">
        <v>44765</v>
      </c>
      <c r="H396" t="s">
        <v>921</v>
      </c>
      <c r="I396" t="s">
        <v>78</v>
      </c>
      <c r="J396">
        <v>-2407875417</v>
      </c>
      <c r="K396" t="s">
        <v>33</v>
      </c>
      <c r="L396" t="b">
        <v>0</v>
      </c>
    </row>
    <row r="397" spans="1:12" x14ac:dyDescent="0.3">
      <c r="A397" t="s">
        <v>922</v>
      </c>
      <c r="B397" t="s">
        <v>67</v>
      </c>
      <c r="C397" t="s">
        <v>21</v>
      </c>
      <c r="D397">
        <v>30</v>
      </c>
      <c r="E397" t="s">
        <v>15</v>
      </c>
      <c r="F397" t="s">
        <v>16</v>
      </c>
      <c r="G397" s="1">
        <v>45621</v>
      </c>
      <c r="H397" t="s">
        <v>923</v>
      </c>
      <c r="I397" t="s">
        <v>265</v>
      </c>
      <c r="J397">
        <v>-1563268684</v>
      </c>
      <c r="K397" t="s">
        <v>45</v>
      </c>
      <c r="L397" t="b">
        <v>0</v>
      </c>
    </row>
    <row r="398" spans="1:12" x14ac:dyDescent="0.3">
      <c r="A398" t="s">
        <v>924</v>
      </c>
      <c r="B398" t="s">
        <v>40</v>
      </c>
      <c r="C398" t="s">
        <v>47</v>
      </c>
      <c r="D398">
        <v>35</v>
      </c>
      <c r="E398" t="s">
        <v>312</v>
      </c>
      <c r="F398" t="s">
        <v>30</v>
      </c>
      <c r="G398" s="1">
        <v>45159</v>
      </c>
      <c r="H398" t="s">
        <v>925</v>
      </c>
      <c r="I398" t="s">
        <v>214</v>
      </c>
      <c r="J398">
        <v>-745106633</v>
      </c>
      <c r="K398" t="s">
        <v>25</v>
      </c>
      <c r="L398" t="b">
        <v>0</v>
      </c>
    </row>
    <row r="399" spans="1:12" x14ac:dyDescent="0.3">
      <c r="A399" t="s">
        <v>926</v>
      </c>
      <c r="B399" t="s">
        <v>35</v>
      </c>
      <c r="C399" t="s">
        <v>106</v>
      </c>
      <c r="D399">
        <v>30</v>
      </c>
      <c r="E399" t="s">
        <v>116</v>
      </c>
      <c r="F399" t="s">
        <v>16</v>
      </c>
      <c r="G399" s="1">
        <v>45272</v>
      </c>
      <c r="H399" t="s">
        <v>927</v>
      </c>
      <c r="I399" t="s">
        <v>307</v>
      </c>
      <c r="J399">
        <v>-3629489785</v>
      </c>
      <c r="K399" t="s">
        <v>19</v>
      </c>
      <c r="L399" t="b">
        <v>1</v>
      </c>
    </row>
    <row r="400" spans="1:12" x14ac:dyDescent="0.3">
      <c r="A400" t="s">
        <v>928</v>
      </c>
      <c r="B400" t="s">
        <v>13</v>
      </c>
      <c r="C400" t="s">
        <v>47</v>
      </c>
      <c r="D400">
        <v>30</v>
      </c>
      <c r="E400" t="s">
        <v>126</v>
      </c>
      <c r="F400" t="s">
        <v>30</v>
      </c>
      <c r="G400" s="1">
        <v>45223</v>
      </c>
      <c r="H400" t="s">
        <v>322</v>
      </c>
      <c r="I400" t="s">
        <v>180</v>
      </c>
      <c r="J400">
        <v>-1031310093</v>
      </c>
      <c r="K400" t="s">
        <v>25</v>
      </c>
      <c r="L400" t="b">
        <v>1</v>
      </c>
    </row>
    <row r="401" spans="1:12" x14ac:dyDescent="0.3">
      <c r="A401" t="s">
        <v>929</v>
      </c>
      <c r="B401" t="s">
        <v>40</v>
      </c>
      <c r="C401" t="s">
        <v>142</v>
      </c>
      <c r="D401">
        <v>25</v>
      </c>
      <c r="E401" t="s">
        <v>116</v>
      </c>
      <c r="F401" t="s">
        <v>16</v>
      </c>
      <c r="G401" s="1">
        <v>44809</v>
      </c>
      <c r="H401" t="s">
        <v>930</v>
      </c>
      <c r="I401" t="s">
        <v>163</v>
      </c>
      <c r="J401">
        <v>-3181439665</v>
      </c>
      <c r="K401" t="s">
        <v>25</v>
      </c>
      <c r="L401" t="b">
        <v>1</v>
      </c>
    </row>
    <row r="402" spans="1:12" x14ac:dyDescent="0.3">
      <c r="A402" t="s">
        <v>931</v>
      </c>
      <c r="B402" t="s">
        <v>13</v>
      </c>
      <c r="C402" t="s">
        <v>47</v>
      </c>
      <c r="D402">
        <v>25</v>
      </c>
      <c r="E402" t="s">
        <v>172</v>
      </c>
      <c r="F402" t="s">
        <v>36</v>
      </c>
      <c r="G402" s="1">
        <v>44111</v>
      </c>
      <c r="H402" t="s">
        <v>932</v>
      </c>
      <c r="I402" t="s">
        <v>180</v>
      </c>
      <c r="J402">
        <v>-1347323548</v>
      </c>
      <c r="K402" t="s">
        <v>25</v>
      </c>
      <c r="L402" t="b">
        <v>1</v>
      </c>
    </row>
    <row r="403" spans="1:12" x14ac:dyDescent="0.3">
      <c r="A403" t="s">
        <v>933</v>
      </c>
      <c r="B403" t="s">
        <v>61</v>
      </c>
      <c r="C403" t="s">
        <v>21</v>
      </c>
      <c r="D403">
        <v>30</v>
      </c>
      <c r="E403" t="s">
        <v>110</v>
      </c>
      <c r="F403" t="s">
        <v>30</v>
      </c>
      <c r="G403" s="1">
        <v>43848</v>
      </c>
      <c r="H403" t="s">
        <v>934</v>
      </c>
      <c r="I403" t="s">
        <v>147</v>
      </c>
      <c r="J403">
        <v>-4012897431</v>
      </c>
      <c r="K403" t="s">
        <v>25</v>
      </c>
      <c r="L403" t="b">
        <v>0</v>
      </c>
    </row>
    <row r="404" spans="1:12" x14ac:dyDescent="0.3">
      <c r="A404" t="s">
        <v>935</v>
      </c>
      <c r="B404" t="s">
        <v>40</v>
      </c>
      <c r="C404" t="s">
        <v>41</v>
      </c>
      <c r="D404">
        <v>30</v>
      </c>
      <c r="E404" t="s">
        <v>386</v>
      </c>
      <c r="F404" t="s">
        <v>16</v>
      </c>
      <c r="G404" s="1">
        <v>44674</v>
      </c>
      <c r="H404" t="s">
        <v>936</v>
      </c>
      <c r="I404" t="s">
        <v>44</v>
      </c>
      <c r="J404">
        <v>-5122572075</v>
      </c>
      <c r="K404" t="s">
        <v>19</v>
      </c>
      <c r="L404" t="b">
        <v>0</v>
      </c>
    </row>
    <row r="405" spans="1:12" x14ac:dyDescent="0.3">
      <c r="A405" t="s">
        <v>937</v>
      </c>
      <c r="B405" t="s">
        <v>67</v>
      </c>
      <c r="C405" t="s">
        <v>142</v>
      </c>
      <c r="D405">
        <v>25</v>
      </c>
      <c r="E405" t="s">
        <v>68</v>
      </c>
      <c r="F405" t="s">
        <v>16</v>
      </c>
      <c r="G405" s="1">
        <v>45038</v>
      </c>
      <c r="H405" t="s">
        <v>938</v>
      </c>
      <c r="I405" t="s">
        <v>402</v>
      </c>
      <c r="J405">
        <v>-5024120956</v>
      </c>
      <c r="K405" t="s">
        <v>19</v>
      </c>
      <c r="L405" t="b">
        <v>0</v>
      </c>
    </row>
    <row r="406" spans="1:12" x14ac:dyDescent="0.3">
      <c r="A406" t="s">
        <v>939</v>
      </c>
      <c r="B406" t="s">
        <v>80</v>
      </c>
      <c r="C406" t="s">
        <v>47</v>
      </c>
      <c r="D406">
        <v>35</v>
      </c>
      <c r="E406" t="s">
        <v>233</v>
      </c>
      <c r="F406" t="s">
        <v>36</v>
      </c>
      <c r="G406" s="1">
        <v>45151</v>
      </c>
      <c r="H406" t="s">
        <v>940</v>
      </c>
      <c r="I406" t="s">
        <v>96</v>
      </c>
      <c r="J406">
        <v>-9073710093</v>
      </c>
      <c r="K406" t="s">
        <v>45</v>
      </c>
      <c r="L406" t="b">
        <v>0</v>
      </c>
    </row>
    <row r="407" spans="1:12" x14ac:dyDescent="0.3">
      <c r="A407" t="s">
        <v>941</v>
      </c>
      <c r="B407" t="s">
        <v>35</v>
      </c>
      <c r="C407" t="s">
        <v>21</v>
      </c>
      <c r="D407">
        <v>25</v>
      </c>
      <c r="E407" t="s">
        <v>15</v>
      </c>
      <c r="F407" t="s">
        <v>16</v>
      </c>
      <c r="G407" s="1">
        <v>44891</v>
      </c>
      <c r="H407" t="s">
        <v>942</v>
      </c>
      <c r="I407" t="s">
        <v>183</v>
      </c>
      <c r="J407">
        <v>-3882211456</v>
      </c>
      <c r="K407" t="s">
        <v>33</v>
      </c>
      <c r="L407" t="b">
        <v>1</v>
      </c>
    </row>
    <row r="408" spans="1:12" x14ac:dyDescent="0.3">
      <c r="A408" t="s">
        <v>943</v>
      </c>
      <c r="B408" t="s">
        <v>80</v>
      </c>
      <c r="C408" t="s">
        <v>106</v>
      </c>
      <c r="D408">
        <v>35</v>
      </c>
      <c r="E408" t="s">
        <v>278</v>
      </c>
      <c r="F408" t="s">
        <v>16</v>
      </c>
      <c r="G408" s="1">
        <v>44844</v>
      </c>
      <c r="H408" t="s">
        <v>944</v>
      </c>
      <c r="I408" t="s">
        <v>197</v>
      </c>
      <c r="J408">
        <v>-7584745704</v>
      </c>
      <c r="K408" t="s">
        <v>19</v>
      </c>
      <c r="L408" t="b">
        <v>1</v>
      </c>
    </row>
    <row r="409" spans="1:12" x14ac:dyDescent="0.3">
      <c r="A409" t="s">
        <v>945</v>
      </c>
      <c r="B409" t="s">
        <v>13</v>
      </c>
      <c r="C409" t="s">
        <v>47</v>
      </c>
      <c r="E409" t="s">
        <v>312</v>
      </c>
      <c r="F409" t="s">
        <v>36</v>
      </c>
      <c r="G409" s="1">
        <v>44101</v>
      </c>
      <c r="H409" t="s">
        <v>946</v>
      </c>
      <c r="I409" t="s">
        <v>180</v>
      </c>
      <c r="J409">
        <v>-4589714801</v>
      </c>
      <c r="K409" t="s">
        <v>19</v>
      </c>
      <c r="L409" t="b">
        <v>1</v>
      </c>
    </row>
    <row r="410" spans="1:12" x14ac:dyDescent="0.3">
      <c r="A410" t="s">
        <v>947</v>
      </c>
      <c r="B410" t="s">
        <v>80</v>
      </c>
      <c r="C410" t="s">
        <v>21</v>
      </c>
      <c r="D410">
        <v>35</v>
      </c>
      <c r="E410" t="s">
        <v>259</v>
      </c>
      <c r="F410" t="s">
        <v>16</v>
      </c>
      <c r="G410" s="1">
        <v>45393</v>
      </c>
      <c r="H410" t="s">
        <v>948</v>
      </c>
      <c r="I410" t="s">
        <v>240</v>
      </c>
      <c r="J410">
        <v>-6325703964</v>
      </c>
      <c r="K410" t="s">
        <v>33</v>
      </c>
      <c r="L410" t="b">
        <v>0</v>
      </c>
    </row>
    <row r="411" spans="1:12" x14ac:dyDescent="0.3">
      <c r="A411" t="s">
        <v>949</v>
      </c>
      <c r="B411" t="s">
        <v>13</v>
      </c>
      <c r="C411" t="s">
        <v>106</v>
      </c>
      <c r="D411">
        <v>25</v>
      </c>
      <c r="E411" t="s">
        <v>48</v>
      </c>
      <c r="F411" t="s">
        <v>16</v>
      </c>
      <c r="G411" s="1">
        <v>44367</v>
      </c>
      <c r="H411" t="s">
        <v>950</v>
      </c>
      <c r="I411" t="s">
        <v>108</v>
      </c>
      <c r="J411">
        <v>-3136148781</v>
      </c>
      <c r="K411" t="s">
        <v>19</v>
      </c>
      <c r="L411" t="b">
        <v>1</v>
      </c>
    </row>
    <row r="412" spans="1:12" x14ac:dyDescent="0.3">
      <c r="A412" t="s">
        <v>951</v>
      </c>
      <c r="B412" t="s">
        <v>80</v>
      </c>
      <c r="C412" t="s">
        <v>41</v>
      </c>
      <c r="E412" t="s">
        <v>175</v>
      </c>
      <c r="F412" t="s">
        <v>30</v>
      </c>
      <c r="G412" s="1">
        <v>44857</v>
      </c>
      <c r="H412" t="s">
        <v>952</v>
      </c>
      <c r="I412" t="s">
        <v>83</v>
      </c>
      <c r="J412">
        <v>-4556964429</v>
      </c>
      <c r="K412" t="s">
        <v>25</v>
      </c>
      <c r="L412" t="b">
        <v>1</v>
      </c>
    </row>
    <row r="413" spans="1:12" x14ac:dyDescent="0.3">
      <c r="A413" t="s">
        <v>953</v>
      </c>
      <c r="B413" t="s">
        <v>80</v>
      </c>
      <c r="C413" t="s">
        <v>47</v>
      </c>
      <c r="D413">
        <v>25</v>
      </c>
      <c r="E413" t="s">
        <v>91</v>
      </c>
      <c r="F413" t="s">
        <v>30</v>
      </c>
      <c r="G413" s="1">
        <v>45092</v>
      </c>
      <c r="H413" t="s">
        <v>954</v>
      </c>
      <c r="I413" t="s">
        <v>96</v>
      </c>
      <c r="J413">
        <v>-9859167953</v>
      </c>
      <c r="K413" t="s">
        <v>25</v>
      </c>
      <c r="L413" t="b">
        <v>0</v>
      </c>
    </row>
    <row r="414" spans="1:12" x14ac:dyDescent="0.3">
      <c r="A414" t="s">
        <v>955</v>
      </c>
      <c r="B414" t="s">
        <v>13</v>
      </c>
      <c r="C414" t="s">
        <v>106</v>
      </c>
      <c r="E414" t="s">
        <v>233</v>
      </c>
      <c r="F414" t="s">
        <v>30</v>
      </c>
      <c r="G414" s="1">
        <v>44500</v>
      </c>
      <c r="H414" t="s">
        <v>956</v>
      </c>
      <c r="I414" t="s">
        <v>108</v>
      </c>
      <c r="J414">
        <v>-1072728497</v>
      </c>
      <c r="K414" t="s">
        <v>33</v>
      </c>
      <c r="L414" t="b">
        <v>0</v>
      </c>
    </row>
    <row r="415" spans="1:12" x14ac:dyDescent="0.3">
      <c r="A415" t="s">
        <v>957</v>
      </c>
      <c r="B415" t="s">
        <v>13</v>
      </c>
      <c r="C415" t="s">
        <v>142</v>
      </c>
      <c r="D415">
        <v>35</v>
      </c>
      <c r="E415" t="s">
        <v>270</v>
      </c>
      <c r="F415" t="s">
        <v>30</v>
      </c>
      <c r="G415" s="1">
        <v>45564</v>
      </c>
      <c r="H415" t="s">
        <v>958</v>
      </c>
      <c r="I415" t="s">
        <v>144</v>
      </c>
      <c r="J415">
        <v>-2474140702</v>
      </c>
      <c r="K415" t="s">
        <v>45</v>
      </c>
      <c r="L415" t="b">
        <v>1</v>
      </c>
    </row>
    <row r="416" spans="1:12" x14ac:dyDescent="0.3">
      <c r="A416" t="s">
        <v>959</v>
      </c>
      <c r="B416" t="s">
        <v>80</v>
      </c>
      <c r="C416" t="s">
        <v>41</v>
      </c>
      <c r="D416">
        <v>25</v>
      </c>
      <c r="E416" t="s">
        <v>309</v>
      </c>
      <c r="F416" t="s">
        <v>30</v>
      </c>
      <c r="G416" s="1">
        <v>43943</v>
      </c>
      <c r="H416" t="s">
        <v>960</v>
      </c>
      <c r="I416" t="s">
        <v>83</v>
      </c>
      <c r="J416">
        <v>-4910740649</v>
      </c>
      <c r="K416" t="s">
        <v>45</v>
      </c>
      <c r="L416" t="b">
        <v>1</v>
      </c>
    </row>
    <row r="417" spans="1:12" x14ac:dyDescent="0.3">
      <c r="A417" t="s">
        <v>961</v>
      </c>
      <c r="B417" t="s">
        <v>61</v>
      </c>
      <c r="C417" t="s">
        <v>142</v>
      </c>
      <c r="D417">
        <v>25</v>
      </c>
      <c r="E417" t="s">
        <v>98</v>
      </c>
      <c r="F417" t="s">
        <v>16</v>
      </c>
      <c r="G417" s="1">
        <v>45267</v>
      </c>
      <c r="H417" t="s">
        <v>962</v>
      </c>
      <c r="I417" t="s">
        <v>231</v>
      </c>
      <c r="J417">
        <v>-425488213</v>
      </c>
      <c r="K417" t="s">
        <v>33</v>
      </c>
      <c r="L417" t="b">
        <v>1</v>
      </c>
    </row>
    <row r="418" spans="1:12" x14ac:dyDescent="0.3">
      <c r="A418" t="s">
        <v>963</v>
      </c>
      <c r="B418" t="s">
        <v>40</v>
      </c>
      <c r="C418" t="s">
        <v>28</v>
      </c>
      <c r="E418" t="s">
        <v>259</v>
      </c>
      <c r="F418" t="s">
        <v>36</v>
      </c>
      <c r="G418" s="1">
        <v>44172</v>
      </c>
      <c r="H418" t="s">
        <v>964</v>
      </c>
      <c r="I418" t="s">
        <v>53</v>
      </c>
      <c r="J418">
        <v>-2369143074</v>
      </c>
      <c r="K418" t="s">
        <v>33</v>
      </c>
      <c r="L418" t="b">
        <v>1</v>
      </c>
    </row>
    <row r="419" spans="1:12" x14ac:dyDescent="0.3">
      <c r="A419" t="s">
        <v>965</v>
      </c>
      <c r="B419" t="s">
        <v>35</v>
      </c>
      <c r="C419" t="s">
        <v>62</v>
      </c>
      <c r="D419">
        <v>25</v>
      </c>
      <c r="E419" t="s">
        <v>312</v>
      </c>
      <c r="F419" t="s">
        <v>36</v>
      </c>
      <c r="G419" s="1">
        <v>44388</v>
      </c>
      <c r="H419" t="s">
        <v>966</v>
      </c>
      <c r="I419" t="s">
        <v>380</v>
      </c>
      <c r="J419">
        <v>-3666144941</v>
      </c>
      <c r="K419" t="s">
        <v>25</v>
      </c>
      <c r="L419" t="b">
        <v>1</v>
      </c>
    </row>
    <row r="420" spans="1:12" x14ac:dyDescent="0.3">
      <c r="A420" t="s">
        <v>967</v>
      </c>
      <c r="B420" t="s">
        <v>13</v>
      </c>
      <c r="C420" t="s">
        <v>47</v>
      </c>
      <c r="D420">
        <v>40</v>
      </c>
      <c r="E420" t="s">
        <v>309</v>
      </c>
      <c r="F420" t="s">
        <v>36</v>
      </c>
      <c r="G420" s="1">
        <v>43944</v>
      </c>
      <c r="H420" t="s">
        <v>968</v>
      </c>
      <c r="I420" t="s">
        <v>180</v>
      </c>
      <c r="J420">
        <v>-9659234267</v>
      </c>
      <c r="K420" t="s">
        <v>45</v>
      </c>
      <c r="L420" t="b">
        <v>1</v>
      </c>
    </row>
    <row r="421" spans="1:12" x14ac:dyDescent="0.3">
      <c r="A421" t="s">
        <v>969</v>
      </c>
      <c r="B421" t="s">
        <v>40</v>
      </c>
      <c r="C421" t="s">
        <v>106</v>
      </c>
      <c r="D421">
        <v>30</v>
      </c>
      <c r="E421" t="s">
        <v>165</v>
      </c>
      <c r="F421" t="s">
        <v>30</v>
      </c>
      <c r="G421" s="1">
        <v>45211</v>
      </c>
      <c r="H421" t="s">
        <v>970</v>
      </c>
      <c r="I421" t="s">
        <v>128</v>
      </c>
      <c r="J421">
        <v>-3441497825</v>
      </c>
      <c r="K421" t="s">
        <v>19</v>
      </c>
      <c r="L421" t="b">
        <v>0</v>
      </c>
    </row>
    <row r="422" spans="1:12" x14ac:dyDescent="0.3">
      <c r="A422" t="s">
        <v>971</v>
      </c>
      <c r="B422" t="s">
        <v>27</v>
      </c>
      <c r="C422" t="s">
        <v>62</v>
      </c>
      <c r="D422">
        <v>25</v>
      </c>
      <c r="E422" t="s">
        <v>68</v>
      </c>
      <c r="F422" t="s">
        <v>16</v>
      </c>
      <c r="G422" s="1">
        <v>44797</v>
      </c>
      <c r="H422" t="s">
        <v>972</v>
      </c>
      <c r="I422" t="s">
        <v>177</v>
      </c>
      <c r="J422">
        <v>-6128758574</v>
      </c>
      <c r="K422" t="s">
        <v>25</v>
      </c>
      <c r="L422" t="b">
        <v>0</v>
      </c>
    </row>
    <row r="423" spans="1:12" x14ac:dyDescent="0.3">
      <c r="A423" t="s">
        <v>973</v>
      </c>
      <c r="B423" t="s">
        <v>61</v>
      </c>
      <c r="C423" t="s">
        <v>62</v>
      </c>
      <c r="D423">
        <v>25</v>
      </c>
      <c r="E423" t="s">
        <v>259</v>
      </c>
      <c r="F423" t="s">
        <v>30</v>
      </c>
      <c r="G423" s="1">
        <v>45173</v>
      </c>
      <c r="H423" t="s">
        <v>974</v>
      </c>
      <c r="I423" t="s">
        <v>65</v>
      </c>
      <c r="J423">
        <v>-6766708060</v>
      </c>
      <c r="K423" t="s">
        <v>33</v>
      </c>
      <c r="L423" t="b">
        <v>0</v>
      </c>
    </row>
    <row r="424" spans="1:12" x14ac:dyDescent="0.3">
      <c r="A424" t="s">
        <v>975</v>
      </c>
      <c r="B424" t="s">
        <v>80</v>
      </c>
      <c r="C424" t="s">
        <v>106</v>
      </c>
      <c r="D424">
        <v>35</v>
      </c>
      <c r="E424" t="s">
        <v>165</v>
      </c>
      <c r="F424" t="s">
        <v>30</v>
      </c>
      <c r="G424" s="1">
        <v>44594</v>
      </c>
      <c r="H424" t="s">
        <v>976</v>
      </c>
      <c r="I424" t="s">
        <v>197</v>
      </c>
      <c r="J424">
        <v>-2943985297</v>
      </c>
      <c r="K424" t="s">
        <v>45</v>
      </c>
      <c r="L424" t="b">
        <v>1</v>
      </c>
    </row>
    <row r="425" spans="1:12" x14ac:dyDescent="0.3">
      <c r="A425" t="s">
        <v>977</v>
      </c>
      <c r="B425" t="s">
        <v>27</v>
      </c>
      <c r="C425" t="s">
        <v>41</v>
      </c>
      <c r="D425">
        <v>30</v>
      </c>
      <c r="E425" t="s">
        <v>102</v>
      </c>
      <c r="F425" t="s">
        <v>16</v>
      </c>
      <c r="G425" s="1">
        <v>44652</v>
      </c>
      <c r="H425" t="s">
        <v>978</v>
      </c>
      <c r="I425" t="s">
        <v>431</v>
      </c>
      <c r="J425">
        <v>-9406260786</v>
      </c>
      <c r="K425" t="s">
        <v>19</v>
      </c>
      <c r="L425" t="b">
        <v>0</v>
      </c>
    </row>
    <row r="426" spans="1:12" x14ac:dyDescent="0.3">
      <c r="A426" t="s">
        <v>979</v>
      </c>
      <c r="B426" t="s">
        <v>35</v>
      </c>
      <c r="C426" t="s">
        <v>47</v>
      </c>
      <c r="D426">
        <v>35</v>
      </c>
      <c r="E426" t="s">
        <v>165</v>
      </c>
      <c r="F426" t="s">
        <v>30</v>
      </c>
      <c r="G426" s="1">
        <v>44766</v>
      </c>
      <c r="H426" t="s">
        <v>980</v>
      </c>
      <c r="I426" t="s">
        <v>346</v>
      </c>
      <c r="J426">
        <v>-104159148</v>
      </c>
      <c r="K426" t="s">
        <v>19</v>
      </c>
      <c r="L426" t="b">
        <v>1</v>
      </c>
    </row>
    <row r="427" spans="1:12" x14ac:dyDescent="0.3">
      <c r="A427" t="s">
        <v>981</v>
      </c>
      <c r="B427" t="s">
        <v>35</v>
      </c>
      <c r="C427" t="s">
        <v>28</v>
      </c>
      <c r="E427" t="s">
        <v>244</v>
      </c>
      <c r="F427" t="s">
        <v>36</v>
      </c>
      <c r="G427" s="1">
        <v>45042</v>
      </c>
      <c r="H427" t="s">
        <v>982</v>
      </c>
      <c r="I427" t="s">
        <v>323</v>
      </c>
      <c r="J427">
        <v>-7501980381</v>
      </c>
      <c r="K427" t="s">
        <v>25</v>
      </c>
      <c r="L427" t="b">
        <v>1</v>
      </c>
    </row>
    <row r="428" spans="1:12" x14ac:dyDescent="0.3">
      <c r="A428" t="s">
        <v>983</v>
      </c>
      <c r="B428" t="s">
        <v>67</v>
      </c>
      <c r="C428" t="s">
        <v>142</v>
      </c>
      <c r="E428" t="s">
        <v>233</v>
      </c>
      <c r="F428" t="s">
        <v>16</v>
      </c>
      <c r="G428" s="1">
        <v>44670</v>
      </c>
      <c r="H428" t="s">
        <v>984</v>
      </c>
      <c r="I428" t="s">
        <v>402</v>
      </c>
      <c r="J428">
        <v>-8723244078</v>
      </c>
      <c r="K428" t="s">
        <v>45</v>
      </c>
      <c r="L428" t="b">
        <v>0</v>
      </c>
    </row>
    <row r="429" spans="1:12" x14ac:dyDescent="0.3">
      <c r="A429" t="s">
        <v>985</v>
      </c>
      <c r="B429" t="s">
        <v>27</v>
      </c>
      <c r="C429" t="s">
        <v>21</v>
      </c>
      <c r="D429">
        <v>35</v>
      </c>
      <c r="E429" t="s">
        <v>98</v>
      </c>
      <c r="F429" t="s">
        <v>36</v>
      </c>
      <c r="G429" s="1">
        <v>45569</v>
      </c>
      <c r="H429" t="s">
        <v>986</v>
      </c>
      <c r="I429" t="s">
        <v>93</v>
      </c>
      <c r="J429">
        <v>-3110291812</v>
      </c>
      <c r="K429" t="s">
        <v>45</v>
      </c>
      <c r="L429" t="b">
        <v>1</v>
      </c>
    </row>
    <row r="430" spans="1:12" x14ac:dyDescent="0.3">
      <c r="A430" t="s">
        <v>987</v>
      </c>
      <c r="B430" t="s">
        <v>67</v>
      </c>
      <c r="C430" t="s">
        <v>142</v>
      </c>
      <c r="E430" t="s">
        <v>244</v>
      </c>
      <c r="F430" t="s">
        <v>36</v>
      </c>
      <c r="G430" s="1">
        <v>43953</v>
      </c>
      <c r="H430" t="s">
        <v>988</v>
      </c>
      <c r="I430" t="s">
        <v>402</v>
      </c>
      <c r="J430">
        <v>-3170876013</v>
      </c>
      <c r="K430" t="s">
        <v>33</v>
      </c>
      <c r="L430" t="b">
        <v>1</v>
      </c>
    </row>
    <row r="431" spans="1:12" x14ac:dyDescent="0.3">
      <c r="A431" t="s">
        <v>989</v>
      </c>
      <c r="B431" t="s">
        <v>35</v>
      </c>
      <c r="C431" t="s">
        <v>21</v>
      </c>
      <c r="D431">
        <v>25</v>
      </c>
      <c r="E431" t="s">
        <v>68</v>
      </c>
      <c r="F431" t="s">
        <v>30</v>
      </c>
      <c r="G431" s="1">
        <v>44676</v>
      </c>
      <c r="H431" t="s">
        <v>990</v>
      </c>
      <c r="I431" t="s">
        <v>183</v>
      </c>
      <c r="J431">
        <v>-6723849790</v>
      </c>
      <c r="K431" t="s">
        <v>45</v>
      </c>
      <c r="L431" t="b">
        <v>0</v>
      </c>
    </row>
    <row r="432" spans="1:12" x14ac:dyDescent="0.3">
      <c r="A432" t="s">
        <v>991</v>
      </c>
      <c r="B432" t="s">
        <v>13</v>
      </c>
      <c r="C432" t="s">
        <v>142</v>
      </c>
      <c r="E432" t="s">
        <v>110</v>
      </c>
      <c r="F432" t="s">
        <v>16</v>
      </c>
      <c r="G432" s="1">
        <v>45136</v>
      </c>
      <c r="H432" t="s">
        <v>992</v>
      </c>
      <c r="I432" t="s">
        <v>144</v>
      </c>
      <c r="J432">
        <v>-6202232882</v>
      </c>
      <c r="K432" t="s">
        <v>45</v>
      </c>
      <c r="L432" t="b">
        <v>0</v>
      </c>
    </row>
    <row r="433" spans="1:12" x14ac:dyDescent="0.3">
      <c r="A433" t="s">
        <v>993</v>
      </c>
      <c r="B433" t="s">
        <v>27</v>
      </c>
      <c r="C433" t="s">
        <v>106</v>
      </c>
      <c r="D433">
        <v>40</v>
      </c>
      <c r="E433" t="s">
        <v>63</v>
      </c>
      <c r="F433" t="s">
        <v>16</v>
      </c>
      <c r="G433" s="1">
        <v>44428</v>
      </c>
      <c r="H433" t="s">
        <v>994</v>
      </c>
      <c r="I433" t="s">
        <v>194</v>
      </c>
      <c r="J433">
        <v>-7744197545</v>
      </c>
      <c r="K433" t="s">
        <v>25</v>
      </c>
      <c r="L433" t="b">
        <v>0</v>
      </c>
    </row>
    <row r="434" spans="1:12" x14ac:dyDescent="0.3">
      <c r="A434" t="s">
        <v>995</v>
      </c>
      <c r="B434" t="s">
        <v>80</v>
      </c>
      <c r="C434" t="s">
        <v>28</v>
      </c>
      <c r="D434">
        <v>35</v>
      </c>
      <c r="E434" t="s">
        <v>251</v>
      </c>
      <c r="F434" t="s">
        <v>36</v>
      </c>
      <c r="G434" s="1">
        <v>44309</v>
      </c>
      <c r="H434" t="s">
        <v>996</v>
      </c>
      <c r="I434" t="s">
        <v>89</v>
      </c>
      <c r="J434">
        <v>-6176620470</v>
      </c>
      <c r="K434" t="s">
        <v>45</v>
      </c>
      <c r="L434" t="b">
        <v>1</v>
      </c>
    </row>
    <row r="435" spans="1:12" x14ac:dyDescent="0.3">
      <c r="A435" t="s">
        <v>997</v>
      </c>
      <c r="B435" t="s">
        <v>13</v>
      </c>
      <c r="C435" t="s">
        <v>47</v>
      </c>
      <c r="D435">
        <v>30</v>
      </c>
      <c r="E435" t="s">
        <v>68</v>
      </c>
      <c r="F435" t="s">
        <v>36</v>
      </c>
      <c r="G435" s="1">
        <v>44785</v>
      </c>
      <c r="H435" t="s">
        <v>998</v>
      </c>
      <c r="I435" t="s">
        <v>180</v>
      </c>
      <c r="J435">
        <v>-9609409704</v>
      </c>
      <c r="K435" t="s">
        <v>19</v>
      </c>
      <c r="L435" t="b">
        <v>0</v>
      </c>
    </row>
    <row r="436" spans="1:12" x14ac:dyDescent="0.3">
      <c r="A436" t="s">
        <v>999</v>
      </c>
      <c r="B436" t="s">
        <v>40</v>
      </c>
      <c r="C436" t="s">
        <v>21</v>
      </c>
      <c r="D436">
        <v>30</v>
      </c>
      <c r="E436" t="s">
        <v>81</v>
      </c>
      <c r="F436" t="s">
        <v>36</v>
      </c>
      <c r="G436" s="1">
        <v>44373</v>
      </c>
      <c r="H436" t="s">
        <v>1000</v>
      </c>
      <c r="I436" t="s">
        <v>280</v>
      </c>
      <c r="J436">
        <v>-2774025882</v>
      </c>
      <c r="K436" t="s">
        <v>25</v>
      </c>
      <c r="L436" t="b">
        <v>0</v>
      </c>
    </row>
    <row r="437" spans="1:12" x14ac:dyDescent="0.3">
      <c r="A437" t="s">
        <v>1001</v>
      </c>
      <c r="B437" t="s">
        <v>35</v>
      </c>
      <c r="C437" t="s">
        <v>47</v>
      </c>
      <c r="E437" t="s">
        <v>68</v>
      </c>
      <c r="F437" t="s">
        <v>36</v>
      </c>
      <c r="G437" s="1">
        <v>44134</v>
      </c>
      <c r="H437" t="s">
        <v>1002</v>
      </c>
      <c r="I437" t="s">
        <v>346</v>
      </c>
      <c r="J437">
        <v>-5868122594</v>
      </c>
      <c r="K437" t="s">
        <v>25</v>
      </c>
      <c r="L437" t="b">
        <v>1</v>
      </c>
    </row>
    <row r="438" spans="1:12" x14ac:dyDescent="0.3">
      <c r="A438" t="s">
        <v>1003</v>
      </c>
      <c r="B438" t="s">
        <v>40</v>
      </c>
      <c r="C438" t="s">
        <v>47</v>
      </c>
      <c r="D438">
        <v>40</v>
      </c>
      <c r="E438" t="s">
        <v>48</v>
      </c>
      <c r="F438" t="s">
        <v>30</v>
      </c>
      <c r="G438" s="1">
        <v>44443</v>
      </c>
      <c r="H438" t="s">
        <v>1004</v>
      </c>
      <c r="I438" t="s">
        <v>214</v>
      </c>
      <c r="J438">
        <v>-7244617678</v>
      </c>
      <c r="K438" t="s">
        <v>33</v>
      </c>
      <c r="L438" t="b">
        <v>0</v>
      </c>
    </row>
    <row r="439" spans="1:12" x14ac:dyDescent="0.3">
      <c r="A439" t="s">
        <v>1005</v>
      </c>
      <c r="B439" t="s">
        <v>27</v>
      </c>
      <c r="C439" t="s">
        <v>47</v>
      </c>
      <c r="D439">
        <v>40</v>
      </c>
      <c r="E439" t="s">
        <v>309</v>
      </c>
      <c r="F439" t="s">
        <v>30</v>
      </c>
      <c r="G439" s="1">
        <v>44957</v>
      </c>
      <c r="H439" t="s">
        <v>1006</v>
      </c>
      <c r="I439" t="s">
        <v>50</v>
      </c>
      <c r="J439">
        <v>-2988425994</v>
      </c>
      <c r="K439" t="s">
        <v>45</v>
      </c>
      <c r="L439" t="b">
        <v>0</v>
      </c>
    </row>
    <row r="440" spans="1:12" x14ac:dyDescent="0.3">
      <c r="A440" t="s">
        <v>1007</v>
      </c>
      <c r="B440" t="s">
        <v>61</v>
      </c>
      <c r="C440" t="s">
        <v>14</v>
      </c>
      <c r="D440">
        <v>25</v>
      </c>
      <c r="E440" t="s">
        <v>187</v>
      </c>
      <c r="F440" t="s">
        <v>16</v>
      </c>
      <c r="G440" s="1">
        <v>44098</v>
      </c>
      <c r="H440" t="s">
        <v>1008</v>
      </c>
      <c r="I440" t="s">
        <v>200</v>
      </c>
      <c r="J440">
        <v>-9961002310</v>
      </c>
      <c r="K440" t="s">
        <v>33</v>
      </c>
      <c r="L440" t="b">
        <v>0</v>
      </c>
    </row>
    <row r="441" spans="1:12" x14ac:dyDescent="0.3">
      <c r="A441" t="s">
        <v>1009</v>
      </c>
      <c r="B441" t="s">
        <v>13</v>
      </c>
      <c r="C441" t="s">
        <v>41</v>
      </c>
      <c r="E441" t="s">
        <v>210</v>
      </c>
      <c r="F441" t="s">
        <v>16</v>
      </c>
      <c r="G441" s="1">
        <v>43875</v>
      </c>
      <c r="H441" t="s">
        <v>1010</v>
      </c>
      <c r="I441" t="s">
        <v>170</v>
      </c>
      <c r="J441">
        <v>-7753312660</v>
      </c>
      <c r="K441" t="s">
        <v>19</v>
      </c>
      <c r="L441" t="b">
        <v>1</v>
      </c>
    </row>
    <row r="442" spans="1:12" x14ac:dyDescent="0.3">
      <c r="A442" t="s">
        <v>1011</v>
      </c>
      <c r="B442" t="s">
        <v>75</v>
      </c>
      <c r="C442" t="s">
        <v>142</v>
      </c>
      <c r="D442">
        <v>30</v>
      </c>
      <c r="E442" t="s">
        <v>312</v>
      </c>
      <c r="F442" t="s">
        <v>16</v>
      </c>
      <c r="G442" s="1">
        <v>43918</v>
      </c>
      <c r="H442" t="s">
        <v>1012</v>
      </c>
      <c r="I442" t="s">
        <v>436</v>
      </c>
      <c r="J442">
        <v>-941017589</v>
      </c>
      <c r="K442" t="s">
        <v>25</v>
      </c>
      <c r="L442" t="b">
        <v>1</v>
      </c>
    </row>
    <row r="443" spans="1:12" x14ac:dyDescent="0.3">
      <c r="A443" t="s">
        <v>1013</v>
      </c>
      <c r="B443" t="s">
        <v>80</v>
      </c>
      <c r="C443" t="s">
        <v>47</v>
      </c>
      <c r="D443">
        <v>40</v>
      </c>
      <c r="E443" t="s">
        <v>22</v>
      </c>
      <c r="F443" t="s">
        <v>36</v>
      </c>
      <c r="G443" s="1">
        <v>45230</v>
      </c>
      <c r="H443" t="s">
        <v>1014</v>
      </c>
      <c r="I443" t="s">
        <v>96</v>
      </c>
      <c r="J443">
        <v>-2517629832</v>
      </c>
      <c r="K443" t="s">
        <v>25</v>
      </c>
      <c r="L443" t="b">
        <v>1</v>
      </c>
    </row>
    <row r="444" spans="1:12" x14ac:dyDescent="0.3">
      <c r="A444" t="s">
        <v>1015</v>
      </c>
      <c r="B444" t="s">
        <v>61</v>
      </c>
      <c r="C444" t="s">
        <v>142</v>
      </c>
      <c r="D444">
        <v>35</v>
      </c>
      <c r="E444" t="s">
        <v>251</v>
      </c>
      <c r="F444" t="s">
        <v>16</v>
      </c>
      <c r="G444" s="1">
        <v>43901</v>
      </c>
      <c r="H444" t="s">
        <v>1016</v>
      </c>
      <c r="I444" t="s">
        <v>231</v>
      </c>
      <c r="J444">
        <v>-4774332682</v>
      </c>
      <c r="K444" t="s">
        <v>25</v>
      </c>
      <c r="L444" t="b">
        <v>1</v>
      </c>
    </row>
    <row r="445" spans="1:12" x14ac:dyDescent="0.3">
      <c r="A445" t="s">
        <v>1017</v>
      </c>
      <c r="B445" t="s">
        <v>35</v>
      </c>
      <c r="C445" t="s">
        <v>47</v>
      </c>
      <c r="D445">
        <v>40</v>
      </c>
      <c r="E445" t="s">
        <v>309</v>
      </c>
      <c r="F445" t="s">
        <v>36</v>
      </c>
      <c r="G445" s="1">
        <v>43955</v>
      </c>
      <c r="H445" t="s">
        <v>1018</v>
      </c>
      <c r="I445" t="s">
        <v>346</v>
      </c>
      <c r="J445">
        <v>-1901302055</v>
      </c>
      <c r="K445" t="s">
        <v>19</v>
      </c>
      <c r="L445" t="b">
        <v>0</v>
      </c>
    </row>
    <row r="446" spans="1:12" x14ac:dyDescent="0.3">
      <c r="A446" t="s">
        <v>1019</v>
      </c>
      <c r="B446" t="s">
        <v>80</v>
      </c>
      <c r="C446" t="s">
        <v>21</v>
      </c>
      <c r="D446">
        <v>30</v>
      </c>
      <c r="E446" t="s">
        <v>91</v>
      </c>
      <c r="F446" t="s">
        <v>16</v>
      </c>
      <c r="G446" s="1">
        <v>45122</v>
      </c>
      <c r="H446" t="s">
        <v>1020</v>
      </c>
      <c r="I446" t="s">
        <v>240</v>
      </c>
      <c r="J446">
        <v>-9815287338</v>
      </c>
      <c r="K446" t="s">
        <v>19</v>
      </c>
      <c r="L446" t="b">
        <v>1</v>
      </c>
    </row>
    <row r="447" spans="1:12" x14ac:dyDescent="0.3">
      <c r="A447" t="s">
        <v>1021</v>
      </c>
      <c r="B447" t="s">
        <v>27</v>
      </c>
      <c r="C447" t="s">
        <v>41</v>
      </c>
      <c r="D447">
        <v>40</v>
      </c>
      <c r="E447" t="s">
        <v>15</v>
      </c>
      <c r="F447" t="s">
        <v>36</v>
      </c>
      <c r="G447" s="1">
        <v>44946</v>
      </c>
      <c r="H447" t="s">
        <v>1022</v>
      </c>
      <c r="I447" t="s">
        <v>431</v>
      </c>
      <c r="J447">
        <v>-7855982175</v>
      </c>
      <c r="K447" t="s">
        <v>33</v>
      </c>
      <c r="L447" t="b">
        <v>1</v>
      </c>
    </row>
    <row r="448" spans="1:12" x14ac:dyDescent="0.3">
      <c r="A448" t="s">
        <v>1023</v>
      </c>
      <c r="B448" t="s">
        <v>40</v>
      </c>
      <c r="C448" t="s">
        <v>41</v>
      </c>
      <c r="D448">
        <v>40</v>
      </c>
      <c r="E448" t="s">
        <v>76</v>
      </c>
      <c r="F448" t="s">
        <v>16</v>
      </c>
      <c r="G448" s="1">
        <v>44484</v>
      </c>
      <c r="H448" t="s">
        <v>1024</v>
      </c>
      <c r="I448" t="s">
        <v>44</v>
      </c>
      <c r="J448">
        <v>-6191284116</v>
      </c>
      <c r="K448" t="s">
        <v>33</v>
      </c>
      <c r="L448" t="b">
        <v>0</v>
      </c>
    </row>
    <row r="449" spans="1:12" x14ac:dyDescent="0.3">
      <c r="A449" t="s">
        <v>1025</v>
      </c>
      <c r="B449" t="s">
        <v>35</v>
      </c>
      <c r="C449" t="s">
        <v>106</v>
      </c>
      <c r="D449">
        <v>25</v>
      </c>
      <c r="E449" t="s">
        <v>309</v>
      </c>
      <c r="F449" t="s">
        <v>36</v>
      </c>
      <c r="G449" s="1">
        <v>45401</v>
      </c>
      <c r="H449" t="s">
        <v>1026</v>
      </c>
      <c r="I449" t="s">
        <v>307</v>
      </c>
      <c r="J449">
        <v>-3098503445</v>
      </c>
      <c r="K449" t="s">
        <v>33</v>
      </c>
      <c r="L449" t="b">
        <v>0</v>
      </c>
    </row>
    <row r="450" spans="1:12" x14ac:dyDescent="0.3">
      <c r="A450" t="s">
        <v>1027</v>
      </c>
      <c r="B450" t="s">
        <v>61</v>
      </c>
      <c r="C450" t="s">
        <v>14</v>
      </c>
      <c r="D450">
        <v>25</v>
      </c>
      <c r="E450" t="s">
        <v>29</v>
      </c>
      <c r="F450" t="s">
        <v>16</v>
      </c>
      <c r="G450" s="1">
        <v>44376</v>
      </c>
      <c r="H450" t="s">
        <v>1028</v>
      </c>
      <c r="I450" t="s">
        <v>200</v>
      </c>
      <c r="J450">
        <v>-5124189388</v>
      </c>
      <c r="K450" t="s">
        <v>45</v>
      </c>
      <c r="L450" t="b">
        <v>0</v>
      </c>
    </row>
    <row r="451" spans="1:12" x14ac:dyDescent="0.3">
      <c r="A451" t="s">
        <v>1029</v>
      </c>
      <c r="B451" t="s">
        <v>27</v>
      </c>
      <c r="C451" t="s">
        <v>106</v>
      </c>
      <c r="D451">
        <v>30</v>
      </c>
      <c r="E451" t="s">
        <v>87</v>
      </c>
      <c r="F451" t="s">
        <v>36</v>
      </c>
      <c r="G451" s="1">
        <v>45549</v>
      </c>
      <c r="H451" t="s">
        <v>1030</v>
      </c>
      <c r="I451" t="s">
        <v>194</v>
      </c>
      <c r="J451">
        <v>-8469081973</v>
      </c>
      <c r="K451" t="s">
        <v>25</v>
      </c>
      <c r="L451" t="b">
        <v>1</v>
      </c>
    </row>
    <row r="452" spans="1:12" x14ac:dyDescent="0.3">
      <c r="A452" t="s">
        <v>1031</v>
      </c>
      <c r="B452" t="s">
        <v>67</v>
      </c>
      <c r="C452" t="s">
        <v>106</v>
      </c>
      <c r="E452" t="s">
        <v>175</v>
      </c>
      <c r="F452" t="s">
        <v>30</v>
      </c>
      <c r="G452" s="1">
        <v>44565</v>
      </c>
      <c r="H452" t="s">
        <v>1032</v>
      </c>
      <c r="I452" t="s">
        <v>124</v>
      </c>
      <c r="J452">
        <v>-56435022</v>
      </c>
      <c r="K452" t="s">
        <v>25</v>
      </c>
      <c r="L452" t="b">
        <v>1</v>
      </c>
    </row>
    <row r="453" spans="1:12" x14ac:dyDescent="0.3">
      <c r="A453" t="s">
        <v>1033</v>
      </c>
      <c r="B453" t="s">
        <v>40</v>
      </c>
      <c r="C453" t="s">
        <v>106</v>
      </c>
      <c r="E453" t="s">
        <v>126</v>
      </c>
      <c r="F453" t="s">
        <v>30</v>
      </c>
      <c r="G453" s="1">
        <v>44216</v>
      </c>
      <c r="H453" t="s">
        <v>1034</v>
      </c>
      <c r="I453" t="s">
        <v>128</v>
      </c>
      <c r="J453">
        <v>-8503719904</v>
      </c>
      <c r="K453" t="s">
        <v>33</v>
      </c>
      <c r="L453" t="b">
        <v>1</v>
      </c>
    </row>
    <row r="454" spans="1:12" x14ac:dyDescent="0.3">
      <c r="A454" t="s">
        <v>1035</v>
      </c>
      <c r="B454" t="s">
        <v>75</v>
      </c>
      <c r="C454" t="s">
        <v>106</v>
      </c>
      <c r="E454" t="s">
        <v>76</v>
      </c>
      <c r="F454" t="s">
        <v>36</v>
      </c>
      <c r="G454" s="1">
        <v>43908</v>
      </c>
      <c r="H454" t="s">
        <v>1036</v>
      </c>
      <c r="I454" t="s">
        <v>153</v>
      </c>
      <c r="J454">
        <v>-1699187239</v>
      </c>
      <c r="K454" t="s">
        <v>25</v>
      </c>
      <c r="L454" t="b">
        <v>0</v>
      </c>
    </row>
    <row r="455" spans="1:12" x14ac:dyDescent="0.3">
      <c r="A455" t="s">
        <v>1037</v>
      </c>
      <c r="B455" t="s">
        <v>67</v>
      </c>
      <c r="C455" t="s">
        <v>106</v>
      </c>
      <c r="D455">
        <v>25</v>
      </c>
      <c r="E455" t="s">
        <v>87</v>
      </c>
      <c r="F455" t="s">
        <v>16</v>
      </c>
      <c r="G455" s="1">
        <v>44510</v>
      </c>
      <c r="H455" t="s">
        <v>1038</v>
      </c>
      <c r="I455" t="s">
        <v>124</v>
      </c>
      <c r="J455">
        <v>-1078356742</v>
      </c>
      <c r="K455" t="s">
        <v>33</v>
      </c>
      <c r="L455" t="b">
        <v>0</v>
      </c>
    </row>
    <row r="456" spans="1:12" x14ac:dyDescent="0.3">
      <c r="A456" t="s">
        <v>1039</v>
      </c>
      <c r="B456" t="s">
        <v>61</v>
      </c>
      <c r="C456" t="s">
        <v>28</v>
      </c>
      <c r="D456">
        <v>35</v>
      </c>
      <c r="E456" t="s">
        <v>63</v>
      </c>
      <c r="F456" t="s">
        <v>36</v>
      </c>
      <c r="G456" s="1">
        <v>43952</v>
      </c>
      <c r="H456" t="s">
        <v>1040</v>
      </c>
      <c r="I456" t="s">
        <v>140</v>
      </c>
      <c r="J456">
        <v>-3896086</v>
      </c>
      <c r="K456" t="s">
        <v>45</v>
      </c>
      <c r="L456" t="b">
        <v>1</v>
      </c>
    </row>
    <row r="457" spans="1:12" x14ac:dyDescent="0.3">
      <c r="A457" t="s">
        <v>1041</v>
      </c>
      <c r="B457" t="s">
        <v>61</v>
      </c>
      <c r="C457" t="s">
        <v>41</v>
      </c>
      <c r="D457">
        <v>25</v>
      </c>
      <c r="E457" t="s">
        <v>210</v>
      </c>
      <c r="F457" t="s">
        <v>16</v>
      </c>
      <c r="G457" s="1">
        <v>44596</v>
      </c>
      <c r="H457" t="s">
        <v>1042</v>
      </c>
      <c r="I457" t="s">
        <v>104</v>
      </c>
      <c r="J457">
        <v>-662668216</v>
      </c>
      <c r="K457" t="s">
        <v>45</v>
      </c>
      <c r="L457" t="b">
        <v>0</v>
      </c>
    </row>
    <row r="458" spans="1:12" x14ac:dyDescent="0.3">
      <c r="A458" t="s">
        <v>1043</v>
      </c>
      <c r="B458" t="s">
        <v>13</v>
      </c>
      <c r="C458" t="s">
        <v>106</v>
      </c>
      <c r="D458">
        <v>35</v>
      </c>
      <c r="E458" t="s">
        <v>172</v>
      </c>
      <c r="F458" t="s">
        <v>16</v>
      </c>
      <c r="G458" s="1">
        <v>44153</v>
      </c>
      <c r="H458" t="s">
        <v>1044</v>
      </c>
      <c r="I458" t="s">
        <v>108</v>
      </c>
      <c r="J458">
        <v>-1955356032</v>
      </c>
      <c r="K458" t="s">
        <v>19</v>
      </c>
      <c r="L458" t="b">
        <v>0</v>
      </c>
    </row>
    <row r="459" spans="1:12" x14ac:dyDescent="0.3">
      <c r="A459" t="s">
        <v>1045</v>
      </c>
      <c r="B459" t="s">
        <v>75</v>
      </c>
      <c r="C459" t="s">
        <v>47</v>
      </c>
      <c r="D459">
        <v>35</v>
      </c>
      <c r="E459" t="s">
        <v>29</v>
      </c>
      <c r="F459" t="s">
        <v>30</v>
      </c>
      <c r="G459" s="1">
        <v>45251</v>
      </c>
      <c r="H459" t="s">
        <v>1046</v>
      </c>
      <c r="I459" t="s">
        <v>300</v>
      </c>
      <c r="J459">
        <v>-1903689002</v>
      </c>
      <c r="K459" t="s">
        <v>45</v>
      </c>
      <c r="L459" t="b">
        <v>0</v>
      </c>
    </row>
    <row r="460" spans="1:12" x14ac:dyDescent="0.3">
      <c r="A460" t="s">
        <v>1047</v>
      </c>
      <c r="B460" t="s">
        <v>40</v>
      </c>
      <c r="C460" t="s">
        <v>41</v>
      </c>
      <c r="D460">
        <v>30</v>
      </c>
      <c r="E460" t="s">
        <v>91</v>
      </c>
      <c r="F460" t="s">
        <v>16</v>
      </c>
      <c r="G460" s="1">
        <v>44605</v>
      </c>
      <c r="H460" t="s">
        <v>1048</v>
      </c>
      <c r="I460" t="s">
        <v>44</v>
      </c>
      <c r="J460">
        <v>-102724054</v>
      </c>
      <c r="K460" t="s">
        <v>33</v>
      </c>
      <c r="L460" t="b">
        <v>1</v>
      </c>
    </row>
    <row r="461" spans="1:12" x14ac:dyDescent="0.3">
      <c r="A461" t="s">
        <v>1049</v>
      </c>
      <c r="B461" t="s">
        <v>61</v>
      </c>
      <c r="C461" t="s">
        <v>41</v>
      </c>
      <c r="D461">
        <v>30</v>
      </c>
      <c r="E461" t="s">
        <v>278</v>
      </c>
      <c r="F461" t="s">
        <v>30</v>
      </c>
      <c r="G461" s="1">
        <v>45004</v>
      </c>
      <c r="H461" t="s">
        <v>1050</v>
      </c>
      <c r="I461" t="s">
        <v>104</v>
      </c>
      <c r="J461">
        <v>-9342967110</v>
      </c>
      <c r="K461" t="s">
        <v>45</v>
      </c>
      <c r="L461" t="b">
        <v>0</v>
      </c>
    </row>
    <row r="462" spans="1:12" x14ac:dyDescent="0.3">
      <c r="A462" t="s">
        <v>1051</v>
      </c>
      <c r="B462" t="s">
        <v>27</v>
      </c>
      <c r="C462" t="s">
        <v>62</v>
      </c>
      <c r="D462">
        <v>30</v>
      </c>
      <c r="E462" t="s">
        <v>210</v>
      </c>
      <c r="F462" t="s">
        <v>30</v>
      </c>
      <c r="G462" s="1">
        <v>44283</v>
      </c>
      <c r="H462" t="s">
        <v>1052</v>
      </c>
      <c r="I462" t="s">
        <v>177</v>
      </c>
      <c r="J462">
        <v>-4837537457</v>
      </c>
      <c r="K462" t="s">
        <v>19</v>
      </c>
      <c r="L462" t="b">
        <v>0</v>
      </c>
    </row>
    <row r="463" spans="1:12" x14ac:dyDescent="0.3">
      <c r="A463" t="s">
        <v>1053</v>
      </c>
      <c r="B463" t="s">
        <v>75</v>
      </c>
      <c r="C463" t="s">
        <v>28</v>
      </c>
      <c r="D463">
        <v>30</v>
      </c>
      <c r="E463" t="s">
        <v>175</v>
      </c>
      <c r="F463" t="s">
        <v>16</v>
      </c>
      <c r="G463" s="1">
        <v>44318</v>
      </c>
      <c r="H463" t="s">
        <v>1054</v>
      </c>
      <c r="I463" t="s">
        <v>375</v>
      </c>
      <c r="J463">
        <v>-4384588104</v>
      </c>
      <c r="K463" t="s">
        <v>25</v>
      </c>
      <c r="L463" t="b">
        <v>1</v>
      </c>
    </row>
    <row r="464" spans="1:12" x14ac:dyDescent="0.3">
      <c r="A464" t="s">
        <v>1055</v>
      </c>
      <c r="B464" t="s">
        <v>13</v>
      </c>
      <c r="C464" t="s">
        <v>106</v>
      </c>
      <c r="D464">
        <v>35</v>
      </c>
      <c r="E464" t="s">
        <v>22</v>
      </c>
      <c r="F464" t="s">
        <v>36</v>
      </c>
      <c r="G464" s="1">
        <v>44260</v>
      </c>
      <c r="H464" t="s">
        <v>1056</v>
      </c>
      <c r="I464" t="s">
        <v>108</v>
      </c>
      <c r="J464">
        <v>-6974132833</v>
      </c>
      <c r="K464" t="s">
        <v>33</v>
      </c>
      <c r="L464" t="b">
        <v>1</v>
      </c>
    </row>
    <row r="465" spans="1:12" x14ac:dyDescent="0.3">
      <c r="A465" t="s">
        <v>1057</v>
      </c>
      <c r="B465" t="s">
        <v>35</v>
      </c>
      <c r="C465" t="s">
        <v>142</v>
      </c>
      <c r="D465">
        <v>25</v>
      </c>
      <c r="E465" t="s">
        <v>278</v>
      </c>
      <c r="F465" t="s">
        <v>16</v>
      </c>
      <c r="G465" s="1">
        <v>44621</v>
      </c>
      <c r="H465" t="s">
        <v>1058</v>
      </c>
      <c r="I465" t="s">
        <v>632</v>
      </c>
      <c r="J465">
        <v>-8315203770</v>
      </c>
      <c r="K465" t="s">
        <v>25</v>
      </c>
      <c r="L465" t="b">
        <v>0</v>
      </c>
    </row>
    <row r="466" spans="1:12" x14ac:dyDescent="0.3">
      <c r="A466" t="s">
        <v>1059</v>
      </c>
      <c r="B466" t="s">
        <v>61</v>
      </c>
      <c r="C466" t="s">
        <v>21</v>
      </c>
      <c r="D466">
        <v>40</v>
      </c>
      <c r="E466" t="s">
        <v>130</v>
      </c>
      <c r="F466" t="s">
        <v>36</v>
      </c>
      <c r="G466" s="1">
        <v>44949</v>
      </c>
      <c r="H466" t="s">
        <v>1060</v>
      </c>
      <c r="I466" t="s">
        <v>147</v>
      </c>
      <c r="J466">
        <v>-704496409</v>
      </c>
      <c r="K466" t="s">
        <v>19</v>
      </c>
      <c r="L466" t="b">
        <v>0</v>
      </c>
    </row>
    <row r="467" spans="1:12" x14ac:dyDescent="0.3">
      <c r="A467" t="s">
        <v>1061</v>
      </c>
      <c r="B467" t="s">
        <v>67</v>
      </c>
      <c r="C467" t="s">
        <v>14</v>
      </c>
      <c r="D467">
        <v>30</v>
      </c>
      <c r="E467" t="s">
        <v>22</v>
      </c>
      <c r="F467" t="s">
        <v>16</v>
      </c>
      <c r="G467" s="1">
        <v>44434</v>
      </c>
      <c r="H467" t="s">
        <v>1062</v>
      </c>
      <c r="I467" t="s">
        <v>73</v>
      </c>
      <c r="J467">
        <v>-4967066702</v>
      </c>
      <c r="K467" t="s">
        <v>19</v>
      </c>
      <c r="L467" t="b">
        <v>1</v>
      </c>
    </row>
    <row r="468" spans="1:12" x14ac:dyDescent="0.3">
      <c r="A468" t="s">
        <v>1063</v>
      </c>
      <c r="B468" t="s">
        <v>13</v>
      </c>
      <c r="C468" t="s">
        <v>47</v>
      </c>
      <c r="D468">
        <v>25</v>
      </c>
      <c r="E468" t="s">
        <v>76</v>
      </c>
      <c r="F468" t="s">
        <v>36</v>
      </c>
      <c r="G468" s="1">
        <v>44160</v>
      </c>
      <c r="H468" t="s">
        <v>1064</v>
      </c>
      <c r="I468" t="s">
        <v>180</v>
      </c>
      <c r="J468">
        <v>-3626804084</v>
      </c>
      <c r="K468" t="s">
        <v>19</v>
      </c>
      <c r="L468" t="b">
        <v>1</v>
      </c>
    </row>
    <row r="469" spans="1:12" x14ac:dyDescent="0.3">
      <c r="A469" t="s">
        <v>1065</v>
      </c>
      <c r="B469" t="s">
        <v>13</v>
      </c>
      <c r="C469" t="s">
        <v>142</v>
      </c>
      <c r="D469">
        <v>35</v>
      </c>
      <c r="E469" t="s">
        <v>113</v>
      </c>
      <c r="F469" t="s">
        <v>36</v>
      </c>
      <c r="G469" s="1">
        <v>45273</v>
      </c>
      <c r="H469" t="s">
        <v>1066</v>
      </c>
      <c r="I469" t="s">
        <v>144</v>
      </c>
      <c r="J469">
        <v>-954930595</v>
      </c>
      <c r="K469" t="s">
        <v>25</v>
      </c>
      <c r="L469" t="b">
        <v>0</v>
      </c>
    </row>
    <row r="470" spans="1:12" x14ac:dyDescent="0.3">
      <c r="A470" t="s">
        <v>1067</v>
      </c>
      <c r="B470" t="s">
        <v>61</v>
      </c>
      <c r="C470" t="s">
        <v>28</v>
      </c>
      <c r="E470" t="s">
        <v>267</v>
      </c>
      <c r="F470" t="s">
        <v>16</v>
      </c>
      <c r="G470" s="1">
        <v>44038</v>
      </c>
      <c r="H470" t="s">
        <v>1068</v>
      </c>
      <c r="I470" t="s">
        <v>140</v>
      </c>
      <c r="J470">
        <v>-6018648768</v>
      </c>
      <c r="K470" t="s">
        <v>25</v>
      </c>
      <c r="L470" t="b">
        <v>0</v>
      </c>
    </row>
    <row r="471" spans="1:12" x14ac:dyDescent="0.3">
      <c r="A471" t="s">
        <v>1069</v>
      </c>
      <c r="B471" t="s">
        <v>80</v>
      </c>
      <c r="C471" t="s">
        <v>21</v>
      </c>
      <c r="E471" t="s">
        <v>386</v>
      </c>
      <c r="F471" t="s">
        <v>30</v>
      </c>
      <c r="G471" s="1">
        <v>44374</v>
      </c>
      <c r="H471" t="s">
        <v>1070</v>
      </c>
      <c r="I471" t="s">
        <v>240</v>
      </c>
      <c r="J471">
        <v>-9842673203</v>
      </c>
      <c r="K471" t="s">
        <v>25</v>
      </c>
      <c r="L471" t="b">
        <v>0</v>
      </c>
    </row>
    <row r="472" spans="1:12" x14ac:dyDescent="0.3">
      <c r="A472" t="s">
        <v>1071</v>
      </c>
      <c r="B472" t="s">
        <v>13</v>
      </c>
      <c r="C472" t="s">
        <v>28</v>
      </c>
      <c r="D472">
        <v>25</v>
      </c>
      <c r="E472" t="s">
        <v>309</v>
      </c>
      <c r="F472" t="s">
        <v>30</v>
      </c>
      <c r="G472" s="1">
        <v>45551</v>
      </c>
      <c r="H472" t="s">
        <v>1072</v>
      </c>
      <c r="I472" t="s">
        <v>56</v>
      </c>
      <c r="J472">
        <v>-4138459608</v>
      </c>
      <c r="K472" t="s">
        <v>25</v>
      </c>
      <c r="L472" t="b">
        <v>0</v>
      </c>
    </row>
    <row r="473" spans="1:12" x14ac:dyDescent="0.3">
      <c r="A473" t="s">
        <v>1073</v>
      </c>
      <c r="B473" t="s">
        <v>27</v>
      </c>
      <c r="C473" t="s">
        <v>47</v>
      </c>
      <c r="D473">
        <v>40</v>
      </c>
      <c r="E473" t="s">
        <v>312</v>
      </c>
      <c r="F473" t="s">
        <v>30</v>
      </c>
      <c r="G473" s="1">
        <v>45111</v>
      </c>
      <c r="H473" t="s">
        <v>1074</v>
      </c>
      <c r="I473" t="s">
        <v>50</v>
      </c>
      <c r="J473">
        <v>-4544901494</v>
      </c>
      <c r="K473" t="s">
        <v>19</v>
      </c>
      <c r="L473" t="b">
        <v>1</v>
      </c>
    </row>
    <row r="474" spans="1:12" x14ac:dyDescent="0.3">
      <c r="A474" t="s">
        <v>1075</v>
      </c>
      <c r="B474" t="s">
        <v>27</v>
      </c>
      <c r="C474" t="s">
        <v>41</v>
      </c>
      <c r="D474">
        <v>30</v>
      </c>
      <c r="E474" t="s">
        <v>29</v>
      </c>
      <c r="F474" t="s">
        <v>36</v>
      </c>
      <c r="G474" s="1">
        <v>43998</v>
      </c>
      <c r="H474" t="s">
        <v>1076</v>
      </c>
      <c r="I474" t="s">
        <v>431</v>
      </c>
      <c r="J474">
        <v>-4277070704</v>
      </c>
      <c r="K474" t="s">
        <v>19</v>
      </c>
      <c r="L474" t="b">
        <v>0</v>
      </c>
    </row>
    <row r="475" spans="1:12" x14ac:dyDescent="0.3">
      <c r="A475" t="s">
        <v>1077</v>
      </c>
      <c r="B475" t="s">
        <v>80</v>
      </c>
      <c r="C475" t="s">
        <v>21</v>
      </c>
      <c r="D475">
        <v>40</v>
      </c>
      <c r="E475" t="s">
        <v>116</v>
      </c>
      <c r="F475" t="s">
        <v>36</v>
      </c>
      <c r="G475" s="1">
        <v>44017</v>
      </c>
      <c r="H475" t="s">
        <v>1078</v>
      </c>
      <c r="I475" t="s">
        <v>240</v>
      </c>
      <c r="J475">
        <v>-7836091497</v>
      </c>
      <c r="K475" t="s">
        <v>33</v>
      </c>
      <c r="L475" t="b">
        <v>0</v>
      </c>
    </row>
    <row r="476" spans="1:12" x14ac:dyDescent="0.3">
      <c r="A476" t="s">
        <v>1079</v>
      </c>
      <c r="B476" t="s">
        <v>40</v>
      </c>
      <c r="C476" t="s">
        <v>41</v>
      </c>
      <c r="D476">
        <v>40</v>
      </c>
      <c r="E476" t="s">
        <v>76</v>
      </c>
      <c r="F476" t="s">
        <v>36</v>
      </c>
      <c r="G476" s="1">
        <v>43922</v>
      </c>
      <c r="H476" t="s">
        <v>1080</v>
      </c>
      <c r="I476" t="s">
        <v>44</v>
      </c>
      <c r="J476">
        <v>-5172444722</v>
      </c>
      <c r="K476" t="s">
        <v>33</v>
      </c>
      <c r="L476" t="b">
        <v>1</v>
      </c>
    </row>
    <row r="477" spans="1:12" x14ac:dyDescent="0.3">
      <c r="A477" t="s">
        <v>1081</v>
      </c>
      <c r="B477" t="s">
        <v>67</v>
      </c>
      <c r="C477" t="s">
        <v>47</v>
      </c>
      <c r="D477">
        <v>35</v>
      </c>
      <c r="E477" t="s">
        <v>48</v>
      </c>
      <c r="F477" t="s">
        <v>16</v>
      </c>
      <c r="G477" s="1">
        <v>45371</v>
      </c>
      <c r="H477" t="s">
        <v>1082</v>
      </c>
      <c r="I477" t="s">
        <v>118</v>
      </c>
      <c r="J477">
        <v>-2290310286</v>
      </c>
      <c r="K477" t="s">
        <v>25</v>
      </c>
      <c r="L477" t="b">
        <v>0</v>
      </c>
    </row>
    <row r="478" spans="1:12" x14ac:dyDescent="0.3">
      <c r="A478" t="s">
        <v>1083</v>
      </c>
      <c r="B478" t="s">
        <v>40</v>
      </c>
      <c r="C478" t="s">
        <v>142</v>
      </c>
      <c r="E478" t="s">
        <v>309</v>
      </c>
      <c r="F478" t="s">
        <v>16</v>
      </c>
      <c r="G478" s="1">
        <v>44964</v>
      </c>
      <c r="H478" t="s">
        <v>1084</v>
      </c>
      <c r="I478" t="s">
        <v>163</v>
      </c>
      <c r="J478">
        <v>-9508304404</v>
      </c>
      <c r="K478" t="s">
        <v>45</v>
      </c>
      <c r="L478" t="b">
        <v>1</v>
      </c>
    </row>
    <row r="479" spans="1:12" x14ac:dyDescent="0.3">
      <c r="A479" t="s">
        <v>1085</v>
      </c>
      <c r="B479" t="s">
        <v>80</v>
      </c>
      <c r="C479" t="s">
        <v>47</v>
      </c>
      <c r="E479" t="s">
        <v>270</v>
      </c>
      <c r="F479" t="s">
        <v>30</v>
      </c>
      <c r="G479" s="1">
        <v>45636</v>
      </c>
      <c r="H479" t="s">
        <v>1086</v>
      </c>
      <c r="I479" t="s">
        <v>96</v>
      </c>
      <c r="J479">
        <v>-8093511870</v>
      </c>
      <c r="K479" t="s">
        <v>45</v>
      </c>
      <c r="L479" t="b">
        <v>0</v>
      </c>
    </row>
    <row r="480" spans="1:12" x14ac:dyDescent="0.3">
      <c r="A480" t="s">
        <v>1087</v>
      </c>
      <c r="B480" t="s">
        <v>80</v>
      </c>
      <c r="C480" t="s">
        <v>142</v>
      </c>
      <c r="D480">
        <v>25</v>
      </c>
      <c r="E480" t="s">
        <v>113</v>
      </c>
      <c r="F480" t="s">
        <v>30</v>
      </c>
      <c r="G480" s="1">
        <v>45470</v>
      </c>
      <c r="H480" t="s">
        <v>1088</v>
      </c>
      <c r="I480" t="s">
        <v>160</v>
      </c>
      <c r="J480">
        <v>-8133595615</v>
      </c>
      <c r="K480" t="s">
        <v>19</v>
      </c>
      <c r="L480" t="b">
        <v>0</v>
      </c>
    </row>
    <row r="481" spans="1:12" x14ac:dyDescent="0.3">
      <c r="A481" t="s">
        <v>1089</v>
      </c>
      <c r="B481" t="s">
        <v>61</v>
      </c>
      <c r="C481" t="s">
        <v>21</v>
      </c>
      <c r="D481">
        <v>25</v>
      </c>
      <c r="E481" t="s">
        <v>267</v>
      </c>
      <c r="F481" t="s">
        <v>16</v>
      </c>
      <c r="G481" s="1">
        <v>44264</v>
      </c>
      <c r="H481" t="s">
        <v>1090</v>
      </c>
      <c r="I481" t="s">
        <v>147</v>
      </c>
      <c r="J481">
        <v>-4205955656</v>
      </c>
      <c r="K481" t="s">
        <v>19</v>
      </c>
      <c r="L481" t="b">
        <v>1</v>
      </c>
    </row>
    <row r="482" spans="1:12" x14ac:dyDescent="0.3">
      <c r="A482" t="s">
        <v>1091</v>
      </c>
      <c r="B482" t="s">
        <v>80</v>
      </c>
      <c r="C482" t="s">
        <v>21</v>
      </c>
      <c r="D482">
        <v>25</v>
      </c>
      <c r="E482" t="s">
        <v>270</v>
      </c>
      <c r="F482" t="s">
        <v>16</v>
      </c>
      <c r="G482" s="1">
        <v>45515</v>
      </c>
      <c r="H482" t="s">
        <v>1092</v>
      </c>
      <c r="I482" t="s">
        <v>240</v>
      </c>
      <c r="J482">
        <v>-4902504289</v>
      </c>
      <c r="K482" t="s">
        <v>19</v>
      </c>
      <c r="L482" t="b">
        <v>1</v>
      </c>
    </row>
    <row r="483" spans="1:12" x14ac:dyDescent="0.3">
      <c r="A483" t="s">
        <v>1093</v>
      </c>
      <c r="B483" t="s">
        <v>35</v>
      </c>
      <c r="C483" t="s">
        <v>106</v>
      </c>
      <c r="D483">
        <v>35</v>
      </c>
      <c r="E483" t="s">
        <v>278</v>
      </c>
      <c r="F483" t="s">
        <v>16</v>
      </c>
      <c r="G483" s="1">
        <v>44625</v>
      </c>
      <c r="H483" t="s">
        <v>1094</v>
      </c>
      <c r="I483" t="s">
        <v>307</v>
      </c>
      <c r="J483">
        <v>-1935889535</v>
      </c>
      <c r="K483" t="s">
        <v>33</v>
      </c>
      <c r="L483" t="b">
        <v>0</v>
      </c>
    </row>
    <row r="484" spans="1:12" x14ac:dyDescent="0.3">
      <c r="A484" t="s">
        <v>1095</v>
      </c>
      <c r="B484" t="s">
        <v>35</v>
      </c>
      <c r="C484" t="s">
        <v>28</v>
      </c>
      <c r="E484" t="s">
        <v>22</v>
      </c>
      <c r="F484" t="s">
        <v>30</v>
      </c>
      <c r="G484" s="1">
        <v>45107</v>
      </c>
      <c r="H484" t="s">
        <v>1096</v>
      </c>
      <c r="I484" t="s">
        <v>323</v>
      </c>
      <c r="J484">
        <v>-9026113988</v>
      </c>
      <c r="K484" t="s">
        <v>33</v>
      </c>
      <c r="L484" t="b">
        <v>0</v>
      </c>
    </row>
    <row r="485" spans="1:12" x14ac:dyDescent="0.3">
      <c r="A485" t="s">
        <v>1097</v>
      </c>
      <c r="B485" t="s">
        <v>13</v>
      </c>
      <c r="C485" t="s">
        <v>106</v>
      </c>
      <c r="D485">
        <v>40</v>
      </c>
      <c r="E485" t="s">
        <v>233</v>
      </c>
      <c r="F485" t="s">
        <v>30</v>
      </c>
      <c r="G485" s="1">
        <v>45035</v>
      </c>
      <c r="H485" t="s">
        <v>1098</v>
      </c>
      <c r="I485" t="s">
        <v>108</v>
      </c>
      <c r="J485">
        <v>-8681809787</v>
      </c>
      <c r="K485" t="s">
        <v>19</v>
      </c>
      <c r="L485" t="b">
        <v>0</v>
      </c>
    </row>
    <row r="486" spans="1:12" x14ac:dyDescent="0.3">
      <c r="A486" t="s">
        <v>1099</v>
      </c>
      <c r="B486" t="s">
        <v>13</v>
      </c>
      <c r="C486" t="s">
        <v>28</v>
      </c>
      <c r="D486">
        <v>25</v>
      </c>
      <c r="E486" t="s">
        <v>48</v>
      </c>
      <c r="F486" t="s">
        <v>36</v>
      </c>
      <c r="G486" s="1">
        <v>45607</v>
      </c>
      <c r="H486" t="s">
        <v>1100</v>
      </c>
      <c r="I486" t="s">
        <v>56</v>
      </c>
      <c r="J486">
        <v>-7543943534</v>
      </c>
      <c r="K486" t="s">
        <v>19</v>
      </c>
      <c r="L486" t="b">
        <v>1</v>
      </c>
    </row>
    <row r="487" spans="1:12" x14ac:dyDescent="0.3">
      <c r="A487" t="s">
        <v>1101</v>
      </c>
      <c r="B487" t="s">
        <v>80</v>
      </c>
      <c r="C487" t="s">
        <v>106</v>
      </c>
      <c r="D487">
        <v>35</v>
      </c>
      <c r="E487" t="s">
        <v>116</v>
      </c>
      <c r="F487" t="s">
        <v>36</v>
      </c>
      <c r="G487" s="1">
        <v>45002</v>
      </c>
      <c r="H487" t="s">
        <v>1102</v>
      </c>
      <c r="I487" t="s">
        <v>197</v>
      </c>
      <c r="J487">
        <v>-3751376514</v>
      </c>
      <c r="K487" t="s">
        <v>19</v>
      </c>
      <c r="L487" t="b">
        <v>0</v>
      </c>
    </row>
    <row r="488" spans="1:12" x14ac:dyDescent="0.3">
      <c r="A488" t="s">
        <v>1103</v>
      </c>
      <c r="B488" t="s">
        <v>35</v>
      </c>
      <c r="C488" t="s">
        <v>41</v>
      </c>
      <c r="D488">
        <v>40</v>
      </c>
      <c r="E488" t="s">
        <v>102</v>
      </c>
      <c r="F488" t="s">
        <v>30</v>
      </c>
      <c r="G488" s="1">
        <v>45225</v>
      </c>
      <c r="H488" t="s">
        <v>1104</v>
      </c>
      <c r="I488" t="s">
        <v>167</v>
      </c>
      <c r="J488">
        <v>-8815793762</v>
      </c>
      <c r="K488" t="s">
        <v>45</v>
      </c>
      <c r="L488" t="b">
        <v>1</v>
      </c>
    </row>
    <row r="489" spans="1:12" x14ac:dyDescent="0.3">
      <c r="A489" t="s">
        <v>1105</v>
      </c>
      <c r="B489" t="s">
        <v>40</v>
      </c>
      <c r="C489" t="s">
        <v>21</v>
      </c>
      <c r="D489">
        <v>30</v>
      </c>
      <c r="E489" t="s">
        <v>98</v>
      </c>
      <c r="F489" t="s">
        <v>36</v>
      </c>
      <c r="G489" s="1">
        <v>44381</v>
      </c>
      <c r="H489" t="s">
        <v>1106</v>
      </c>
      <c r="I489" t="s">
        <v>280</v>
      </c>
      <c r="J489">
        <v>-9283692943</v>
      </c>
      <c r="K489" t="s">
        <v>33</v>
      </c>
      <c r="L489" t="b">
        <v>1</v>
      </c>
    </row>
    <row r="490" spans="1:12" x14ac:dyDescent="0.3">
      <c r="A490" t="s">
        <v>1107</v>
      </c>
      <c r="B490" t="s">
        <v>35</v>
      </c>
      <c r="C490" t="s">
        <v>142</v>
      </c>
      <c r="D490">
        <v>35</v>
      </c>
      <c r="E490" t="s">
        <v>251</v>
      </c>
      <c r="F490" t="s">
        <v>30</v>
      </c>
      <c r="G490" s="1">
        <v>45233</v>
      </c>
      <c r="H490" t="s">
        <v>1108</v>
      </c>
      <c r="I490" t="s">
        <v>632</v>
      </c>
      <c r="J490">
        <v>-5511668296</v>
      </c>
      <c r="K490" t="s">
        <v>45</v>
      </c>
      <c r="L490" t="b">
        <v>0</v>
      </c>
    </row>
    <row r="491" spans="1:12" x14ac:dyDescent="0.3">
      <c r="A491" t="s">
        <v>1109</v>
      </c>
      <c r="B491" t="s">
        <v>61</v>
      </c>
      <c r="C491" t="s">
        <v>28</v>
      </c>
      <c r="D491">
        <v>35</v>
      </c>
      <c r="E491" t="s">
        <v>270</v>
      </c>
      <c r="F491" t="s">
        <v>36</v>
      </c>
      <c r="G491" s="1">
        <v>44382</v>
      </c>
      <c r="H491" t="s">
        <v>1110</v>
      </c>
      <c r="I491" t="s">
        <v>140</v>
      </c>
      <c r="J491">
        <v>-3270216486</v>
      </c>
      <c r="K491" t="s">
        <v>45</v>
      </c>
      <c r="L491" t="b">
        <v>1</v>
      </c>
    </row>
    <row r="492" spans="1:12" x14ac:dyDescent="0.3">
      <c r="A492" t="s">
        <v>1111</v>
      </c>
      <c r="B492" t="s">
        <v>13</v>
      </c>
      <c r="C492" t="s">
        <v>47</v>
      </c>
      <c r="D492">
        <v>30</v>
      </c>
      <c r="E492" t="s">
        <v>267</v>
      </c>
      <c r="F492" t="s">
        <v>36</v>
      </c>
      <c r="G492" s="1">
        <v>45348</v>
      </c>
      <c r="H492" t="s">
        <v>1112</v>
      </c>
      <c r="I492" t="s">
        <v>180</v>
      </c>
      <c r="J492">
        <v>-1206021287</v>
      </c>
      <c r="K492" t="s">
        <v>19</v>
      </c>
      <c r="L492" t="b">
        <v>0</v>
      </c>
    </row>
    <row r="493" spans="1:12" x14ac:dyDescent="0.3">
      <c r="A493" t="s">
        <v>1113</v>
      </c>
      <c r="B493" t="s">
        <v>40</v>
      </c>
      <c r="C493" t="s">
        <v>28</v>
      </c>
      <c r="D493">
        <v>25</v>
      </c>
      <c r="E493" t="s">
        <v>126</v>
      </c>
      <c r="F493" t="s">
        <v>16</v>
      </c>
      <c r="G493" s="1">
        <v>44468</v>
      </c>
      <c r="H493" t="s">
        <v>1114</v>
      </c>
      <c r="I493" t="s">
        <v>53</v>
      </c>
      <c r="J493">
        <v>-6652683414</v>
      </c>
      <c r="K493" t="s">
        <v>19</v>
      </c>
      <c r="L493" t="b">
        <v>0</v>
      </c>
    </row>
    <row r="494" spans="1:12" x14ac:dyDescent="0.3">
      <c r="A494" t="s">
        <v>1115</v>
      </c>
      <c r="B494" t="s">
        <v>27</v>
      </c>
      <c r="C494" t="s">
        <v>142</v>
      </c>
      <c r="D494">
        <v>30</v>
      </c>
      <c r="E494" t="s">
        <v>233</v>
      </c>
      <c r="F494" t="s">
        <v>16</v>
      </c>
      <c r="G494" s="1">
        <v>44341</v>
      </c>
      <c r="H494" t="s">
        <v>1116</v>
      </c>
      <c r="I494" t="s">
        <v>217</v>
      </c>
      <c r="J494">
        <v>-5999101575</v>
      </c>
      <c r="K494" t="s">
        <v>25</v>
      </c>
      <c r="L494" t="b">
        <v>0</v>
      </c>
    </row>
    <row r="495" spans="1:12" x14ac:dyDescent="0.3">
      <c r="A495" t="s">
        <v>1117</v>
      </c>
      <c r="B495" t="s">
        <v>40</v>
      </c>
      <c r="C495" t="s">
        <v>106</v>
      </c>
      <c r="D495">
        <v>30</v>
      </c>
      <c r="E495" t="s">
        <v>172</v>
      </c>
      <c r="F495" t="s">
        <v>36</v>
      </c>
      <c r="G495" s="1">
        <v>44865</v>
      </c>
      <c r="H495" t="s">
        <v>1118</v>
      </c>
      <c r="I495" t="s">
        <v>128</v>
      </c>
      <c r="J495">
        <v>-7647229811</v>
      </c>
      <c r="K495" t="s">
        <v>25</v>
      </c>
      <c r="L495" t="b">
        <v>0</v>
      </c>
    </row>
    <row r="496" spans="1:12" x14ac:dyDescent="0.3">
      <c r="A496" t="s">
        <v>1119</v>
      </c>
      <c r="B496" t="s">
        <v>27</v>
      </c>
      <c r="C496" t="s">
        <v>28</v>
      </c>
      <c r="D496">
        <v>30</v>
      </c>
      <c r="E496" t="s">
        <v>251</v>
      </c>
      <c r="F496" t="s">
        <v>30</v>
      </c>
      <c r="G496" s="1">
        <v>44744</v>
      </c>
      <c r="H496" t="s">
        <v>1120</v>
      </c>
      <c r="I496" t="s">
        <v>32</v>
      </c>
      <c r="J496">
        <v>-995765727</v>
      </c>
      <c r="K496" t="s">
        <v>45</v>
      </c>
      <c r="L496" t="b">
        <v>0</v>
      </c>
    </row>
    <row r="497" spans="1:12" x14ac:dyDescent="0.3">
      <c r="A497" t="s">
        <v>1121</v>
      </c>
      <c r="B497" t="s">
        <v>40</v>
      </c>
      <c r="C497" t="s">
        <v>14</v>
      </c>
      <c r="D497">
        <v>35</v>
      </c>
      <c r="E497" t="s">
        <v>138</v>
      </c>
      <c r="F497" t="s">
        <v>30</v>
      </c>
      <c r="G497" s="1">
        <v>45532</v>
      </c>
      <c r="H497" t="s">
        <v>1122</v>
      </c>
      <c r="I497" t="s">
        <v>59</v>
      </c>
      <c r="J497">
        <v>-9413475097</v>
      </c>
      <c r="K497" t="s">
        <v>33</v>
      </c>
      <c r="L497" t="b">
        <v>1</v>
      </c>
    </row>
    <row r="498" spans="1:12" x14ac:dyDescent="0.3">
      <c r="A498" t="s">
        <v>1123</v>
      </c>
      <c r="B498" t="s">
        <v>80</v>
      </c>
      <c r="C498" t="s">
        <v>41</v>
      </c>
      <c r="D498">
        <v>25</v>
      </c>
      <c r="E498" t="s">
        <v>102</v>
      </c>
      <c r="F498" t="s">
        <v>16</v>
      </c>
      <c r="G498" s="1">
        <v>45586</v>
      </c>
      <c r="H498" t="s">
        <v>1124</v>
      </c>
      <c r="I498" t="s">
        <v>83</v>
      </c>
      <c r="J498">
        <v>-8986456521</v>
      </c>
      <c r="K498" t="s">
        <v>19</v>
      </c>
      <c r="L498" t="b">
        <v>1</v>
      </c>
    </row>
    <row r="499" spans="1:12" x14ac:dyDescent="0.3">
      <c r="A499" t="s">
        <v>1125</v>
      </c>
      <c r="B499" t="s">
        <v>67</v>
      </c>
      <c r="C499" t="s">
        <v>21</v>
      </c>
      <c r="D499">
        <v>35</v>
      </c>
      <c r="E499" t="s">
        <v>270</v>
      </c>
      <c r="F499" t="s">
        <v>30</v>
      </c>
      <c r="G499" s="1">
        <v>43872</v>
      </c>
      <c r="H499" t="s">
        <v>1126</v>
      </c>
      <c r="I499" t="s">
        <v>265</v>
      </c>
      <c r="J499">
        <v>-368499514</v>
      </c>
      <c r="K499" t="s">
        <v>19</v>
      </c>
      <c r="L499" t="b">
        <v>0</v>
      </c>
    </row>
    <row r="500" spans="1:12" x14ac:dyDescent="0.3">
      <c r="A500" t="s">
        <v>1127</v>
      </c>
      <c r="B500" t="s">
        <v>27</v>
      </c>
      <c r="C500" t="s">
        <v>142</v>
      </c>
      <c r="D500">
        <v>40</v>
      </c>
      <c r="E500" t="s">
        <v>29</v>
      </c>
      <c r="F500" t="s">
        <v>16</v>
      </c>
      <c r="G500" s="1">
        <v>45062</v>
      </c>
      <c r="H500" t="s">
        <v>1128</v>
      </c>
      <c r="I500" t="s">
        <v>217</v>
      </c>
      <c r="J500">
        <v>-4214477323</v>
      </c>
      <c r="K500" t="s">
        <v>45</v>
      </c>
      <c r="L500" t="b">
        <v>0</v>
      </c>
    </row>
    <row r="501" spans="1:12" x14ac:dyDescent="0.3">
      <c r="A501" t="s">
        <v>1129</v>
      </c>
      <c r="B501" t="s">
        <v>35</v>
      </c>
      <c r="C501" t="s">
        <v>21</v>
      </c>
      <c r="D501">
        <v>35</v>
      </c>
      <c r="E501" t="s">
        <v>130</v>
      </c>
      <c r="F501" t="s">
        <v>36</v>
      </c>
      <c r="G501" s="1">
        <v>44771</v>
      </c>
      <c r="H501" t="s">
        <v>1130</v>
      </c>
      <c r="I501" t="s">
        <v>183</v>
      </c>
      <c r="J501">
        <v>-4913421387</v>
      </c>
      <c r="K501" t="s">
        <v>25</v>
      </c>
      <c r="L501" t="b">
        <v>1</v>
      </c>
    </row>
    <row r="502" spans="1:12" x14ac:dyDescent="0.3">
      <c r="A502" t="s">
        <v>1131</v>
      </c>
      <c r="B502" t="s">
        <v>80</v>
      </c>
      <c r="C502" t="s">
        <v>14</v>
      </c>
      <c r="E502" t="s">
        <v>187</v>
      </c>
      <c r="F502" t="s">
        <v>30</v>
      </c>
      <c r="G502" s="1">
        <v>45187</v>
      </c>
      <c r="H502" t="s">
        <v>1132</v>
      </c>
      <c r="I502" t="s">
        <v>276</v>
      </c>
      <c r="J502">
        <v>-2090883069</v>
      </c>
      <c r="K502" t="s">
        <v>33</v>
      </c>
      <c r="L502" t="b">
        <v>1</v>
      </c>
    </row>
    <row r="503" spans="1:12" x14ac:dyDescent="0.3">
      <c r="A503" t="s">
        <v>1133</v>
      </c>
      <c r="B503" t="s">
        <v>35</v>
      </c>
      <c r="C503" t="s">
        <v>28</v>
      </c>
      <c r="D503">
        <v>35</v>
      </c>
      <c r="E503" t="s">
        <v>278</v>
      </c>
      <c r="F503" t="s">
        <v>36</v>
      </c>
      <c r="G503" s="1">
        <v>43961</v>
      </c>
      <c r="H503" t="s">
        <v>1134</v>
      </c>
      <c r="I503" t="s">
        <v>323</v>
      </c>
      <c r="J503">
        <v>-5349678273</v>
      </c>
      <c r="K503" t="s">
        <v>25</v>
      </c>
      <c r="L503" t="b">
        <v>1</v>
      </c>
    </row>
    <row r="504" spans="1:12" x14ac:dyDescent="0.3">
      <c r="A504" t="s">
        <v>1135</v>
      </c>
      <c r="B504" t="s">
        <v>40</v>
      </c>
      <c r="C504" t="s">
        <v>28</v>
      </c>
      <c r="D504">
        <v>35</v>
      </c>
      <c r="E504" t="s">
        <v>175</v>
      </c>
      <c r="F504" t="s">
        <v>30</v>
      </c>
      <c r="G504" s="1">
        <v>45165</v>
      </c>
      <c r="H504" t="s">
        <v>1136</v>
      </c>
      <c r="I504" t="s">
        <v>53</v>
      </c>
      <c r="J504">
        <v>-1176741240</v>
      </c>
      <c r="K504" t="s">
        <v>25</v>
      </c>
      <c r="L504" t="b">
        <v>1</v>
      </c>
    </row>
    <row r="505" spans="1:12" x14ac:dyDescent="0.3">
      <c r="A505" t="s">
        <v>1137</v>
      </c>
      <c r="B505" t="s">
        <v>67</v>
      </c>
      <c r="C505" t="s">
        <v>47</v>
      </c>
      <c r="D505">
        <v>25</v>
      </c>
      <c r="E505" t="s">
        <v>87</v>
      </c>
      <c r="F505" t="s">
        <v>30</v>
      </c>
      <c r="G505" s="1">
        <v>44485</v>
      </c>
      <c r="H505" t="s">
        <v>1138</v>
      </c>
      <c r="I505" t="s">
        <v>118</v>
      </c>
      <c r="J505">
        <v>-5131528546</v>
      </c>
      <c r="K505" t="s">
        <v>25</v>
      </c>
      <c r="L505" t="b">
        <v>0</v>
      </c>
    </row>
    <row r="506" spans="1:12" x14ac:dyDescent="0.3">
      <c r="A506" t="s">
        <v>1139</v>
      </c>
      <c r="B506" t="s">
        <v>75</v>
      </c>
      <c r="C506" t="s">
        <v>14</v>
      </c>
      <c r="D506">
        <v>35</v>
      </c>
      <c r="E506" t="s">
        <v>251</v>
      </c>
      <c r="F506" t="s">
        <v>36</v>
      </c>
      <c r="G506" s="1">
        <v>44626</v>
      </c>
      <c r="H506" t="s">
        <v>1140</v>
      </c>
      <c r="I506" t="s">
        <v>469</v>
      </c>
      <c r="J506">
        <v>-8150618537</v>
      </c>
      <c r="K506" t="s">
        <v>25</v>
      </c>
      <c r="L506" t="b">
        <v>0</v>
      </c>
    </row>
    <row r="507" spans="1:12" x14ac:dyDescent="0.3">
      <c r="A507" t="s">
        <v>1141</v>
      </c>
      <c r="B507" t="s">
        <v>67</v>
      </c>
      <c r="C507" t="s">
        <v>142</v>
      </c>
      <c r="D507">
        <v>35</v>
      </c>
      <c r="E507" t="s">
        <v>386</v>
      </c>
      <c r="F507" t="s">
        <v>16</v>
      </c>
      <c r="G507" s="1">
        <v>45236</v>
      </c>
      <c r="H507" t="s">
        <v>1142</v>
      </c>
      <c r="I507" t="s">
        <v>402</v>
      </c>
      <c r="J507">
        <v>-32963346</v>
      </c>
      <c r="K507" t="s">
        <v>19</v>
      </c>
      <c r="L507" t="b">
        <v>1</v>
      </c>
    </row>
    <row r="508" spans="1:12" x14ac:dyDescent="0.3">
      <c r="A508" t="s">
        <v>1143</v>
      </c>
      <c r="B508" t="s">
        <v>40</v>
      </c>
      <c r="C508" t="s">
        <v>47</v>
      </c>
      <c r="E508" t="s">
        <v>76</v>
      </c>
      <c r="F508" t="s">
        <v>30</v>
      </c>
      <c r="G508" s="1">
        <v>45626</v>
      </c>
      <c r="H508" t="s">
        <v>1144</v>
      </c>
      <c r="I508" t="s">
        <v>214</v>
      </c>
      <c r="J508">
        <v>-2727423182</v>
      </c>
      <c r="K508" t="s">
        <v>19</v>
      </c>
      <c r="L508" t="b">
        <v>0</v>
      </c>
    </row>
    <row r="509" spans="1:12" x14ac:dyDescent="0.3">
      <c r="A509" t="s">
        <v>1145</v>
      </c>
      <c r="B509" t="s">
        <v>75</v>
      </c>
      <c r="C509" t="s">
        <v>41</v>
      </c>
      <c r="D509">
        <v>30</v>
      </c>
      <c r="E509" t="s">
        <v>15</v>
      </c>
      <c r="F509" t="s">
        <v>30</v>
      </c>
      <c r="G509" s="1">
        <v>45486</v>
      </c>
      <c r="H509" t="s">
        <v>1146</v>
      </c>
      <c r="I509" t="s">
        <v>78</v>
      </c>
      <c r="J509">
        <v>-617893205</v>
      </c>
      <c r="K509" t="s">
        <v>25</v>
      </c>
      <c r="L509" t="b">
        <v>1</v>
      </c>
    </row>
    <row r="510" spans="1:12" x14ac:dyDescent="0.3">
      <c r="A510" t="s">
        <v>1147</v>
      </c>
      <c r="B510" t="s">
        <v>40</v>
      </c>
      <c r="C510" t="s">
        <v>47</v>
      </c>
      <c r="D510">
        <v>25</v>
      </c>
      <c r="E510" t="s">
        <v>138</v>
      </c>
      <c r="F510" t="s">
        <v>16</v>
      </c>
      <c r="G510" s="1">
        <v>45355</v>
      </c>
      <c r="H510" t="s">
        <v>1148</v>
      </c>
      <c r="I510" t="s">
        <v>214</v>
      </c>
      <c r="J510">
        <v>-4969357823</v>
      </c>
      <c r="K510" t="s">
        <v>33</v>
      </c>
      <c r="L510" t="b">
        <v>0</v>
      </c>
    </row>
    <row r="511" spans="1:12" x14ac:dyDescent="0.3">
      <c r="A511" t="s">
        <v>1149</v>
      </c>
      <c r="B511" t="s">
        <v>40</v>
      </c>
      <c r="C511" t="s">
        <v>62</v>
      </c>
      <c r="D511">
        <v>35</v>
      </c>
      <c r="E511" t="s">
        <v>229</v>
      </c>
      <c r="F511" t="s">
        <v>36</v>
      </c>
      <c r="G511" s="1">
        <v>44780</v>
      </c>
      <c r="H511" t="s">
        <v>1150</v>
      </c>
      <c r="I511" t="s">
        <v>316</v>
      </c>
      <c r="J511">
        <v>-3477695873</v>
      </c>
      <c r="K511" t="s">
        <v>45</v>
      </c>
      <c r="L511" t="b">
        <v>1</v>
      </c>
    </row>
    <row r="512" spans="1:12" x14ac:dyDescent="0.3">
      <c r="A512" t="s">
        <v>1151</v>
      </c>
      <c r="B512" t="s">
        <v>13</v>
      </c>
      <c r="C512" t="s">
        <v>142</v>
      </c>
      <c r="D512">
        <v>40</v>
      </c>
      <c r="E512" t="s">
        <v>102</v>
      </c>
      <c r="F512" t="s">
        <v>16</v>
      </c>
      <c r="G512" s="1">
        <v>45607</v>
      </c>
      <c r="H512" t="s">
        <v>1152</v>
      </c>
      <c r="I512" t="s">
        <v>144</v>
      </c>
      <c r="J512">
        <v>-1314675360</v>
      </c>
      <c r="K512" t="s">
        <v>33</v>
      </c>
      <c r="L512" t="b">
        <v>0</v>
      </c>
    </row>
    <row r="513" spans="1:12" x14ac:dyDescent="0.3">
      <c r="A513" t="s">
        <v>1153</v>
      </c>
      <c r="B513" t="s">
        <v>80</v>
      </c>
      <c r="C513" t="s">
        <v>62</v>
      </c>
      <c r="D513">
        <v>25</v>
      </c>
      <c r="E513" t="s">
        <v>233</v>
      </c>
      <c r="F513" t="s">
        <v>16</v>
      </c>
      <c r="G513" s="1">
        <v>44532</v>
      </c>
      <c r="H513" t="s">
        <v>1154</v>
      </c>
      <c r="I513" t="s">
        <v>150</v>
      </c>
      <c r="J513">
        <v>-2751562778</v>
      </c>
      <c r="K513" t="s">
        <v>33</v>
      </c>
      <c r="L513" t="b">
        <v>1</v>
      </c>
    </row>
    <row r="514" spans="1:12" x14ac:dyDescent="0.3">
      <c r="A514" t="s">
        <v>1155</v>
      </c>
      <c r="B514" t="s">
        <v>75</v>
      </c>
      <c r="C514" t="s">
        <v>14</v>
      </c>
      <c r="D514">
        <v>30</v>
      </c>
      <c r="E514" t="s">
        <v>175</v>
      </c>
      <c r="F514" t="s">
        <v>16</v>
      </c>
      <c r="G514" s="1">
        <v>45426</v>
      </c>
      <c r="H514" t="s">
        <v>1156</v>
      </c>
      <c r="I514" t="s">
        <v>469</v>
      </c>
      <c r="J514">
        <v>-6304483607</v>
      </c>
      <c r="K514" t="s">
        <v>33</v>
      </c>
      <c r="L514" t="b">
        <v>1</v>
      </c>
    </row>
    <row r="515" spans="1:12" x14ac:dyDescent="0.3">
      <c r="A515" t="s">
        <v>1157</v>
      </c>
      <c r="B515" t="s">
        <v>61</v>
      </c>
      <c r="C515" t="s">
        <v>106</v>
      </c>
      <c r="D515">
        <v>35</v>
      </c>
      <c r="E515" t="s">
        <v>278</v>
      </c>
      <c r="F515" t="s">
        <v>16</v>
      </c>
      <c r="G515" s="1">
        <v>44756</v>
      </c>
      <c r="H515" t="s">
        <v>1158</v>
      </c>
      <c r="I515" t="s">
        <v>607</v>
      </c>
      <c r="J515">
        <v>-5456676639</v>
      </c>
      <c r="K515" t="s">
        <v>25</v>
      </c>
      <c r="L515" t="b">
        <v>0</v>
      </c>
    </row>
    <row r="516" spans="1:12" x14ac:dyDescent="0.3">
      <c r="A516" t="s">
        <v>1159</v>
      </c>
      <c r="B516" t="s">
        <v>61</v>
      </c>
      <c r="C516" t="s">
        <v>62</v>
      </c>
      <c r="E516" t="s">
        <v>244</v>
      </c>
      <c r="F516" t="s">
        <v>16</v>
      </c>
      <c r="G516" s="1">
        <v>44096</v>
      </c>
      <c r="H516" t="s">
        <v>1160</v>
      </c>
      <c r="I516" t="s">
        <v>65</v>
      </c>
      <c r="J516">
        <v>-4735047638</v>
      </c>
      <c r="K516" t="s">
        <v>19</v>
      </c>
      <c r="L516" t="b">
        <v>1</v>
      </c>
    </row>
    <row r="517" spans="1:12" x14ac:dyDescent="0.3">
      <c r="A517" t="s">
        <v>1161</v>
      </c>
      <c r="B517" t="s">
        <v>80</v>
      </c>
      <c r="C517" t="s">
        <v>41</v>
      </c>
      <c r="D517">
        <v>40</v>
      </c>
      <c r="E517" t="s">
        <v>130</v>
      </c>
      <c r="F517" t="s">
        <v>16</v>
      </c>
      <c r="G517" s="1">
        <v>43908</v>
      </c>
      <c r="H517" t="s">
        <v>1162</v>
      </c>
      <c r="I517" t="s">
        <v>83</v>
      </c>
      <c r="J517">
        <v>-2831995297</v>
      </c>
      <c r="K517" t="s">
        <v>33</v>
      </c>
      <c r="L517" t="b">
        <v>0</v>
      </c>
    </row>
    <row r="518" spans="1:12" x14ac:dyDescent="0.3">
      <c r="A518" t="s">
        <v>1163</v>
      </c>
      <c r="B518" t="s">
        <v>27</v>
      </c>
      <c r="C518" t="s">
        <v>47</v>
      </c>
      <c r="D518">
        <v>35</v>
      </c>
      <c r="E518" t="s">
        <v>126</v>
      </c>
      <c r="F518" t="s">
        <v>16</v>
      </c>
      <c r="G518" s="1">
        <v>45216</v>
      </c>
      <c r="H518" t="s">
        <v>1164</v>
      </c>
      <c r="I518" t="s">
        <v>50</v>
      </c>
      <c r="J518">
        <v>-61558107</v>
      </c>
      <c r="K518" t="s">
        <v>25</v>
      </c>
      <c r="L518" t="b">
        <v>0</v>
      </c>
    </row>
    <row r="519" spans="1:12" x14ac:dyDescent="0.3">
      <c r="A519" t="s">
        <v>1165</v>
      </c>
      <c r="B519" t="s">
        <v>67</v>
      </c>
      <c r="C519" t="s">
        <v>106</v>
      </c>
      <c r="D519">
        <v>35</v>
      </c>
      <c r="E519" t="s">
        <v>76</v>
      </c>
      <c r="F519" t="s">
        <v>16</v>
      </c>
      <c r="G519" s="1">
        <v>44616</v>
      </c>
      <c r="H519" t="s">
        <v>1166</v>
      </c>
      <c r="I519" t="s">
        <v>124</v>
      </c>
      <c r="J519">
        <v>-3583286341</v>
      </c>
      <c r="K519" t="s">
        <v>33</v>
      </c>
      <c r="L519" t="b">
        <v>1</v>
      </c>
    </row>
    <row r="520" spans="1:12" x14ac:dyDescent="0.3">
      <c r="A520" t="s">
        <v>1167</v>
      </c>
      <c r="B520" t="s">
        <v>13</v>
      </c>
      <c r="C520" t="s">
        <v>47</v>
      </c>
      <c r="D520">
        <v>25</v>
      </c>
      <c r="E520" t="s">
        <v>172</v>
      </c>
      <c r="F520" t="s">
        <v>36</v>
      </c>
      <c r="G520" s="1">
        <v>45321</v>
      </c>
      <c r="H520" t="s">
        <v>1168</v>
      </c>
      <c r="I520" t="s">
        <v>180</v>
      </c>
      <c r="J520">
        <v>-5563830007</v>
      </c>
      <c r="K520" t="s">
        <v>33</v>
      </c>
      <c r="L520" t="b">
        <v>0</v>
      </c>
    </row>
    <row r="521" spans="1:12" x14ac:dyDescent="0.3">
      <c r="A521" t="s">
        <v>1169</v>
      </c>
      <c r="B521" t="s">
        <v>80</v>
      </c>
      <c r="C521" t="s">
        <v>62</v>
      </c>
      <c r="D521">
        <v>30</v>
      </c>
      <c r="E521" t="s">
        <v>251</v>
      </c>
      <c r="F521" t="s">
        <v>36</v>
      </c>
      <c r="G521" s="1">
        <v>45367</v>
      </c>
      <c r="H521" t="s">
        <v>1170</v>
      </c>
      <c r="I521" t="s">
        <v>150</v>
      </c>
      <c r="J521">
        <v>-1867024402</v>
      </c>
      <c r="K521" t="s">
        <v>25</v>
      </c>
      <c r="L521" t="b">
        <v>0</v>
      </c>
    </row>
    <row r="522" spans="1:12" x14ac:dyDescent="0.3">
      <c r="A522" t="s">
        <v>1171</v>
      </c>
      <c r="B522" t="s">
        <v>80</v>
      </c>
      <c r="C522" t="s">
        <v>47</v>
      </c>
      <c r="D522">
        <v>25</v>
      </c>
      <c r="E522" t="s">
        <v>233</v>
      </c>
      <c r="F522" t="s">
        <v>30</v>
      </c>
      <c r="G522" s="1">
        <v>44099</v>
      </c>
      <c r="H522" t="s">
        <v>1172</v>
      </c>
      <c r="I522" t="s">
        <v>96</v>
      </c>
      <c r="J522">
        <v>-3041662410</v>
      </c>
      <c r="K522" t="s">
        <v>19</v>
      </c>
      <c r="L522" t="b">
        <v>0</v>
      </c>
    </row>
    <row r="523" spans="1:12" x14ac:dyDescent="0.3">
      <c r="A523" t="s">
        <v>1173</v>
      </c>
      <c r="B523" t="s">
        <v>61</v>
      </c>
      <c r="C523" t="s">
        <v>14</v>
      </c>
      <c r="D523">
        <v>25</v>
      </c>
      <c r="E523" t="s">
        <v>175</v>
      </c>
      <c r="F523" t="s">
        <v>30</v>
      </c>
      <c r="G523" s="1">
        <v>45453</v>
      </c>
      <c r="H523" t="s">
        <v>1174</v>
      </c>
      <c r="I523" t="s">
        <v>200</v>
      </c>
      <c r="J523">
        <v>-1860089218</v>
      </c>
      <c r="K523" t="s">
        <v>19</v>
      </c>
      <c r="L523" t="b">
        <v>0</v>
      </c>
    </row>
    <row r="524" spans="1:12" x14ac:dyDescent="0.3">
      <c r="A524" t="s">
        <v>1175</v>
      </c>
      <c r="B524" t="s">
        <v>35</v>
      </c>
      <c r="C524" t="s">
        <v>106</v>
      </c>
      <c r="E524" t="s">
        <v>48</v>
      </c>
      <c r="F524" t="s">
        <v>30</v>
      </c>
      <c r="G524" s="1">
        <v>43929</v>
      </c>
      <c r="H524" t="s">
        <v>1176</v>
      </c>
      <c r="I524" t="s">
        <v>307</v>
      </c>
      <c r="J524">
        <v>-6394568043</v>
      </c>
      <c r="K524" t="s">
        <v>45</v>
      </c>
      <c r="L524" t="b">
        <v>0</v>
      </c>
    </row>
    <row r="525" spans="1:12" x14ac:dyDescent="0.3">
      <c r="A525" t="s">
        <v>1177</v>
      </c>
      <c r="B525" t="s">
        <v>27</v>
      </c>
      <c r="C525" t="s">
        <v>14</v>
      </c>
      <c r="D525">
        <v>25</v>
      </c>
      <c r="E525" t="s">
        <v>278</v>
      </c>
      <c r="F525" t="s">
        <v>36</v>
      </c>
      <c r="G525" s="1">
        <v>44740</v>
      </c>
      <c r="H525" t="s">
        <v>1178</v>
      </c>
      <c r="I525" t="s">
        <v>191</v>
      </c>
      <c r="J525">
        <v>-7314976460</v>
      </c>
      <c r="K525" t="s">
        <v>25</v>
      </c>
      <c r="L525" t="b">
        <v>1</v>
      </c>
    </row>
    <row r="526" spans="1:12" x14ac:dyDescent="0.3">
      <c r="A526" t="s">
        <v>1179</v>
      </c>
      <c r="B526" t="s">
        <v>75</v>
      </c>
      <c r="C526" t="s">
        <v>62</v>
      </c>
      <c r="D526">
        <v>30</v>
      </c>
      <c r="E526" t="s">
        <v>29</v>
      </c>
      <c r="F526" t="s">
        <v>30</v>
      </c>
      <c r="G526" s="1">
        <v>45121</v>
      </c>
      <c r="H526" t="s">
        <v>1180</v>
      </c>
      <c r="I526" t="s">
        <v>132</v>
      </c>
      <c r="J526">
        <v>-3684748835</v>
      </c>
      <c r="K526" t="s">
        <v>45</v>
      </c>
      <c r="L526" t="b">
        <v>0</v>
      </c>
    </row>
    <row r="527" spans="1:12" x14ac:dyDescent="0.3">
      <c r="A527" t="s">
        <v>1181</v>
      </c>
      <c r="B527" t="s">
        <v>13</v>
      </c>
      <c r="C527" t="s">
        <v>14</v>
      </c>
      <c r="E527" t="s">
        <v>229</v>
      </c>
      <c r="F527" t="s">
        <v>30</v>
      </c>
      <c r="G527" s="1">
        <v>45266</v>
      </c>
      <c r="H527" t="s">
        <v>1182</v>
      </c>
      <c r="I527" t="s">
        <v>18</v>
      </c>
      <c r="J527">
        <v>-765817389</v>
      </c>
      <c r="K527" t="s">
        <v>45</v>
      </c>
      <c r="L527" t="b">
        <v>0</v>
      </c>
    </row>
    <row r="528" spans="1:12" x14ac:dyDescent="0.3">
      <c r="A528" t="s">
        <v>1183</v>
      </c>
      <c r="B528" t="s">
        <v>13</v>
      </c>
      <c r="C528" t="s">
        <v>41</v>
      </c>
      <c r="E528" t="s">
        <v>91</v>
      </c>
      <c r="F528" t="s">
        <v>16</v>
      </c>
      <c r="G528" s="1">
        <v>44409</v>
      </c>
      <c r="H528" t="s">
        <v>1184</v>
      </c>
      <c r="I528" t="s">
        <v>170</v>
      </c>
      <c r="J528">
        <v>-6375791451</v>
      </c>
      <c r="K528" t="s">
        <v>45</v>
      </c>
      <c r="L528" t="b">
        <v>0</v>
      </c>
    </row>
    <row r="529" spans="1:12" x14ac:dyDescent="0.3">
      <c r="A529" t="s">
        <v>1185</v>
      </c>
      <c r="B529" t="s">
        <v>67</v>
      </c>
      <c r="C529" t="s">
        <v>62</v>
      </c>
      <c r="E529" t="s">
        <v>138</v>
      </c>
      <c r="F529" t="s">
        <v>30</v>
      </c>
      <c r="G529" s="1">
        <v>44244</v>
      </c>
      <c r="H529" t="s">
        <v>1186</v>
      </c>
      <c r="I529" t="s">
        <v>257</v>
      </c>
      <c r="J529">
        <v>-1182379311</v>
      </c>
      <c r="K529" t="s">
        <v>19</v>
      </c>
      <c r="L529" t="b">
        <v>0</v>
      </c>
    </row>
    <row r="530" spans="1:12" x14ac:dyDescent="0.3">
      <c r="A530" t="s">
        <v>1187</v>
      </c>
      <c r="B530" t="s">
        <v>61</v>
      </c>
      <c r="C530" t="s">
        <v>62</v>
      </c>
      <c r="D530">
        <v>25</v>
      </c>
      <c r="E530" t="s">
        <v>87</v>
      </c>
      <c r="F530" t="s">
        <v>16</v>
      </c>
      <c r="G530" s="1">
        <v>45240</v>
      </c>
      <c r="H530" t="s">
        <v>1188</v>
      </c>
      <c r="I530" t="s">
        <v>65</v>
      </c>
      <c r="J530">
        <v>-6978930745</v>
      </c>
      <c r="K530" t="s">
        <v>25</v>
      </c>
      <c r="L530" t="b">
        <v>0</v>
      </c>
    </row>
    <row r="531" spans="1:12" x14ac:dyDescent="0.3">
      <c r="A531" t="s">
        <v>1189</v>
      </c>
      <c r="B531" t="s">
        <v>27</v>
      </c>
      <c r="C531" t="s">
        <v>62</v>
      </c>
      <c r="D531">
        <v>25</v>
      </c>
      <c r="E531" t="s">
        <v>278</v>
      </c>
      <c r="F531" t="s">
        <v>16</v>
      </c>
      <c r="G531" s="1">
        <v>45541</v>
      </c>
      <c r="H531" t="s">
        <v>1190</v>
      </c>
      <c r="I531" t="s">
        <v>177</v>
      </c>
      <c r="J531">
        <v>-4520599603</v>
      </c>
      <c r="K531" t="s">
        <v>45</v>
      </c>
      <c r="L531" t="b">
        <v>1</v>
      </c>
    </row>
    <row r="532" spans="1:12" x14ac:dyDescent="0.3">
      <c r="A532" t="s">
        <v>1191</v>
      </c>
      <c r="B532" t="s">
        <v>13</v>
      </c>
      <c r="C532" t="s">
        <v>142</v>
      </c>
      <c r="E532" t="s">
        <v>98</v>
      </c>
      <c r="F532" t="s">
        <v>30</v>
      </c>
      <c r="G532" s="1">
        <v>44038</v>
      </c>
      <c r="H532" t="s">
        <v>1192</v>
      </c>
      <c r="I532" t="s">
        <v>144</v>
      </c>
      <c r="J532">
        <v>-3878753576</v>
      </c>
      <c r="K532" t="s">
        <v>25</v>
      </c>
      <c r="L532" t="b">
        <v>0</v>
      </c>
    </row>
    <row r="533" spans="1:12" x14ac:dyDescent="0.3">
      <c r="A533" t="s">
        <v>1193</v>
      </c>
      <c r="B533" t="s">
        <v>75</v>
      </c>
      <c r="C533" t="s">
        <v>47</v>
      </c>
      <c r="D533">
        <v>35</v>
      </c>
      <c r="E533" t="s">
        <v>251</v>
      </c>
      <c r="F533" t="s">
        <v>16</v>
      </c>
      <c r="G533" s="1">
        <v>44035</v>
      </c>
      <c r="H533" t="s">
        <v>1194</v>
      </c>
      <c r="I533" t="s">
        <v>300</v>
      </c>
      <c r="J533">
        <v>-8811616201</v>
      </c>
      <c r="K533" t="s">
        <v>25</v>
      </c>
      <c r="L533" t="b">
        <v>1</v>
      </c>
    </row>
    <row r="534" spans="1:12" x14ac:dyDescent="0.3">
      <c r="A534" t="s">
        <v>1195</v>
      </c>
      <c r="B534" t="s">
        <v>35</v>
      </c>
      <c r="C534" t="s">
        <v>142</v>
      </c>
      <c r="D534">
        <v>35</v>
      </c>
      <c r="E534" t="s">
        <v>15</v>
      </c>
      <c r="F534" t="s">
        <v>36</v>
      </c>
      <c r="G534" s="1">
        <v>45343</v>
      </c>
      <c r="H534" t="s">
        <v>1196</v>
      </c>
      <c r="I534" t="s">
        <v>632</v>
      </c>
      <c r="J534">
        <v>-8123710671</v>
      </c>
      <c r="K534" t="s">
        <v>19</v>
      </c>
      <c r="L534" t="b">
        <v>1</v>
      </c>
    </row>
    <row r="535" spans="1:12" x14ac:dyDescent="0.3">
      <c r="A535" t="s">
        <v>1197</v>
      </c>
      <c r="B535" t="s">
        <v>27</v>
      </c>
      <c r="C535" t="s">
        <v>142</v>
      </c>
      <c r="D535">
        <v>25</v>
      </c>
      <c r="E535" t="s">
        <v>29</v>
      </c>
      <c r="F535" t="s">
        <v>30</v>
      </c>
      <c r="G535" s="1">
        <v>44180</v>
      </c>
      <c r="H535" t="s">
        <v>1198</v>
      </c>
      <c r="I535" t="s">
        <v>217</v>
      </c>
      <c r="J535">
        <v>-8728660415</v>
      </c>
      <c r="K535" t="s">
        <v>45</v>
      </c>
      <c r="L535" t="b">
        <v>1</v>
      </c>
    </row>
    <row r="536" spans="1:12" x14ac:dyDescent="0.3">
      <c r="A536" t="s">
        <v>1199</v>
      </c>
      <c r="B536" t="s">
        <v>35</v>
      </c>
      <c r="C536" t="s">
        <v>41</v>
      </c>
      <c r="D536">
        <v>25</v>
      </c>
      <c r="E536" t="s">
        <v>172</v>
      </c>
      <c r="F536" t="s">
        <v>16</v>
      </c>
      <c r="G536" s="1">
        <v>44064</v>
      </c>
      <c r="H536" t="s">
        <v>1200</v>
      </c>
      <c r="I536" t="s">
        <v>167</v>
      </c>
      <c r="J536">
        <v>-4485959223</v>
      </c>
      <c r="K536" t="s">
        <v>45</v>
      </c>
      <c r="L536" t="b">
        <v>1</v>
      </c>
    </row>
    <row r="537" spans="1:12" x14ac:dyDescent="0.3">
      <c r="A537" t="s">
        <v>1201</v>
      </c>
      <c r="B537" t="s">
        <v>35</v>
      </c>
      <c r="C537" t="s">
        <v>106</v>
      </c>
      <c r="D537">
        <v>40</v>
      </c>
      <c r="E537" t="s">
        <v>270</v>
      </c>
      <c r="F537" t="s">
        <v>36</v>
      </c>
      <c r="G537" s="1">
        <v>45159</v>
      </c>
      <c r="H537" t="s">
        <v>1202</v>
      </c>
      <c r="I537" t="s">
        <v>307</v>
      </c>
      <c r="J537">
        <v>-8395894772</v>
      </c>
      <c r="K537" t="s">
        <v>25</v>
      </c>
      <c r="L537" t="b">
        <v>0</v>
      </c>
    </row>
    <row r="538" spans="1:12" x14ac:dyDescent="0.3">
      <c r="A538" t="s">
        <v>1203</v>
      </c>
      <c r="B538" t="s">
        <v>61</v>
      </c>
      <c r="C538" t="s">
        <v>47</v>
      </c>
      <c r="D538">
        <v>25</v>
      </c>
      <c r="E538" t="s">
        <v>120</v>
      </c>
      <c r="F538" t="s">
        <v>36</v>
      </c>
      <c r="G538" s="1">
        <v>45040</v>
      </c>
      <c r="H538" t="s">
        <v>1204</v>
      </c>
      <c r="I538" t="s">
        <v>100</v>
      </c>
      <c r="J538">
        <v>-5228705621</v>
      </c>
      <c r="K538" t="s">
        <v>33</v>
      </c>
      <c r="L538" t="b">
        <v>1</v>
      </c>
    </row>
    <row r="539" spans="1:12" x14ac:dyDescent="0.3">
      <c r="A539" t="s">
        <v>1205</v>
      </c>
      <c r="B539" t="s">
        <v>75</v>
      </c>
      <c r="C539" t="s">
        <v>14</v>
      </c>
      <c r="D539">
        <v>30</v>
      </c>
      <c r="E539" t="s">
        <v>87</v>
      </c>
      <c r="F539" t="s">
        <v>36</v>
      </c>
      <c r="G539" s="1">
        <v>45083</v>
      </c>
      <c r="H539" t="s">
        <v>1206</v>
      </c>
      <c r="I539" t="s">
        <v>469</v>
      </c>
      <c r="J539">
        <v>-7104331874</v>
      </c>
      <c r="K539" t="s">
        <v>19</v>
      </c>
      <c r="L539" t="b">
        <v>1</v>
      </c>
    </row>
    <row r="540" spans="1:12" x14ac:dyDescent="0.3">
      <c r="A540" t="s">
        <v>1207</v>
      </c>
      <c r="B540" t="s">
        <v>61</v>
      </c>
      <c r="C540" t="s">
        <v>28</v>
      </c>
      <c r="D540">
        <v>40</v>
      </c>
      <c r="E540" t="s">
        <v>22</v>
      </c>
      <c r="F540" t="s">
        <v>36</v>
      </c>
      <c r="G540" s="1">
        <v>44733</v>
      </c>
      <c r="H540" t="s">
        <v>1208</v>
      </c>
      <c r="I540" t="s">
        <v>140</v>
      </c>
      <c r="J540">
        <v>-1097921582</v>
      </c>
      <c r="K540" t="s">
        <v>19</v>
      </c>
      <c r="L540" t="b">
        <v>0</v>
      </c>
    </row>
    <row r="541" spans="1:12" x14ac:dyDescent="0.3">
      <c r="A541" t="s">
        <v>1209</v>
      </c>
      <c r="B541" t="s">
        <v>40</v>
      </c>
      <c r="C541" t="s">
        <v>62</v>
      </c>
      <c r="D541">
        <v>25</v>
      </c>
      <c r="E541" t="s">
        <v>386</v>
      </c>
      <c r="F541" t="s">
        <v>30</v>
      </c>
      <c r="G541" s="1">
        <v>45402</v>
      </c>
      <c r="H541" t="s">
        <v>1210</v>
      </c>
      <c r="I541" t="s">
        <v>316</v>
      </c>
      <c r="J541">
        <v>-5034469458</v>
      </c>
      <c r="K541" t="s">
        <v>19</v>
      </c>
      <c r="L541" t="b">
        <v>0</v>
      </c>
    </row>
    <row r="542" spans="1:12" x14ac:dyDescent="0.3">
      <c r="A542" t="s">
        <v>1211</v>
      </c>
      <c r="B542" t="s">
        <v>67</v>
      </c>
      <c r="C542" t="s">
        <v>14</v>
      </c>
      <c r="D542">
        <v>35</v>
      </c>
      <c r="E542" t="s">
        <v>113</v>
      </c>
      <c r="F542" t="s">
        <v>30</v>
      </c>
      <c r="G542" s="1">
        <v>45265</v>
      </c>
      <c r="H542" t="s">
        <v>1212</v>
      </c>
      <c r="I542" t="s">
        <v>73</v>
      </c>
      <c r="J542">
        <v>-6488319212</v>
      </c>
      <c r="K542" t="s">
        <v>19</v>
      </c>
      <c r="L542" t="b">
        <v>0</v>
      </c>
    </row>
    <row r="543" spans="1:12" x14ac:dyDescent="0.3">
      <c r="A543" t="s">
        <v>1213</v>
      </c>
      <c r="B543" t="s">
        <v>67</v>
      </c>
      <c r="C543" t="s">
        <v>62</v>
      </c>
      <c r="D543">
        <v>40</v>
      </c>
      <c r="E543" t="s">
        <v>175</v>
      </c>
      <c r="F543" t="s">
        <v>30</v>
      </c>
      <c r="G543" s="1">
        <v>45144</v>
      </c>
      <c r="H543" t="s">
        <v>1214</v>
      </c>
      <c r="I543" t="s">
        <v>257</v>
      </c>
      <c r="J543">
        <v>-4249128964</v>
      </c>
      <c r="K543" t="s">
        <v>45</v>
      </c>
      <c r="L543" t="b">
        <v>1</v>
      </c>
    </row>
    <row r="544" spans="1:12" x14ac:dyDescent="0.3">
      <c r="A544" t="s">
        <v>1215</v>
      </c>
      <c r="B544" t="s">
        <v>27</v>
      </c>
      <c r="C544" t="s">
        <v>41</v>
      </c>
      <c r="D544">
        <v>25</v>
      </c>
      <c r="E544" t="s">
        <v>63</v>
      </c>
      <c r="F544" t="s">
        <v>30</v>
      </c>
      <c r="G544" s="1">
        <v>45569</v>
      </c>
      <c r="H544" t="s">
        <v>1216</v>
      </c>
      <c r="I544" t="s">
        <v>431</v>
      </c>
      <c r="J544">
        <v>-9994973202</v>
      </c>
      <c r="K544" t="s">
        <v>45</v>
      </c>
      <c r="L544" t="b">
        <v>0</v>
      </c>
    </row>
    <row r="545" spans="1:12" x14ac:dyDescent="0.3">
      <c r="A545" t="s">
        <v>1217</v>
      </c>
      <c r="B545" t="s">
        <v>61</v>
      </c>
      <c r="C545" t="s">
        <v>62</v>
      </c>
      <c r="D545">
        <v>25</v>
      </c>
      <c r="E545" t="s">
        <v>81</v>
      </c>
      <c r="F545" t="s">
        <v>16</v>
      </c>
      <c r="G545" s="1">
        <v>44508</v>
      </c>
      <c r="H545" t="s">
        <v>1218</v>
      </c>
      <c r="I545" t="s">
        <v>65</v>
      </c>
      <c r="J545">
        <v>-3192227050</v>
      </c>
      <c r="K545" t="s">
        <v>33</v>
      </c>
      <c r="L545" t="b">
        <v>0</v>
      </c>
    </row>
    <row r="546" spans="1:12" x14ac:dyDescent="0.3">
      <c r="A546" t="s">
        <v>1219</v>
      </c>
      <c r="B546" t="s">
        <v>67</v>
      </c>
      <c r="C546" t="s">
        <v>142</v>
      </c>
      <c r="E546" t="s">
        <v>270</v>
      </c>
      <c r="F546" t="s">
        <v>36</v>
      </c>
      <c r="G546" s="1">
        <v>45504</v>
      </c>
      <c r="H546" t="s">
        <v>1220</v>
      </c>
      <c r="I546" t="s">
        <v>402</v>
      </c>
      <c r="J546">
        <v>-287675480</v>
      </c>
      <c r="K546" t="s">
        <v>19</v>
      </c>
      <c r="L546" t="b">
        <v>1</v>
      </c>
    </row>
    <row r="547" spans="1:12" x14ac:dyDescent="0.3">
      <c r="A547" t="s">
        <v>1221</v>
      </c>
      <c r="B547" t="s">
        <v>75</v>
      </c>
      <c r="C547" t="s">
        <v>47</v>
      </c>
      <c r="D547">
        <v>25</v>
      </c>
      <c r="E547" t="s">
        <v>130</v>
      </c>
      <c r="F547" t="s">
        <v>36</v>
      </c>
      <c r="G547" s="1">
        <v>44074</v>
      </c>
      <c r="H547" t="s">
        <v>1222</v>
      </c>
      <c r="I547" t="s">
        <v>300</v>
      </c>
      <c r="J547">
        <v>-3866675484</v>
      </c>
      <c r="K547" t="s">
        <v>19</v>
      </c>
      <c r="L547" t="b">
        <v>0</v>
      </c>
    </row>
    <row r="548" spans="1:12" x14ac:dyDescent="0.3">
      <c r="A548" t="s">
        <v>1223</v>
      </c>
      <c r="B548" t="s">
        <v>27</v>
      </c>
      <c r="C548" t="s">
        <v>28</v>
      </c>
      <c r="D548">
        <v>25</v>
      </c>
      <c r="E548" t="s">
        <v>130</v>
      </c>
      <c r="F548" t="s">
        <v>16</v>
      </c>
      <c r="G548" s="1">
        <v>44972</v>
      </c>
      <c r="H548" t="s">
        <v>1224</v>
      </c>
      <c r="I548" t="s">
        <v>32</v>
      </c>
      <c r="J548">
        <v>-8193242686</v>
      </c>
      <c r="K548" t="s">
        <v>25</v>
      </c>
      <c r="L548" t="b">
        <v>0</v>
      </c>
    </row>
    <row r="549" spans="1:12" x14ac:dyDescent="0.3">
      <c r="A549" t="s">
        <v>1225</v>
      </c>
      <c r="B549" t="s">
        <v>35</v>
      </c>
      <c r="C549" t="s">
        <v>21</v>
      </c>
      <c r="E549" t="s">
        <v>126</v>
      </c>
      <c r="F549" t="s">
        <v>30</v>
      </c>
      <c r="G549" s="1">
        <v>45206</v>
      </c>
      <c r="H549" t="s">
        <v>1226</v>
      </c>
      <c r="I549" t="s">
        <v>183</v>
      </c>
      <c r="J549">
        <v>-7418652056</v>
      </c>
      <c r="K549" t="s">
        <v>45</v>
      </c>
      <c r="L549" t="b">
        <v>0</v>
      </c>
    </row>
    <row r="550" spans="1:12" x14ac:dyDescent="0.3">
      <c r="A550" t="s">
        <v>1227</v>
      </c>
      <c r="B550" t="s">
        <v>27</v>
      </c>
      <c r="C550" t="s">
        <v>62</v>
      </c>
      <c r="D550">
        <v>30</v>
      </c>
      <c r="E550" t="s">
        <v>81</v>
      </c>
      <c r="F550" t="s">
        <v>30</v>
      </c>
      <c r="G550" s="1">
        <v>45402</v>
      </c>
      <c r="H550" t="s">
        <v>1228</v>
      </c>
      <c r="I550" t="s">
        <v>177</v>
      </c>
      <c r="J550">
        <v>-5639836519</v>
      </c>
      <c r="K550" t="s">
        <v>19</v>
      </c>
      <c r="L550" t="b">
        <v>0</v>
      </c>
    </row>
    <row r="551" spans="1:12" x14ac:dyDescent="0.3">
      <c r="A551" t="s">
        <v>1229</v>
      </c>
      <c r="B551" t="s">
        <v>40</v>
      </c>
      <c r="C551" t="s">
        <v>14</v>
      </c>
      <c r="D551">
        <v>40</v>
      </c>
      <c r="E551" t="s">
        <v>187</v>
      </c>
      <c r="F551" t="s">
        <v>30</v>
      </c>
      <c r="G551" s="1">
        <v>44285</v>
      </c>
      <c r="H551" t="s">
        <v>1230</v>
      </c>
      <c r="I551" t="s">
        <v>59</v>
      </c>
      <c r="J551">
        <v>-3758309450</v>
      </c>
      <c r="K551" t="s">
        <v>33</v>
      </c>
      <c r="L551" t="b">
        <v>1</v>
      </c>
    </row>
    <row r="552" spans="1:12" x14ac:dyDescent="0.3">
      <c r="A552" t="s">
        <v>1231</v>
      </c>
      <c r="B552" t="s">
        <v>35</v>
      </c>
      <c r="C552" t="s">
        <v>142</v>
      </c>
      <c r="E552" t="s">
        <v>210</v>
      </c>
      <c r="F552" t="s">
        <v>30</v>
      </c>
      <c r="G552" s="1">
        <v>44048</v>
      </c>
      <c r="H552" t="s">
        <v>1232</v>
      </c>
      <c r="I552" t="s">
        <v>632</v>
      </c>
      <c r="J552">
        <v>-5480940475</v>
      </c>
      <c r="K552" t="s">
        <v>33</v>
      </c>
      <c r="L552" t="b">
        <v>0</v>
      </c>
    </row>
    <row r="553" spans="1:12" x14ac:dyDescent="0.3">
      <c r="A553" t="s">
        <v>1233</v>
      </c>
      <c r="B553" t="s">
        <v>61</v>
      </c>
      <c r="C553" t="s">
        <v>21</v>
      </c>
      <c r="D553">
        <v>40</v>
      </c>
      <c r="E553" t="s">
        <v>312</v>
      </c>
      <c r="F553" t="s">
        <v>30</v>
      </c>
      <c r="G553" s="1">
        <v>44232</v>
      </c>
      <c r="H553" t="s">
        <v>1234</v>
      </c>
      <c r="I553" t="s">
        <v>147</v>
      </c>
      <c r="J553">
        <v>-440907976</v>
      </c>
      <c r="K553" t="s">
        <v>45</v>
      </c>
      <c r="L553" t="b">
        <v>0</v>
      </c>
    </row>
    <row r="554" spans="1:12" x14ac:dyDescent="0.3">
      <c r="A554" t="s">
        <v>1235</v>
      </c>
      <c r="B554" t="s">
        <v>80</v>
      </c>
      <c r="C554" t="s">
        <v>28</v>
      </c>
      <c r="D554">
        <v>30</v>
      </c>
      <c r="E554" t="s">
        <v>267</v>
      </c>
      <c r="F554" t="s">
        <v>30</v>
      </c>
      <c r="G554" s="1">
        <v>44523</v>
      </c>
      <c r="H554" t="s">
        <v>1236</v>
      </c>
      <c r="I554" t="s">
        <v>89</v>
      </c>
      <c r="J554">
        <v>-2781050921</v>
      </c>
      <c r="K554" t="s">
        <v>33</v>
      </c>
      <c r="L554" t="b">
        <v>1</v>
      </c>
    </row>
    <row r="555" spans="1:12" x14ac:dyDescent="0.3">
      <c r="A555" t="s">
        <v>1237</v>
      </c>
      <c r="B555" t="s">
        <v>13</v>
      </c>
      <c r="C555" t="s">
        <v>21</v>
      </c>
      <c r="D555">
        <v>40</v>
      </c>
      <c r="E555" t="s">
        <v>116</v>
      </c>
      <c r="F555" t="s">
        <v>30</v>
      </c>
      <c r="G555" s="1">
        <v>44863</v>
      </c>
      <c r="H555" t="s">
        <v>1238</v>
      </c>
      <c r="I555" t="s">
        <v>24</v>
      </c>
      <c r="J555">
        <v>-2161070517</v>
      </c>
      <c r="K555" t="s">
        <v>33</v>
      </c>
      <c r="L555" t="b">
        <v>0</v>
      </c>
    </row>
    <row r="556" spans="1:12" x14ac:dyDescent="0.3">
      <c r="A556" t="s">
        <v>1239</v>
      </c>
      <c r="B556" t="s">
        <v>27</v>
      </c>
      <c r="C556" t="s">
        <v>142</v>
      </c>
      <c r="E556" t="s">
        <v>309</v>
      </c>
      <c r="F556" t="s">
        <v>36</v>
      </c>
      <c r="G556" s="1">
        <v>44872</v>
      </c>
      <c r="H556" t="s">
        <v>1240</v>
      </c>
      <c r="I556" t="s">
        <v>217</v>
      </c>
      <c r="J556">
        <v>-4390552957</v>
      </c>
      <c r="K556" t="s">
        <v>45</v>
      </c>
      <c r="L556" t="b">
        <v>1</v>
      </c>
    </row>
    <row r="557" spans="1:12" x14ac:dyDescent="0.3">
      <c r="A557" t="s">
        <v>1241</v>
      </c>
      <c r="B557" t="s">
        <v>61</v>
      </c>
      <c r="C557" t="s">
        <v>47</v>
      </c>
      <c r="D557">
        <v>30</v>
      </c>
      <c r="E557" t="s">
        <v>42</v>
      </c>
      <c r="F557" t="s">
        <v>30</v>
      </c>
      <c r="G557" s="1">
        <v>45060</v>
      </c>
      <c r="H557" t="s">
        <v>1242</v>
      </c>
      <c r="I557" t="s">
        <v>100</v>
      </c>
      <c r="J557">
        <v>-660138240</v>
      </c>
      <c r="K557" t="s">
        <v>19</v>
      </c>
      <c r="L557" t="b">
        <v>0</v>
      </c>
    </row>
    <row r="558" spans="1:12" x14ac:dyDescent="0.3">
      <c r="A558" t="s">
        <v>1243</v>
      </c>
      <c r="B558" t="s">
        <v>80</v>
      </c>
      <c r="C558" t="s">
        <v>47</v>
      </c>
      <c r="D558">
        <v>40</v>
      </c>
      <c r="E558" t="s">
        <v>259</v>
      </c>
      <c r="F558" t="s">
        <v>16</v>
      </c>
      <c r="G558" s="1">
        <v>44391</v>
      </c>
      <c r="H558" t="s">
        <v>1244</v>
      </c>
      <c r="I558" t="s">
        <v>96</v>
      </c>
      <c r="J558">
        <v>-2704938619</v>
      </c>
      <c r="K558" t="s">
        <v>19</v>
      </c>
      <c r="L558" t="b">
        <v>1</v>
      </c>
    </row>
    <row r="559" spans="1:12" x14ac:dyDescent="0.3">
      <c r="A559" t="s">
        <v>1245</v>
      </c>
      <c r="B559" t="s">
        <v>35</v>
      </c>
      <c r="C559" t="s">
        <v>106</v>
      </c>
      <c r="D559">
        <v>40</v>
      </c>
      <c r="E559" t="s">
        <v>233</v>
      </c>
      <c r="F559" t="s">
        <v>36</v>
      </c>
      <c r="G559" s="1">
        <v>45064</v>
      </c>
      <c r="H559" t="s">
        <v>1246</v>
      </c>
      <c r="I559" t="s">
        <v>307</v>
      </c>
      <c r="J559">
        <v>-4485157918</v>
      </c>
      <c r="K559" t="s">
        <v>33</v>
      </c>
      <c r="L559" t="b">
        <v>1</v>
      </c>
    </row>
    <row r="560" spans="1:12" x14ac:dyDescent="0.3">
      <c r="A560" t="s">
        <v>1247</v>
      </c>
      <c r="B560" t="s">
        <v>35</v>
      </c>
      <c r="C560" t="s">
        <v>47</v>
      </c>
      <c r="E560" t="s">
        <v>175</v>
      </c>
      <c r="F560" t="s">
        <v>30</v>
      </c>
      <c r="G560" s="1">
        <v>44964</v>
      </c>
      <c r="H560" t="s">
        <v>1248</v>
      </c>
      <c r="I560" t="s">
        <v>346</v>
      </c>
      <c r="J560">
        <v>-7111212589</v>
      </c>
      <c r="K560" t="s">
        <v>33</v>
      </c>
      <c r="L560" t="b">
        <v>1</v>
      </c>
    </row>
    <row r="561" spans="1:12" x14ac:dyDescent="0.3">
      <c r="A561" t="s">
        <v>1249</v>
      </c>
      <c r="B561" t="s">
        <v>35</v>
      </c>
      <c r="C561" t="s">
        <v>106</v>
      </c>
      <c r="D561">
        <v>35</v>
      </c>
      <c r="E561" t="s">
        <v>63</v>
      </c>
      <c r="F561" t="s">
        <v>30</v>
      </c>
      <c r="G561" s="1">
        <v>45162</v>
      </c>
      <c r="H561" t="s">
        <v>1250</v>
      </c>
      <c r="I561" t="s">
        <v>307</v>
      </c>
      <c r="J561">
        <v>-2035713431</v>
      </c>
      <c r="K561" t="s">
        <v>19</v>
      </c>
      <c r="L561" t="b">
        <v>1</v>
      </c>
    </row>
    <row r="562" spans="1:12" x14ac:dyDescent="0.3">
      <c r="A562" t="s">
        <v>1251</v>
      </c>
      <c r="B562" t="s">
        <v>40</v>
      </c>
      <c r="C562" t="s">
        <v>21</v>
      </c>
      <c r="D562">
        <v>25</v>
      </c>
      <c r="E562" t="s">
        <v>229</v>
      </c>
      <c r="F562" t="s">
        <v>36</v>
      </c>
      <c r="G562" s="1">
        <v>45024</v>
      </c>
      <c r="H562" t="s">
        <v>1252</v>
      </c>
      <c r="I562" t="s">
        <v>280</v>
      </c>
      <c r="J562">
        <v>-4064242955</v>
      </c>
      <c r="K562" t="s">
        <v>45</v>
      </c>
      <c r="L562" t="b">
        <v>0</v>
      </c>
    </row>
    <row r="563" spans="1:12" x14ac:dyDescent="0.3">
      <c r="A563" t="s">
        <v>1253</v>
      </c>
      <c r="B563" t="s">
        <v>80</v>
      </c>
      <c r="C563" t="s">
        <v>41</v>
      </c>
      <c r="E563" t="s">
        <v>251</v>
      </c>
      <c r="F563" t="s">
        <v>16</v>
      </c>
      <c r="G563" s="1">
        <v>44901</v>
      </c>
      <c r="H563" t="s">
        <v>1254</v>
      </c>
      <c r="I563" t="s">
        <v>83</v>
      </c>
      <c r="J563">
        <v>-3343244740</v>
      </c>
      <c r="K563" t="s">
        <v>33</v>
      </c>
      <c r="L563" t="b">
        <v>1</v>
      </c>
    </row>
    <row r="564" spans="1:12" x14ac:dyDescent="0.3">
      <c r="A564" t="s">
        <v>1255</v>
      </c>
      <c r="B564" t="s">
        <v>27</v>
      </c>
      <c r="C564" t="s">
        <v>14</v>
      </c>
      <c r="D564">
        <v>25</v>
      </c>
      <c r="E564" t="s">
        <v>138</v>
      </c>
      <c r="F564" t="s">
        <v>16</v>
      </c>
      <c r="G564" s="1">
        <v>44417</v>
      </c>
      <c r="H564" t="s">
        <v>1256</v>
      </c>
      <c r="I564" t="s">
        <v>191</v>
      </c>
      <c r="J564">
        <v>-7595587208</v>
      </c>
      <c r="K564" t="s">
        <v>25</v>
      </c>
      <c r="L564" t="b">
        <v>0</v>
      </c>
    </row>
    <row r="565" spans="1:12" x14ac:dyDescent="0.3">
      <c r="A565" t="s">
        <v>1257</v>
      </c>
      <c r="B565" t="s">
        <v>27</v>
      </c>
      <c r="C565" t="s">
        <v>14</v>
      </c>
      <c r="D565">
        <v>35</v>
      </c>
      <c r="E565" t="s">
        <v>102</v>
      </c>
      <c r="F565" t="s">
        <v>16</v>
      </c>
      <c r="G565" s="1">
        <v>44565</v>
      </c>
      <c r="H565" t="s">
        <v>1258</v>
      </c>
      <c r="I565" t="s">
        <v>191</v>
      </c>
      <c r="J565">
        <v>-6289365434</v>
      </c>
      <c r="K565" t="s">
        <v>45</v>
      </c>
      <c r="L565" t="b">
        <v>1</v>
      </c>
    </row>
    <row r="566" spans="1:12" x14ac:dyDescent="0.3">
      <c r="A566" t="s">
        <v>1259</v>
      </c>
      <c r="B566" t="s">
        <v>67</v>
      </c>
      <c r="C566" t="s">
        <v>21</v>
      </c>
      <c r="E566" t="s">
        <v>267</v>
      </c>
      <c r="F566" t="s">
        <v>30</v>
      </c>
      <c r="G566" s="1">
        <v>45437</v>
      </c>
      <c r="H566" t="s">
        <v>1260</v>
      </c>
      <c r="I566" t="s">
        <v>265</v>
      </c>
      <c r="J566">
        <v>-8841834373</v>
      </c>
      <c r="K566" t="s">
        <v>33</v>
      </c>
      <c r="L566" t="b">
        <v>1</v>
      </c>
    </row>
    <row r="567" spans="1:12" x14ac:dyDescent="0.3">
      <c r="A567" t="s">
        <v>1261</v>
      </c>
      <c r="B567" t="s">
        <v>27</v>
      </c>
      <c r="C567" t="s">
        <v>62</v>
      </c>
      <c r="D567">
        <v>40</v>
      </c>
      <c r="E567" t="s">
        <v>130</v>
      </c>
      <c r="F567" t="s">
        <v>30</v>
      </c>
      <c r="G567" s="1">
        <v>44471</v>
      </c>
      <c r="H567" t="s">
        <v>1262</v>
      </c>
      <c r="I567" t="s">
        <v>177</v>
      </c>
      <c r="J567">
        <v>-182727954</v>
      </c>
      <c r="K567" t="s">
        <v>33</v>
      </c>
      <c r="L567" t="b">
        <v>1</v>
      </c>
    </row>
    <row r="568" spans="1:12" x14ac:dyDescent="0.3">
      <c r="A568" t="s">
        <v>1263</v>
      </c>
      <c r="B568" t="s">
        <v>35</v>
      </c>
      <c r="C568" t="s">
        <v>62</v>
      </c>
      <c r="D568">
        <v>30</v>
      </c>
      <c r="E568" t="s">
        <v>87</v>
      </c>
      <c r="F568" t="s">
        <v>16</v>
      </c>
      <c r="G568" s="1">
        <v>45128</v>
      </c>
      <c r="H568" t="s">
        <v>1264</v>
      </c>
      <c r="I568" t="s">
        <v>380</v>
      </c>
      <c r="J568">
        <v>-9690515025</v>
      </c>
      <c r="K568" t="s">
        <v>25</v>
      </c>
      <c r="L568" t="b">
        <v>0</v>
      </c>
    </row>
    <row r="569" spans="1:12" x14ac:dyDescent="0.3">
      <c r="A569" t="s">
        <v>1265</v>
      </c>
      <c r="B569" t="s">
        <v>67</v>
      </c>
      <c r="C569" t="s">
        <v>47</v>
      </c>
      <c r="D569">
        <v>30</v>
      </c>
      <c r="E569" t="s">
        <v>251</v>
      </c>
      <c r="F569" t="s">
        <v>16</v>
      </c>
      <c r="G569" s="1">
        <v>45229</v>
      </c>
      <c r="H569" t="s">
        <v>1266</v>
      </c>
      <c r="I569" t="s">
        <v>118</v>
      </c>
      <c r="J569">
        <v>-7551254277</v>
      </c>
      <c r="K569" t="s">
        <v>25</v>
      </c>
      <c r="L569" t="b">
        <v>1</v>
      </c>
    </row>
    <row r="570" spans="1:12" x14ac:dyDescent="0.3">
      <c r="A570" t="s">
        <v>1267</v>
      </c>
      <c r="B570" t="s">
        <v>13</v>
      </c>
      <c r="C570" t="s">
        <v>14</v>
      </c>
      <c r="D570">
        <v>40</v>
      </c>
      <c r="E570" t="s">
        <v>42</v>
      </c>
      <c r="F570" t="s">
        <v>36</v>
      </c>
      <c r="G570" s="1">
        <v>44970</v>
      </c>
      <c r="H570" t="s">
        <v>1268</v>
      </c>
      <c r="I570" t="s">
        <v>18</v>
      </c>
      <c r="J570">
        <v>-2079799666</v>
      </c>
      <c r="K570" t="s">
        <v>19</v>
      </c>
      <c r="L570" t="b">
        <v>0</v>
      </c>
    </row>
    <row r="571" spans="1:12" x14ac:dyDescent="0.3">
      <c r="A571" t="s">
        <v>1269</v>
      </c>
      <c r="B571" t="s">
        <v>35</v>
      </c>
      <c r="C571" t="s">
        <v>14</v>
      </c>
      <c r="D571">
        <v>25</v>
      </c>
      <c r="E571" t="s">
        <v>251</v>
      </c>
      <c r="F571" t="s">
        <v>30</v>
      </c>
      <c r="G571" s="1">
        <v>44148</v>
      </c>
      <c r="H571" t="s">
        <v>1270</v>
      </c>
      <c r="I571" t="s">
        <v>38</v>
      </c>
      <c r="J571">
        <v>-3459576402</v>
      </c>
      <c r="K571" t="s">
        <v>45</v>
      </c>
      <c r="L571" t="b">
        <v>0</v>
      </c>
    </row>
    <row r="572" spans="1:12" x14ac:dyDescent="0.3">
      <c r="A572" t="s">
        <v>1271</v>
      </c>
      <c r="B572" t="s">
        <v>27</v>
      </c>
      <c r="C572" t="s">
        <v>106</v>
      </c>
      <c r="E572" t="s">
        <v>15</v>
      </c>
      <c r="F572" t="s">
        <v>36</v>
      </c>
      <c r="G572" s="1">
        <v>45448</v>
      </c>
      <c r="H572" t="s">
        <v>1272</v>
      </c>
      <c r="I572" t="s">
        <v>194</v>
      </c>
      <c r="J572">
        <v>-8166496901</v>
      </c>
      <c r="K572" t="s">
        <v>45</v>
      </c>
      <c r="L572" t="b">
        <v>0</v>
      </c>
    </row>
    <row r="573" spans="1:12" x14ac:dyDescent="0.3">
      <c r="A573" t="s">
        <v>1273</v>
      </c>
      <c r="B573" t="s">
        <v>40</v>
      </c>
      <c r="C573" t="s">
        <v>41</v>
      </c>
      <c r="E573" t="s">
        <v>233</v>
      </c>
      <c r="F573" t="s">
        <v>30</v>
      </c>
      <c r="G573" s="1">
        <v>43970</v>
      </c>
      <c r="H573" t="s">
        <v>1274</v>
      </c>
      <c r="I573" t="s">
        <v>44</v>
      </c>
      <c r="J573">
        <v>-8249839224</v>
      </c>
      <c r="K573" t="s">
        <v>19</v>
      </c>
      <c r="L573" t="b">
        <v>0</v>
      </c>
    </row>
    <row r="574" spans="1:12" x14ac:dyDescent="0.3">
      <c r="A574" t="s">
        <v>1275</v>
      </c>
      <c r="B574" t="s">
        <v>80</v>
      </c>
      <c r="C574" t="s">
        <v>142</v>
      </c>
      <c r="D574">
        <v>25</v>
      </c>
      <c r="E574" t="s">
        <v>76</v>
      </c>
      <c r="F574" t="s">
        <v>16</v>
      </c>
      <c r="G574" s="1">
        <v>45189</v>
      </c>
      <c r="H574" t="s">
        <v>1276</v>
      </c>
      <c r="I574" t="s">
        <v>160</v>
      </c>
      <c r="J574">
        <v>-142576269</v>
      </c>
      <c r="K574" t="s">
        <v>45</v>
      </c>
      <c r="L574" t="b">
        <v>0</v>
      </c>
    </row>
    <row r="575" spans="1:12" x14ac:dyDescent="0.3">
      <c r="A575" t="s">
        <v>1277</v>
      </c>
      <c r="B575" t="s">
        <v>67</v>
      </c>
      <c r="C575" t="s">
        <v>62</v>
      </c>
      <c r="E575" t="s">
        <v>87</v>
      </c>
      <c r="F575" t="s">
        <v>30</v>
      </c>
      <c r="G575" s="1">
        <v>45517</v>
      </c>
      <c r="H575" t="s">
        <v>1278</v>
      </c>
      <c r="I575" t="s">
        <v>257</v>
      </c>
      <c r="J575">
        <v>-2324412335</v>
      </c>
      <c r="K575" t="s">
        <v>45</v>
      </c>
      <c r="L575" t="b">
        <v>0</v>
      </c>
    </row>
    <row r="576" spans="1:12" x14ac:dyDescent="0.3">
      <c r="A576" t="s">
        <v>1279</v>
      </c>
      <c r="B576" t="s">
        <v>13</v>
      </c>
      <c r="C576" t="s">
        <v>14</v>
      </c>
      <c r="D576">
        <v>35</v>
      </c>
      <c r="E576" t="s">
        <v>267</v>
      </c>
      <c r="F576" t="s">
        <v>30</v>
      </c>
      <c r="G576" s="1">
        <v>45087</v>
      </c>
      <c r="H576" t="s">
        <v>1280</v>
      </c>
      <c r="I576" t="s">
        <v>18</v>
      </c>
      <c r="J576">
        <v>-1328507250</v>
      </c>
      <c r="K576" t="s">
        <v>45</v>
      </c>
      <c r="L576" t="b">
        <v>0</v>
      </c>
    </row>
    <row r="577" spans="1:12" x14ac:dyDescent="0.3">
      <c r="A577" t="s">
        <v>1281</v>
      </c>
      <c r="B577" t="s">
        <v>27</v>
      </c>
      <c r="C577" t="s">
        <v>106</v>
      </c>
      <c r="D577">
        <v>35</v>
      </c>
      <c r="E577" t="s">
        <v>22</v>
      </c>
      <c r="F577" t="s">
        <v>36</v>
      </c>
      <c r="G577" s="1">
        <v>44356</v>
      </c>
      <c r="H577" t="s">
        <v>1282</v>
      </c>
      <c r="I577" t="s">
        <v>194</v>
      </c>
      <c r="J577">
        <v>-7863767315</v>
      </c>
      <c r="K577" t="s">
        <v>45</v>
      </c>
      <c r="L577" t="b">
        <v>0</v>
      </c>
    </row>
    <row r="578" spans="1:12" x14ac:dyDescent="0.3">
      <c r="A578" t="s">
        <v>1283</v>
      </c>
      <c r="B578" t="s">
        <v>40</v>
      </c>
      <c r="C578" t="s">
        <v>28</v>
      </c>
      <c r="E578" t="s">
        <v>87</v>
      </c>
      <c r="F578" t="s">
        <v>36</v>
      </c>
      <c r="G578" s="1">
        <v>43920</v>
      </c>
      <c r="H578" t="s">
        <v>1284</v>
      </c>
      <c r="I578" t="s">
        <v>53</v>
      </c>
      <c r="J578">
        <v>-2526546967</v>
      </c>
      <c r="K578" t="s">
        <v>45</v>
      </c>
      <c r="L578" t="b">
        <v>0</v>
      </c>
    </row>
    <row r="579" spans="1:12" x14ac:dyDescent="0.3">
      <c r="A579" t="s">
        <v>1285</v>
      </c>
      <c r="B579" t="s">
        <v>40</v>
      </c>
      <c r="C579" t="s">
        <v>106</v>
      </c>
      <c r="E579" t="s">
        <v>187</v>
      </c>
      <c r="F579" t="s">
        <v>16</v>
      </c>
      <c r="G579" s="1">
        <v>45414</v>
      </c>
      <c r="H579" t="s">
        <v>322</v>
      </c>
      <c r="I579" t="s">
        <v>128</v>
      </c>
      <c r="J579">
        <v>-1579039234</v>
      </c>
      <c r="K579" t="s">
        <v>25</v>
      </c>
      <c r="L579" t="b">
        <v>1</v>
      </c>
    </row>
    <row r="580" spans="1:12" x14ac:dyDescent="0.3">
      <c r="A580" t="s">
        <v>1286</v>
      </c>
      <c r="B580" t="s">
        <v>13</v>
      </c>
      <c r="C580" t="s">
        <v>62</v>
      </c>
      <c r="D580">
        <v>30</v>
      </c>
      <c r="E580" t="s">
        <v>386</v>
      </c>
      <c r="F580" t="s">
        <v>16</v>
      </c>
      <c r="G580" s="1">
        <v>45602</v>
      </c>
      <c r="H580" t="s">
        <v>1287</v>
      </c>
      <c r="I580" t="s">
        <v>237</v>
      </c>
      <c r="J580">
        <v>-5580996131</v>
      </c>
      <c r="K580" t="s">
        <v>45</v>
      </c>
      <c r="L580" t="b">
        <v>1</v>
      </c>
    </row>
    <row r="581" spans="1:12" x14ac:dyDescent="0.3">
      <c r="A581" t="s">
        <v>1288</v>
      </c>
      <c r="B581" t="s">
        <v>67</v>
      </c>
      <c r="C581" t="s">
        <v>62</v>
      </c>
      <c r="E581" t="s">
        <v>386</v>
      </c>
      <c r="F581" t="s">
        <v>36</v>
      </c>
      <c r="G581" s="1">
        <v>45155</v>
      </c>
      <c r="H581" t="s">
        <v>1289</v>
      </c>
      <c r="I581" t="s">
        <v>257</v>
      </c>
      <c r="J581">
        <v>-7303461561</v>
      </c>
      <c r="K581" t="s">
        <v>25</v>
      </c>
      <c r="L581" t="b">
        <v>1</v>
      </c>
    </row>
    <row r="582" spans="1:12" x14ac:dyDescent="0.3">
      <c r="A582" t="s">
        <v>1290</v>
      </c>
      <c r="B582" t="s">
        <v>61</v>
      </c>
      <c r="C582" t="s">
        <v>106</v>
      </c>
      <c r="D582">
        <v>25</v>
      </c>
      <c r="E582" t="s">
        <v>116</v>
      </c>
      <c r="F582" t="s">
        <v>36</v>
      </c>
      <c r="G582" s="1">
        <v>43908</v>
      </c>
      <c r="H582" t="s">
        <v>1291</v>
      </c>
      <c r="I582" t="s">
        <v>607</v>
      </c>
      <c r="J582">
        <v>-6244670461</v>
      </c>
      <c r="K582" t="s">
        <v>45</v>
      </c>
      <c r="L582" t="b">
        <v>1</v>
      </c>
    </row>
    <row r="583" spans="1:12" x14ac:dyDescent="0.3">
      <c r="A583" t="s">
        <v>1292</v>
      </c>
      <c r="B583" t="s">
        <v>35</v>
      </c>
      <c r="C583" t="s">
        <v>142</v>
      </c>
      <c r="E583" t="s">
        <v>110</v>
      </c>
      <c r="F583" t="s">
        <v>16</v>
      </c>
      <c r="G583" s="1">
        <v>44360</v>
      </c>
      <c r="H583" t="s">
        <v>1293</v>
      </c>
      <c r="I583" t="s">
        <v>632</v>
      </c>
      <c r="J583">
        <v>-2681715159</v>
      </c>
      <c r="K583" t="s">
        <v>19</v>
      </c>
      <c r="L583" t="b">
        <v>1</v>
      </c>
    </row>
    <row r="584" spans="1:12" x14ac:dyDescent="0.3">
      <c r="A584" t="s">
        <v>1294</v>
      </c>
      <c r="B584" t="s">
        <v>80</v>
      </c>
      <c r="C584" t="s">
        <v>21</v>
      </c>
      <c r="D584">
        <v>40</v>
      </c>
      <c r="E584" t="s">
        <v>165</v>
      </c>
      <c r="F584" t="s">
        <v>36</v>
      </c>
      <c r="G584" s="1">
        <v>45209</v>
      </c>
      <c r="H584" t="s">
        <v>322</v>
      </c>
      <c r="I584" t="s">
        <v>240</v>
      </c>
      <c r="J584">
        <v>-2529867075</v>
      </c>
      <c r="K584" t="s">
        <v>33</v>
      </c>
      <c r="L584" t="b">
        <v>0</v>
      </c>
    </row>
    <row r="585" spans="1:12" x14ac:dyDescent="0.3">
      <c r="A585" t="s">
        <v>1295</v>
      </c>
      <c r="B585" t="s">
        <v>13</v>
      </c>
      <c r="C585" t="s">
        <v>62</v>
      </c>
      <c r="E585" t="s">
        <v>98</v>
      </c>
      <c r="F585" t="s">
        <v>16</v>
      </c>
      <c r="G585" s="1">
        <v>44563</v>
      </c>
      <c r="H585" t="s">
        <v>1296</v>
      </c>
      <c r="I585" t="s">
        <v>237</v>
      </c>
      <c r="J585">
        <v>-6046419784</v>
      </c>
      <c r="K585" t="s">
        <v>25</v>
      </c>
      <c r="L585" t="b">
        <v>0</v>
      </c>
    </row>
    <row r="586" spans="1:12" x14ac:dyDescent="0.3">
      <c r="A586" t="s">
        <v>1297</v>
      </c>
      <c r="B586" t="s">
        <v>35</v>
      </c>
      <c r="C586" t="s">
        <v>106</v>
      </c>
      <c r="E586" t="s">
        <v>312</v>
      </c>
      <c r="F586" t="s">
        <v>36</v>
      </c>
      <c r="G586" s="1">
        <v>44612</v>
      </c>
      <c r="H586" t="s">
        <v>1298</v>
      </c>
      <c r="I586" t="s">
        <v>307</v>
      </c>
      <c r="J586">
        <v>-7585126860</v>
      </c>
      <c r="K586" t="s">
        <v>45</v>
      </c>
      <c r="L586" t="b">
        <v>0</v>
      </c>
    </row>
    <row r="587" spans="1:12" x14ac:dyDescent="0.3">
      <c r="A587" t="s">
        <v>1299</v>
      </c>
      <c r="B587" t="s">
        <v>75</v>
      </c>
      <c r="C587" t="s">
        <v>14</v>
      </c>
      <c r="D587">
        <v>30</v>
      </c>
      <c r="E587" t="s">
        <v>126</v>
      </c>
      <c r="F587" t="s">
        <v>16</v>
      </c>
      <c r="G587" s="1">
        <v>45360</v>
      </c>
      <c r="H587" t="s">
        <v>1300</v>
      </c>
      <c r="I587" t="s">
        <v>469</v>
      </c>
      <c r="J587">
        <v>-2059438975</v>
      </c>
      <c r="K587" t="s">
        <v>19</v>
      </c>
      <c r="L587" t="b">
        <v>0</v>
      </c>
    </row>
    <row r="588" spans="1:12" x14ac:dyDescent="0.3">
      <c r="A588" t="s">
        <v>1301</v>
      </c>
      <c r="B588" t="s">
        <v>35</v>
      </c>
      <c r="C588" t="s">
        <v>106</v>
      </c>
      <c r="D588">
        <v>30</v>
      </c>
      <c r="E588" t="s">
        <v>175</v>
      </c>
      <c r="F588" t="s">
        <v>30</v>
      </c>
      <c r="G588" s="1">
        <v>45157</v>
      </c>
      <c r="H588" t="s">
        <v>1302</v>
      </c>
      <c r="I588" t="s">
        <v>307</v>
      </c>
      <c r="J588">
        <v>-740177508</v>
      </c>
      <c r="K588" t="s">
        <v>33</v>
      </c>
      <c r="L588" t="b">
        <v>0</v>
      </c>
    </row>
    <row r="589" spans="1:12" x14ac:dyDescent="0.3">
      <c r="A589" t="s">
        <v>1303</v>
      </c>
      <c r="B589" t="s">
        <v>61</v>
      </c>
      <c r="C589" t="s">
        <v>41</v>
      </c>
      <c r="D589">
        <v>25</v>
      </c>
      <c r="E589" t="s">
        <v>187</v>
      </c>
      <c r="F589" t="s">
        <v>30</v>
      </c>
      <c r="G589" s="1">
        <v>45052</v>
      </c>
      <c r="H589" t="s">
        <v>1304</v>
      </c>
      <c r="I589" t="s">
        <v>104</v>
      </c>
      <c r="J589">
        <v>-5465408423</v>
      </c>
      <c r="K589" t="s">
        <v>25</v>
      </c>
      <c r="L589" t="b">
        <v>0</v>
      </c>
    </row>
    <row r="590" spans="1:12" x14ac:dyDescent="0.3">
      <c r="A590" t="s">
        <v>1305</v>
      </c>
      <c r="B590" t="s">
        <v>13</v>
      </c>
      <c r="C590" t="s">
        <v>21</v>
      </c>
      <c r="D590">
        <v>35</v>
      </c>
      <c r="E590" t="s">
        <v>29</v>
      </c>
      <c r="F590" t="s">
        <v>30</v>
      </c>
      <c r="G590" s="1">
        <v>45317</v>
      </c>
      <c r="H590" t="s">
        <v>1306</v>
      </c>
      <c r="I590" t="s">
        <v>24</v>
      </c>
      <c r="J590">
        <v>-5607540914</v>
      </c>
      <c r="K590" t="s">
        <v>33</v>
      </c>
      <c r="L590" t="b">
        <v>0</v>
      </c>
    </row>
    <row r="591" spans="1:12" x14ac:dyDescent="0.3">
      <c r="A591" t="s">
        <v>1307</v>
      </c>
      <c r="B591" t="s">
        <v>61</v>
      </c>
      <c r="C591" t="s">
        <v>28</v>
      </c>
      <c r="D591">
        <v>30</v>
      </c>
      <c r="E591" t="s">
        <v>233</v>
      </c>
      <c r="F591" t="s">
        <v>30</v>
      </c>
      <c r="G591" s="1">
        <v>45540</v>
      </c>
      <c r="H591" t="s">
        <v>1308</v>
      </c>
      <c r="I591" t="s">
        <v>140</v>
      </c>
      <c r="J591">
        <v>-863218121</v>
      </c>
      <c r="K591" t="s">
        <v>19</v>
      </c>
      <c r="L591" t="b">
        <v>1</v>
      </c>
    </row>
    <row r="592" spans="1:12" x14ac:dyDescent="0.3">
      <c r="A592" t="s">
        <v>1309</v>
      </c>
      <c r="B592" t="s">
        <v>27</v>
      </c>
      <c r="C592" t="s">
        <v>142</v>
      </c>
      <c r="E592" t="s">
        <v>116</v>
      </c>
      <c r="F592" t="s">
        <v>30</v>
      </c>
      <c r="G592" s="1">
        <v>43980</v>
      </c>
      <c r="H592" t="s">
        <v>1310</v>
      </c>
      <c r="I592" t="s">
        <v>217</v>
      </c>
      <c r="J592">
        <v>-7645793896</v>
      </c>
      <c r="K592" t="s">
        <v>25</v>
      </c>
      <c r="L592" t="b">
        <v>1</v>
      </c>
    </row>
    <row r="593" spans="1:12" x14ac:dyDescent="0.3">
      <c r="A593" t="s">
        <v>1311</v>
      </c>
      <c r="B593" t="s">
        <v>13</v>
      </c>
      <c r="C593" t="s">
        <v>47</v>
      </c>
      <c r="D593">
        <v>30</v>
      </c>
      <c r="E593" t="s">
        <v>91</v>
      </c>
      <c r="F593" t="s">
        <v>36</v>
      </c>
      <c r="G593" s="1">
        <v>44508</v>
      </c>
      <c r="H593" t="s">
        <v>1312</v>
      </c>
      <c r="I593" t="s">
        <v>180</v>
      </c>
      <c r="J593">
        <v>-155029167</v>
      </c>
      <c r="K593" t="s">
        <v>33</v>
      </c>
      <c r="L593" t="b">
        <v>1</v>
      </c>
    </row>
    <row r="594" spans="1:12" x14ac:dyDescent="0.3">
      <c r="A594" t="s">
        <v>1313</v>
      </c>
      <c r="B594" t="s">
        <v>67</v>
      </c>
      <c r="C594" t="s">
        <v>28</v>
      </c>
      <c r="D594">
        <v>25</v>
      </c>
      <c r="E594" t="s">
        <v>229</v>
      </c>
      <c r="F594" t="s">
        <v>16</v>
      </c>
      <c r="G594" s="1">
        <v>44227</v>
      </c>
      <c r="H594" t="s">
        <v>1314</v>
      </c>
      <c r="I594" t="s">
        <v>283</v>
      </c>
      <c r="J594">
        <v>-1546602415</v>
      </c>
      <c r="K594" t="s">
        <v>45</v>
      </c>
      <c r="L594" t="b">
        <v>1</v>
      </c>
    </row>
    <row r="595" spans="1:12" x14ac:dyDescent="0.3">
      <c r="A595" t="s">
        <v>1315</v>
      </c>
      <c r="B595" t="s">
        <v>35</v>
      </c>
      <c r="C595" t="s">
        <v>21</v>
      </c>
      <c r="E595" t="s">
        <v>102</v>
      </c>
      <c r="F595" t="s">
        <v>30</v>
      </c>
      <c r="G595" s="1">
        <v>44577</v>
      </c>
      <c r="H595" t="s">
        <v>1316</v>
      </c>
      <c r="I595" t="s">
        <v>183</v>
      </c>
      <c r="J595">
        <v>-1394498829</v>
      </c>
      <c r="K595" t="s">
        <v>25</v>
      </c>
      <c r="L595" t="b">
        <v>0</v>
      </c>
    </row>
    <row r="596" spans="1:12" x14ac:dyDescent="0.3">
      <c r="A596" t="s">
        <v>1317</v>
      </c>
      <c r="B596" t="s">
        <v>61</v>
      </c>
      <c r="C596" t="s">
        <v>21</v>
      </c>
      <c r="D596">
        <v>25</v>
      </c>
      <c r="E596" t="s">
        <v>76</v>
      </c>
      <c r="F596" t="s">
        <v>16</v>
      </c>
      <c r="G596" s="1">
        <v>45289</v>
      </c>
      <c r="H596" t="s">
        <v>1318</v>
      </c>
      <c r="I596" t="s">
        <v>147</v>
      </c>
      <c r="J596">
        <v>-5973642479</v>
      </c>
      <c r="K596" t="s">
        <v>33</v>
      </c>
      <c r="L596" t="b">
        <v>0</v>
      </c>
    </row>
    <row r="597" spans="1:12" x14ac:dyDescent="0.3">
      <c r="A597" t="s">
        <v>1319</v>
      </c>
      <c r="B597" t="s">
        <v>40</v>
      </c>
      <c r="C597" t="s">
        <v>21</v>
      </c>
      <c r="D597">
        <v>30</v>
      </c>
      <c r="E597" t="s">
        <v>386</v>
      </c>
      <c r="F597" t="s">
        <v>36</v>
      </c>
      <c r="G597" s="1">
        <v>45628</v>
      </c>
      <c r="H597" t="s">
        <v>1320</v>
      </c>
      <c r="I597" t="s">
        <v>280</v>
      </c>
      <c r="J597">
        <v>-9624406305</v>
      </c>
      <c r="K597" t="s">
        <v>19</v>
      </c>
      <c r="L597" t="b">
        <v>0</v>
      </c>
    </row>
    <row r="598" spans="1:12" x14ac:dyDescent="0.3">
      <c r="A598" t="s">
        <v>1321</v>
      </c>
      <c r="B598" t="s">
        <v>35</v>
      </c>
      <c r="C598" t="s">
        <v>28</v>
      </c>
      <c r="D598">
        <v>40</v>
      </c>
      <c r="E598" t="s">
        <v>48</v>
      </c>
      <c r="F598" t="s">
        <v>16</v>
      </c>
      <c r="G598" s="1">
        <v>45153</v>
      </c>
      <c r="H598" t="s">
        <v>1322</v>
      </c>
      <c r="I598" t="s">
        <v>323</v>
      </c>
      <c r="J598">
        <v>-2447951329</v>
      </c>
      <c r="K598" t="s">
        <v>19</v>
      </c>
      <c r="L598" t="b">
        <v>1</v>
      </c>
    </row>
    <row r="599" spans="1:12" x14ac:dyDescent="0.3">
      <c r="A599" t="s">
        <v>1323</v>
      </c>
      <c r="B599" t="s">
        <v>61</v>
      </c>
      <c r="C599" t="s">
        <v>14</v>
      </c>
      <c r="E599" t="s">
        <v>138</v>
      </c>
      <c r="F599" t="s">
        <v>30</v>
      </c>
      <c r="G599" s="1">
        <v>45646</v>
      </c>
      <c r="H599" t="s">
        <v>1324</v>
      </c>
      <c r="I599" t="s">
        <v>200</v>
      </c>
      <c r="J599">
        <v>-5319497968</v>
      </c>
      <c r="K599" t="s">
        <v>25</v>
      </c>
      <c r="L599" t="b">
        <v>0</v>
      </c>
    </row>
    <row r="600" spans="1:12" x14ac:dyDescent="0.3">
      <c r="A600" t="s">
        <v>1325</v>
      </c>
      <c r="B600" t="s">
        <v>27</v>
      </c>
      <c r="C600" t="s">
        <v>21</v>
      </c>
      <c r="E600" t="s">
        <v>278</v>
      </c>
      <c r="F600" t="s">
        <v>30</v>
      </c>
      <c r="G600" s="1">
        <v>45016</v>
      </c>
      <c r="H600" t="s">
        <v>1326</v>
      </c>
      <c r="I600" t="s">
        <v>93</v>
      </c>
      <c r="J600">
        <v>-5867805554</v>
      </c>
      <c r="K600" t="s">
        <v>33</v>
      </c>
      <c r="L600" t="b">
        <v>0</v>
      </c>
    </row>
    <row r="601" spans="1:12" x14ac:dyDescent="0.3">
      <c r="A601" t="s">
        <v>1327</v>
      </c>
      <c r="B601" t="s">
        <v>27</v>
      </c>
      <c r="C601" t="s">
        <v>106</v>
      </c>
      <c r="E601" t="s">
        <v>229</v>
      </c>
      <c r="F601" t="s">
        <v>30</v>
      </c>
      <c r="G601" s="1">
        <v>44797</v>
      </c>
      <c r="H601" t="s">
        <v>1328</v>
      </c>
      <c r="I601" t="s">
        <v>194</v>
      </c>
      <c r="J601">
        <v>-7277382645</v>
      </c>
      <c r="K601" t="s">
        <v>25</v>
      </c>
      <c r="L601" t="b">
        <v>0</v>
      </c>
    </row>
    <row r="602" spans="1:12" x14ac:dyDescent="0.3">
      <c r="A602" t="s">
        <v>1329</v>
      </c>
      <c r="B602" t="s">
        <v>80</v>
      </c>
      <c r="C602" t="s">
        <v>28</v>
      </c>
      <c r="D602">
        <v>30</v>
      </c>
      <c r="E602" t="s">
        <v>259</v>
      </c>
      <c r="F602" t="s">
        <v>36</v>
      </c>
      <c r="G602" s="1">
        <v>44105</v>
      </c>
      <c r="H602" t="s">
        <v>1330</v>
      </c>
      <c r="I602" t="s">
        <v>89</v>
      </c>
      <c r="J602">
        <v>-917851384</v>
      </c>
      <c r="K602" t="s">
        <v>25</v>
      </c>
      <c r="L602" t="b">
        <v>1</v>
      </c>
    </row>
    <row r="603" spans="1:12" x14ac:dyDescent="0.3">
      <c r="A603" t="s">
        <v>1331</v>
      </c>
      <c r="B603" t="s">
        <v>80</v>
      </c>
      <c r="C603" t="s">
        <v>47</v>
      </c>
      <c r="D603">
        <v>35</v>
      </c>
      <c r="E603" t="s">
        <v>48</v>
      </c>
      <c r="F603" t="s">
        <v>30</v>
      </c>
      <c r="G603" s="1">
        <v>44320</v>
      </c>
      <c r="H603" t="s">
        <v>1332</v>
      </c>
      <c r="I603" t="s">
        <v>96</v>
      </c>
      <c r="J603">
        <v>-4457702991</v>
      </c>
      <c r="K603" t="s">
        <v>33</v>
      </c>
      <c r="L603" t="b">
        <v>0</v>
      </c>
    </row>
    <row r="604" spans="1:12" x14ac:dyDescent="0.3">
      <c r="A604" t="s">
        <v>1333</v>
      </c>
      <c r="B604" t="s">
        <v>61</v>
      </c>
      <c r="C604" t="s">
        <v>21</v>
      </c>
      <c r="E604" t="s">
        <v>244</v>
      </c>
      <c r="F604" t="s">
        <v>16</v>
      </c>
      <c r="G604" s="1">
        <v>44197</v>
      </c>
      <c r="H604" t="s">
        <v>1334</v>
      </c>
      <c r="I604" t="s">
        <v>147</v>
      </c>
      <c r="J604">
        <v>-9596604872</v>
      </c>
      <c r="K604" t="s">
        <v>33</v>
      </c>
      <c r="L604" t="b">
        <v>1</v>
      </c>
    </row>
    <row r="605" spans="1:12" x14ac:dyDescent="0.3">
      <c r="A605" t="s">
        <v>1335</v>
      </c>
      <c r="B605" t="s">
        <v>61</v>
      </c>
      <c r="C605" t="s">
        <v>106</v>
      </c>
      <c r="D605">
        <v>40</v>
      </c>
      <c r="E605" t="s">
        <v>165</v>
      </c>
      <c r="F605" t="s">
        <v>16</v>
      </c>
      <c r="G605" s="1">
        <v>45390</v>
      </c>
      <c r="H605" t="s">
        <v>1336</v>
      </c>
      <c r="I605" t="s">
        <v>607</v>
      </c>
      <c r="J605">
        <v>-6826911632</v>
      </c>
      <c r="K605" t="s">
        <v>45</v>
      </c>
      <c r="L605" t="b">
        <v>1</v>
      </c>
    </row>
    <row r="606" spans="1:12" x14ac:dyDescent="0.3">
      <c r="A606" t="s">
        <v>1337</v>
      </c>
      <c r="B606" t="s">
        <v>40</v>
      </c>
      <c r="C606" t="s">
        <v>14</v>
      </c>
      <c r="D606">
        <v>30</v>
      </c>
      <c r="E606" t="s">
        <v>98</v>
      </c>
      <c r="F606" t="s">
        <v>16</v>
      </c>
      <c r="G606" s="1">
        <v>44891</v>
      </c>
      <c r="H606" t="s">
        <v>1338</v>
      </c>
      <c r="I606" t="s">
        <v>59</v>
      </c>
      <c r="J606">
        <v>-1942268652</v>
      </c>
      <c r="K606" t="s">
        <v>33</v>
      </c>
      <c r="L606" t="b">
        <v>1</v>
      </c>
    </row>
    <row r="607" spans="1:12" x14ac:dyDescent="0.3">
      <c r="A607" t="s">
        <v>1339</v>
      </c>
      <c r="B607" t="s">
        <v>75</v>
      </c>
      <c r="C607" t="s">
        <v>41</v>
      </c>
      <c r="D607">
        <v>40</v>
      </c>
      <c r="E607" t="s">
        <v>187</v>
      </c>
      <c r="F607" t="s">
        <v>30</v>
      </c>
      <c r="G607" s="1">
        <v>44494</v>
      </c>
      <c r="H607" t="s">
        <v>1340</v>
      </c>
      <c r="I607" t="s">
        <v>78</v>
      </c>
      <c r="J607">
        <v>-6945515887</v>
      </c>
      <c r="K607" t="s">
        <v>19</v>
      </c>
      <c r="L607" t="b">
        <v>1</v>
      </c>
    </row>
    <row r="608" spans="1:12" x14ac:dyDescent="0.3">
      <c r="A608" t="s">
        <v>1341</v>
      </c>
      <c r="B608" t="s">
        <v>35</v>
      </c>
      <c r="C608" t="s">
        <v>14</v>
      </c>
      <c r="D608">
        <v>35</v>
      </c>
      <c r="E608" t="s">
        <v>113</v>
      </c>
      <c r="F608" t="s">
        <v>30</v>
      </c>
      <c r="G608" s="1">
        <v>44187</v>
      </c>
      <c r="H608" t="s">
        <v>1342</v>
      </c>
      <c r="I608" t="s">
        <v>38</v>
      </c>
      <c r="J608">
        <v>-6367747225</v>
      </c>
      <c r="K608" t="s">
        <v>25</v>
      </c>
      <c r="L608" t="b">
        <v>0</v>
      </c>
    </row>
    <row r="609" spans="1:12" x14ac:dyDescent="0.3">
      <c r="A609" t="s">
        <v>1343</v>
      </c>
      <c r="B609" t="s">
        <v>13</v>
      </c>
      <c r="C609" t="s">
        <v>47</v>
      </c>
      <c r="E609" t="s">
        <v>251</v>
      </c>
      <c r="F609" t="s">
        <v>16</v>
      </c>
      <c r="G609" s="1">
        <v>44888</v>
      </c>
      <c r="H609" t="s">
        <v>1344</v>
      </c>
      <c r="I609" t="s">
        <v>180</v>
      </c>
      <c r="J609">
        <v>-4085721695</v>
      </c>
      <c r="K609" t="s">
        <v>25</v>
      </c>
      <c r="L609" t="b">
        <v>1</v>
      </c>
    </row>
    <row r="610" spans="1:12" x14ac:dyDescent="0.3">
      <c r="A610" t="s">
        <v>1345</v>
      </c>
      <c r="B610" t="s">
        <v>40</v>
      </c>
      <c r="C610" t="s">
        <v>21</v>
      </c>
      <c r="D610">
        <v>40</v>
      </c>
      <c r="E610" t="s">
        <v>309</v>
      </c>
      <c r="F610" t="s">
        <v>16</v>
      </c>
      <c r="G610" s="1">
        <v>44858</v>
      </c>
      <c r="H610" t="s">
        <v>1346</v>
      </c>
      <c r="I610" t="s">
        <v>280</v>
      </c>
      <c r="J610">
        <v>-6630932997</v>
      </c>
      <c r="K610" t="s">
        <v>19</v>
      </c>
      <c r="L610" t="b">
        <v>1</v>
      </c>
    </row>
    <row r="611" spans="1:12" x14ac:dyDescent="0.3">
      <c r="A611" t="s">
        <v>1347</v>
      </c>
      <c r="B611" t="s">
        <v>67</v>
      </c>
      <c r="C611" t="s">
        <v>47</v>
      </c>
      <c r="D611">
        <v>25</v>
      </c>
      <c r="E611" t="s">
        <v>259</v>
      </c>
      <c r="F611" t="s">
        <v>36</v>
      </c>
      <c r="G611" s="1">
        <v>44264</v>
      </c>
      <c r="H611" t="s">
        <v>1348</v>
      </c>
      <c r="I611" t="s">
        <v>118</v>
      </c>
      <c r="J611">
        <v>-1996059328</v>
      </c>
      <c r="K611" t="s">
        <v>33</v>
      </c>
      <c r="L611" t="b">
        <v>0</v>
      </c>
    </row>
    <row r="612" spans="1:12" x14ac:dyDescent="0.3">
      <c r="A612" t="s">
        <v>1349</v>
      </c>
      <c r="B612" t="s">
        <v>13</v>
      </c>
      <c r="C612" t="s">
        <v>28</v>
      </c>
      <c r="D612">
        <v>30</v>
      </c>
      <c r="E612" t="s">
        <v>81</v>
      </c>
      <c r="F612" t="s">
        <v>30</v>
      </c>
      <c r="G612" s="1">
        <v>44063</v>
      </c>
      <c r="H612" t="s">
        <v>1350</v>
      </c>
      <c r="I612" t="s">
        <v>56</v>
      </c>
      <c r="J612">
        <v>-7150968831</v>
      </c>
      <c r="K612" t="s">
        <v>19</v>
      </c>
      <c r="L612" t="b">
        <v>0</v>
      </c>
    </row>
    <row r="613" spans="1:12" x14ac:dyDescent="0.3">
      <c r="A613" t="s">
        <v>1351</v>
      </c>
      <c r="B613" t="s">
        <v>67</v>
      </c>
      <c r="C613" t="s">
        <v>62</v>
      </c>
      <c r="E613" t="s">
        <v>29</v>
      </c>
      <c r="F613" t="s">
        <v>36</v>
      </c>
      <c r="G613" s="1">
        <v>43876</v>
      </c>
      <c r="H613" t="s">
        <v>1352</v>
      </c>
      <c r="I613" t="s">
        <v>257</v>
      </c>
      <c r="J613">
        <v>-7532735240</v>
      </c>
      <c r="K613" t="s">
        <v>19</v>
      </c>
      <c r="L613" t="b">
        <v>1</v>
      </c>
    </row>
    <row r="614" spans="1:12" x14ac:dyDescent="0.3">
      <c r="A614" t="s">
        <v>1353</v>
      </c>
      <c r="B614" t="s">
        <v>61</v>
      </c>
      <c r="C614" t="s">
        <v>21</v>
      </c>
      <c r="D614">
        <v>30</v>
      </c>
      <c r="E614" t="s">
        <v>91</v>
      </c>
      <c r="F614" t="s">
        <v>16</v>
      </c>
      <c r="G614" s="1">
        <v>45655</v>
      </c>
      <c r="H614" t="s">
        <v>1354</v>
      </c>
      <c r="I614" t="s">
        <v>147</v>
      </c>
      <c r="J614">
        <v>-397739731</v>
      </c>
      <c r="K614" t="s">
        <v>45</v>
      </c>
      <c r="L614" t="b">
        <v>0</v>
      </c>
    </row>
    <row r="615" spans="1:12" x14ac:dyDescent="0.3">
      <c r="A615" t="s">
        <v>1355</v>
      </c>
      <c r="B615" t="s">
        <v>35</v>
      </c>
      <c r="C615" t="s">
        <v>62</v>
      </c>
      <c r="D615">
        <v>30</v>
      </c>
      <c r="E615" t="s">
        <v>87</v>
      </c>
      <c r="F615" t="s">
        <v>30</v>
      </c>
      <c r="G615" s="1">
        <v>44985</v>
      </c>
      <c r="H615" t="s">
        <v>1356</v>
      </c>
      <c r="I615" t="s">
        <v>380</v>
      </c>
      <c r="J615">
        <v>-7819523709</v>
      </c>
      <c r="K615" t="s">
        <v>19</v>
      </c>
      <c r="L615" t="b">
        <v>1</v>
      </c>
    </row>
    <row r="616" spans="1:12" x14ac:dyDescent="0.3">
      <c r="A616" t="s">
        <v>1357</v>
      </c>
      <c r="B616" t="s">
        <v>35</v>
      </c>
      <c r="C616" t="s">
        <v>106</v>
      </c>
      <c r="D616">
        <v>25</v>
      </c>
      <c r="E616" t="s">
        <v>244</v>
      </c>
      <c r="F616" t="s">
        <v>30</v>
      </c>
      <c r="G616" s="1">
        <v>44796</v>
      </c>
      <c r="H616" t="s">
        <v>1358</v>
      </c>
      <c r="I616" t="s">
        <v>307</v>
      </c>
      <c r="J616">
        <v>-687616480</v>
      </c>
      <c r="K616" t="s">
        <v>25</v>
      </c>
      <c r="L616" t="b">
        <v>1</v>
      </c>
    </row>
    <row r="617" spans="1:12" x14ac:dyDescent="0.3">
      <c r="A617" t="s">
        <v>1359</v>
      </c>
      <c r="B617" t="s">
        <v>80</v>
      </c>
      <c r="C617" t="s">
        <v>41</v>
      </c>
      <c r="E617" t="s">
        <v>102</v>
      </c>
      <c r="F617" t="s">
        <v>16</v>
      </c>
      <c r="G617" s="1">
        <v>45107</v>
      </c>
      <c r="H617" t="s">
        <v>1360</v>
      </c>
      <c r="I617" t="s">
        <v>83</v>
      </c>
      <c r="J617">
        <v>-9807704604</v>
      </c>
      <c r="K617" t="s">
        <v>19</v>
      </c>
      <c r="L617" t="b">
        <v>1</v>
      </c>
    </row>
    <row r="618" spans="1:12" x14ac:dyDescent="0.3">
      <c r="A618" t="s">
        <v>1361</v>
      </c>
      <c r="B618" t="s">
        <v>40</v>
      </c>
      <c r="C618" t="s">
        <v>142</v>
      </c>
      <c r="D618">
        <v>40</v>
      </c>
      <c r="E618" t="s">
        <v>113</v>
      </c>
      <c r="F618" t="s">
        <v>16</v>
      </c>
      <c r="G618" s="1">
        <v>44301</v>
      </c>
      <c r="H618" t="s">
        <v>1362</v>
      </c>
      <c r="I618" t="s">
        <v>163</v>
      </c>
      <c r="J618">
        <v>-6876112490</v>
      </c>
      <c r="K618" t="s">
        <v>25</v>
      </c>
      <c r="L618" t="b">
        <v>1</v>
      </c>
    </row>
    <row r="619" spans="1:12" x14ac:dyDescent="0.3">
      <c r="A619" t="s">
        <v>1363</v>
      </c>
      <c r="B619" t="s">
        <v>27</v>
      </c>
      <c r="C619" t="s">
        <v>47</v>
      </c>
      <c r="D619">
        <v>30</v>
      </c>
      <c r="E619" t="s">
        <v>113</v>
      </c>
      <c r="F619" t="s">
        <v>30</v>
      </c>
      <c r="G619" s="1">
        <v>44690</v>
      </c>
      <c r="H619" t="s">
        <v>1364</v>
      </c>
      <c r="I619" t="s">
        <v>50</v>
      </c>
      <c r="J619">
        <v>-2565237340</v>
      </c>
      <c r="K619" t="s">
        <v>25</v>
      </c>
      <c r="L619" t="b">
        <v>0</v>
      </c>
    </row>
    <row r="620" spans="1:12" x14ac:dyDescent="0.3">
      <c r="A620" t="s">
        <v>1365</v>
      </c>
      <c r="B620" t="s">
        <v>61</v>
      </c>
      <c r="C620" t="s">
        <v>14</v>
      </c>
      <c r="D620">
        <v>40</v>
      </c>
      <c r="E620" t="s">
        <v>113</v>
      </c>
      <c r="F620" t="s">
        <v>16</v>
      </c>
      <c r="G620" s="1">
        <v>45628</v>
      </c>
      <c r="H620" t="s">
        <v>1366</v>
      </c>
      <c r="I620" t="s">
        <v>200</v>
      </c>
      <c r="J620">
        <v>-5177345474</v>
      </c>
      <c r="K620" t="s">
        <v>25</v>
      </c>
      <c r="L620" t="b">
        <v>1</v>
      </c>
    </row>
    <row r="621" spans="1:12" x14ac:dyDescent="0.3">
      <c r="A621" t="s">
        <v>1367</v>
      </c>
      <c r="B621" t="s">
        <v>13</v>
      </c>
      <c r="C621" t="s">
        <v>41</v>
      </c>
      <c r="D621">
        <v>25</v>
      </c>
      <c r="E621" t="s">
        <v>116</v>
      </c>
      <c r="F621" t="s">
        <v>16</v>
      </c>
      <c r="G621" s="1">
        <v>45066</v>
      </c>
      <c r="H621" t="s">
        <v>322</v>
      </c>
      <c r="I621" t="s">
        <v>170</v>
      </c>
      <c r="J621">
        <v>-7494902283</v>
      </c>
      <c r="K621" t="s">
        <v>33</v>
      </c>
      <c r="L621" t="b">
        <v>0</v>
      </c>
    </row>
    <row r="622" spans="1:12" x14ac:dyDescent="0.3">
      <c r="A622" t="s">
        <v>1368</v>
      </c>
      <c r="B622" t="s">
        <v>80</v>
      </c>
      <c r="C622" t="s">
        <v>21</v>
      </c>
      <c r="E622" t="s">
        <v>81</v>
      </c>
      <c r="F622" t="s">
        <v>16</v>
      </c>
      <c r="G622" s="1">
        <v>45259</v>
      </c>
      <c r="H622" t="s">
        <v>1369</v>
      </c>
      <c r="I622" t="s">
        <v>240</v>
      </c>
      <c r="J622">
        <v>-359544293</v>
      </c>
      <c r="K622" t="s">
        <v>45</v>
      </c>
      <c r="L622" t="b">
        <v>0</v>
      </c>
    </row>
    <row r="623" spans="1:12" x14ac:dyDescent="0.3">
      <c r="A623" t="s">
        <v>1370</v>
      </c>
      <c r="B623" t="s">
        <v>75</v>
      </c>
      <c r="C623" t="s">
        <v>62</v>
      </c>
      <c r="D623">
        <v>40</v>
      </c>
      <c r="E623" t="s">
        <v>229</v>
      </c>
      <c r="F623" t="s">
        <v>30</v>
      </c>
      <c r="G623" s="1">
        <v>45390</v>
      </c>
      <c r="H623" t="s">
        <v>1371</v>
      </c>
      <c r="I623" t="s">
        <v>132</v>
      </c>
      <c r="J623">
        <v>-7742229463</v>
      </c>
      <c r="K623" t="s">
        <v>25</v>
      </c>
      <c r="L623" t="b">
        <v>0</v>
      </c>
    </row>
    <row r="624" spans="1:12" x14ac:dyDescent="0.3">
      <c r="A624" t="s">
        <v>1372</v>
      </c>
      <c r="B624" t="s">
        <v>80</v>
      </c>
      <c r="C624" t="s">
        <v>14</v>
      </c>
      <c r="D624">
        <v>30</v>
      </c>
      <c r="E624" t="s">
        <v>251</v>
      </c>
      <c r="F624" t="s">
        <v>16</v>
      </c>
      <c r="G624" s="1">
        <v>45590</v>
      </c>
      <c r="H624" t="s">
        <v>1373</v>
      </c>
      <c r="I624" t="s">
        <v>276</v>
      </c>
      <c r="J624">
        <v>-3039429044</v>
      </c>
      <c r="K624" t="s">
        <v>25</v>
      </c>
      <c r="L624" t="b">
        <v>0</v>
      </c>
    </row>
    <row r="625" spans="1:12" x14ac:dyDescent="0.3">
      <c r="A625" t="s">
        <v>1374</v>
      </c>
      <c r="B625" t="s">
        <v>80</v>
      </c>
      <c r="C625" t="s">
        <v>62</v>
      </c>
      <c r="D625">
        <v>35</v>
      </c>
      <c r="E625" t="s">
        <v>120</v>
      </c>
      <c r="F625" t="s">
        <v>30</v>
      </c>
      <c r="G625" s="1">
        <v>45353</v>
      </c>
      <c r="H625" t="s">
        <v>1375</v>
      </c>
      <c r="I625" t="s">
        <v>150</v>
      </c>
      <c r="J625">
        <v>-8867925297</v>
      </c>
      <c r="K625" t="s">
        <v>33</v>
      </c>
      <c r="L625" t="b">
        <v>1</v>
      </c>
    </row>
    <row r="626" spans="1:12" x14ac:dyDescent="0.3">
      <c r="A626" t="s">
        <v>1376</v>
      </c>
      <c r="B626" t="s">
        <v>13</v>
      </c>
      <c r="C626" t="s">
        <v>28</v>
      </c>
      <c r="E626" t="s">
        <v>42</v>
      </c>
      <c r="F626" t="s">
        <v>30</v>
      </c>
      <c r="G626" s="1">
        <v>44251</v>
      </c>
      <c r="H626" t="s">
        <v>1377</v>
      </c>
      <c r="I626" t="s">
        <v>56</v>
      </c>
      <c r="J626">
        <v>-5856728726</v>
      </c>
      <c r="K626" t="s">
        <v>25</v>
      </c>
      <c r="L626" t="b">
        <v>0</v>
      </c>
    </row>
    <row r="627" spans="1:12" x14ac:dyDescent="0.3">
      <c r="A627" t="s">
        <v>1378</v>
      </c>
      <c r="B627" t="s">
        <v>40</v>
      </c>
      <c r="C627" t="s">
        <v>62</v>
      </c>
      <c r="D627">
        <v>25</v>
      </c>
      <c r="E627" t="s">
        <v>244</v>
      </c>
      <c r="F627" t="s">
        <v>30</v>
      </c>
      <c r="G627" s="1">
        <v>45029</v>
      </c>
      <c r="H627" t="s">
        <v>1379</v>
      </c>
      <c r="I627" t="s">
        <v>316</v>
      </c>
      <c r="J627">
        <v>-6015343323</v>
      </c>
      <c r="K627" t="s">
        <v>19</v>
      </c>
      <c r="L627" t="b">
        <v>1</v>
      </c>
    </row>
    <row r="628" spans="1:12" x14ac:dyDescent="0.3">
      <c r="A628" t="s">
        <v>1380</v>
      </c>
      <c r="B628" t="s">
        <v>80</v>
      </c>
      <c r="C628" t="s">
        <v>28</v>
      </c>
      <c r="E628" t="s">
        <v>229</v>
      </c>
      <c r="F628" t="s">
        <v>36</v>
      </c>
      <c r="G628" s="1">
        <v>45224</v>
      </c>
      <c r="H628" t="s">
        <v>1381</v>
      </c>
      <c r="I628" t="s">
        <v>89</v>
      </c>
      <c r="J628">
        <v>-9135779082</v>
      </c>
      <c r="K628" t="s">
        <v>19</v>
      </c>
      <c r="L628" t="b">
        <v>0</v>
      </c>
    </row>
    <row r="629" spans="1:12" x14ac:dyDescent="0.3">
      <c r="A629" t="s">
        <v>1382</v>
      </c>
      <c r="B629" t="s">
        <v>75</v>
      </c>
      <c r="C629" t="s">
        <v>106</v>
      </c>
      <c r="D629">
        <v>30</v>
      </c>
      <c r="E629" t="s">
        <v>229</v>
      </c>
      <c r="F629" t="s">
        <v>30</v>
      </c>
      <c r="G629" s="1">
        <v>44821</v>
      </c>
      <c r="H629" t="s">
        <v>1383</v>
      </c>
      <c r="I629" t="s">
        <v>153</v>
      </c>
      <c r="J629">
        <v>-3506158147</v>
      </c>
      <c r="K629" t="s">
        <v>45</v>
      </c>
      <c r="L629" t="b">
        <v>0</v>
      </c>
    </row>
    <row r="630" spans="1:12" x14ac:dyDescent="0.3">
      <c r="A630" t="s">
        <v>1384</v>
      </c>
      <c r="B630" t="s">
        <v>40</v>
      </c>
      <c r="C630" t="s">
        <v>14</v>
      </c>
      <c r="D630">
        <v>40</v>
      </c>
      <c r="E630" t="s">
        <v>63</v>
      </c>
      <c r="F630" t="s">
        <v>30</v>
      </c>
      <c r="G630" s="1">
        <v>44074</v>
      </c>
      <c r="H630" t="s">
        <v>1385</v>
      </c>
      <c r="I630" t="s">
        <v>59</v>
      </c>
      <c r="J630">
        <v>-8810798333</v>
      </c>
      <c r="K630" t="s">
        <v>25</v>
      </c>
      <c r="L630" t="b">
        <v>1</v>
      </c>
    </row>
    <row r="631" spans="1:12" x14ac:dyDescent="0.3">
      <c r="A631" t="s">
        <v>1386</v>
      </c>
      <c r="B631" t="s">
        <v>61</v>
      </c>
      <c r="C631" t="s">
        <v>14</v>
      </c>
      <c r="D631">
        <v>25</v>
      </c>
      <c r="E631" t="s">
        <v>102</v>
      </c>
      <c r="F631" t="s">
        <v>36</v>
      </c>
      <c r="G631" s="1">
        <v>45440</v>
      </c>
      <c r="H631" t="s">
        <v>1387</v>
      </c>
      <c r="I631" t="s">
        <v>200</v>
      </c>
      <c r="J631">
        <v>-2337209483</v>
      </c>
      <c r="K631" t="s">
        <v>33</v>
      </c>
      <c r="L631" t="b">
        <v>1</v>
      </c>
    </row>
    <row r="632" spans="1:12" x14ac:dyDescent="0.3">
      <c r="A632" t="s">
        <v>1388</v>
      </c>
      <c r="B632" t="s">
        <v>27</v>
      </c>
      <c r="C632" t="s">
        <v>142</v>
      </c>
      <c r="D632">
        <v>30</v>
      </c>
      <c r="E632" t="s">
        <v>116</v>
      </c>
      <c r="F632" t="s">
        <v>16</v>
      </c>
      <c r="G632" s="1">
        <v>45478</v>
      </c>
      <c r="H632" t="s">
        <v>1389</v>
      </c>
      <c r="I632" t="s">
        <v>217</v>
      </c>
      <c r="J632">
        <v>-1312840332</v>
      </c>
      <c r="K632" t="s">
        <v>19</v>
      </c>
      <c r="L632" t="b">
        <v>1</v>
      </c>
    </row>
    <row r="633" spans="1:12" x14ac:dyDescent="0.3">
      <c r="A633" t="s">
        <v>1390</v>
      </c>
      <c r="B633" t="s">
        <v>80</v>
      </c>
      <c r="C633" t="s">
        <v>21</v>
      </c>
      <c r="D633">
        <v>25</v>
      </c>
      <c r="E633" t="s">
        <v>312</v>
      </c>
      <c r="F633" t="s">
        <v>16</v>
      </c>
      <c r="G633" s="1">
        <v>44590</v>
      </c>
      <c r="H633" t="s">
        <v>1391</v>
      </c>
      <c r="I633" t="s">
        <v>240</v>
      </c>
      <c r="J633">
        <v>-9977180512</v>
      </c>
      <c r="K633" t="s">
        <v>33</v>
      </c>
      <c r="L633" t="b">
        <v>0</v>
      </c>
    </row>
    <row r="634" spans="1:12" x14ac:dyDescent="0.3">
      <c r="A634" t="s">
        <v>1392</v>
      </c>
      <c r="B634" t="s">
        <v>80</v>
      </c>
      <c r="C634" t="s">
        <v>28</v>
      </c>
      <c r="D634">
        <v>40</v>
      </c>
      <c r="E634" t="s">
        <v>259</v>
      </c>
      <c r="F634" t="s">
        <v>30</v>
      </c>
      <c r="G634" s="1">
        <v>44417</v>
      </c>
      <c r="H634" t="s">
        <v>1393</v>
      </c>
      <c r="I634" t="s">
        <v>89</v>
      </c>
      <c r="J634">
        <v>-7171731892</v>
      </c>
      <c r="K634" t="s">
        <v>33</v>
      </c>
      <c r="L634" t="b">
        <v>0</v>
      </c>
    </row>
    <row r="635" spans="1:12" x14ac:dyDescent="0.3">
      <c r="A635" t="s">
        <v>1394</v>
      </c>
      <c r="B635" t="s">
        <v>61</v>
      </c>
      <c r="C635" t="s">
        <v>142</v>
      </c>
      <c r="D635">
        <v>40</v>
      </c>
      <c r="E635" t="s">
        <v>22</v>
      </c>
      <c r="F635" t="s">
        <v>16</v>
      </c>
      <c r="G635" s="1">
        <v>45572</v>
      </c>
      <c r="H635" t="s">
        <v>1395</v>
      </c>
      <c r="I635" t="s">
        <v>231</v>
      </c>
      <c r="J635">
        <v>-9749096172</v>
      </c>
      <c r="K635" t="s">
        <v>19</v>
      </c>
      <c r="L635" t="b">
        <v>1</v>
      </c>
    </row>
    <row r="636" spans="1:12" x14ac:dyDescent="0.3">
      <c r="A636" t="s">
        <v>1396</v>
      </c>
      <c r="B636" t="s">
        <v>35</v>
      </c>
      <c r="C636" t="s">
        <v>62</v>
      </c>
      <c r="D636">
        <v>30</v>
      </c>
      <c r="E636" t="s">
        <v>110</v>
      </c>
      <c r="F636" t="s">
        <v>30</v>
      </c>
      <c r="G636" s="1">
        <v>44887</v>
      </c>
      <c r="H636" t="s">
        <v>1397</v>
      </c>
      <c r="I636" t="s">
        <v>380</v>
      </c>
      <c r="J636">
        <v>-9970469471</v>
      </c>
      <c r="K636" t="s">
        <v>33</v>
      </c>
      <c r="L636" t="b">
        <v>1</v>
      </c>
    </row>
    <row r="637" spans="1:12" x14ac:dyDescent="0.3">
      <c r="A637" t="s">
        <v>1398</v>
      </c>
      <c r="B637" t="s">
        <v>27</v>
      </c>
      <c r="C637" t="s">
        <v>62</v>
      </c>
      <c r="D637">
        <v>35</v>
      </c>
      <c r="E637" t="s">
        <v>29</v>
      </c>
      <c r="F637" t="s">
        <v>16</v>
      </c>
      <c r="G637" s="1">
        <v>44153</v>
      </c>
      <c r="H637" t="s">
        <v>1399</v>
      </c>
      <c r="I637" t="s">
        <v>177</v>
      </c>
      <c r="J637">
        <v>-5878444834</v>
      </c>
      <c r="K637" t="s">
        <v>19</v>
      </c>
      <c r="L637" t="b">
        <v>1</v>
      </c>
    </row>
    <row r="638" spans="1:12" x14ac:dyDescent="0.3">
      <c r="A638" t="s">
        <v>1400</v>
      </c>
      <c r="B638" t="s">
        <v>80</v>
      </c>
      <c r="C638" t="s">
        <v>142</v>
      </c>
      <c r="D638">
        <v>35</v>
      </c>
      <c r="E638" t="s">
        <v>270</v>
      </c>
      <c r="F638" t="s">
        <v>36</v>
      </c>
      <c r="G638" s="1">
        <v>45031</v>
      </c>
      <c r="H638" t="s">
        <v>322</v>
      </c>
      <c r="I638" t="s">
        <v>160</v>
      </c>
      <c r="J638">
        <v>-4884712704</v>
      </c>
      <c r="K638" t="s">
        <v>33</v>
      </c>
      <c r="L638" t="b">
        <v>1</v>
      </c>
    </row>
    <row r="639" spans="1:12" x14ac:dyDescent="0.3">
      <c r="A639" t="s">
        <v>1401</v>
      </c>
      <c r="B639" t="s">
        <v>13</v>
      </c>
      <c r="C639" t="s">
        <v>14</v>
      </c>
      <c r="D639">
        <v>25</v>
      </c>
      <c r="E639" t="s">
        <v>210</v>
      </c>
      <c r="F639" t="s">
        <v>30</v>
      </c>
      <c r="G639" s="1">
        <v>45530</v>
      </c>
      <c r="H639" t="s">
        <v>1402</v>
      </c>
      <c r="I639" t="s">
        <v>18</v>
      </c>
      <c r="J639">
        <v>-8772216416</v>
      </c>
      <c r="K639" t="s">
        <v>19</v>
      </c>
      <c r="L639" t="b">
        <v>0</v>
      </c>
    </row>
    <row r="640" spans="1:12" x14ac:dyDescent="0.3">
      <c r="A640" t="s">
        <v>1403</v>
      </c>
      <c r="B640" t="s">
        <v>40</v>
      </c>
      <c r="C640" t="s">
        <v>62</v>
      </c>
      <c r="D640">
        <v>35</v>
      </c>
      <c r="E640" t="s">
        <v>102</v>
      </c>
      <c r="F640" t="s">
        <v>16</v>
      </c>
      <c r="G640" s="1">
        <v>44762</v>
      </c>
      <c r="H640" t="s">
        <v>1404</v>
      </c>
      <c r="I640" t="s">
        <v>316</v>
      </c>
      <c r="J640">
        <v>-5823133483</v>
      </c>
      <c r="K640" t="s">
        <v>25</v>
      </c>
      <c r="L640" t="b">
        <v>1</v>
      </c>
    </row>
    <row r="641" spans="1:12" x14ac:dyDescent="0.3">
      <c r="A641" t="s">
        <v>1405</v>
      </c>
      <c r="B641" t="s">
        <v>35</v>
      </c>
      <c r="C641" t="s">
        <v>47</v>
      </c>
      <c r="D641">
        <v>30</v>
      </c>
      <c r="E641" t="s">
        <v>309</v>
      </c>
      <c r="F641" t="s">
        <v>16</v>
      </c>
      <c r="G641" s="1">
        <v>44975</v>
      </c>
      <c r="H641" t="s">
        <v>1406</v>
      </c>
      <c r="I641" t="s">
        <v>346</v>
      </c>
      <c r="J641">
        <v>-5871493924</v>
      </c>
      <c r="K641" t="s">
        <v>45</v>
      </c>
      <c r="L641" t="b">
        <v>1</v>
      </c>
    </row>
    <row r="642" spans="1:12" x14ac:dyDescent="0.3">
      <c r="A642" t="s">
        <v>1407</v>
      </c>
      <c r="B642" t="s">
        <v>13</v>
      </c>
      <c r="C642" t="s">
        <v>106</v>
      </c>
      <c r="E642" t="s">
        <v>229</v>
      </c>
      <c r="F642" t="s">
        <v>30</v>
      </c>
      <c r="G642" s="1">
        <v>44343</v>
      </c>
      <c r="H642" t="s">
        <v>1408</v>
      </c>
      <c r="I642" t="s">
        <v>108</v>
      </c>
      <c r="J642">
        <v>-2362292586</v>
      </c>
      <c r="K642" t="s">
        <v>19</v>
      </c>
      <c r="L642" t="b">
        <v>1</v>
      </c>
    </row>
    <row r="643" spans="1:12" x14ac:dyDescent="0.3">
      <c r="A643" t="s">
        <v>1409</v>
      </c>
      <c r="B643" t="s">
        <v>75</v>
      </c>
      <c r="C643" t="s">
        <v>106</v>
      </c>
      <c r="D643">
        <v>30</v>
      </c>
      <c r="E643" t="s">
        <v>251</v>
      </c>
      <c r="F643" t="s">
        <v>30</v>
      </c>
      <c r="G643" s="1">
        <v>44774</v>
      </c>
      <c r="H643" t="s">
        <v>1410</v>
      </c>
      <c r="I643" t="s">
        <v>153</v>
      </c>
      <c r="J643">
        <v>-9643474523</v>
      </c>
      <c r="K643" t="s">
        <v>19</v>
      </c>
      <c r="L643" t="b">
        <v>1</v>
      </c>
    </row>
    <row r="644" spans="1:12" x14ac:dyDescent="0.3">
      <c r="A644" t="s">
        <v>1411</v>
      </c>
      <c r="B644" t="s">
        <v>75</v>
      </c>
      <c r="C644" t="s">
        <v>47</v>
      </c>
      <c r="D644">
        <v>25</v>
      </c>
      <c r="E644" t="s">
        <v>165</v>
      </c>
      <c r="F644" t="s">
        <v>36</v>
      </c>
      <c r="G644" s="1">
        <v>45128</v>
      </c>
      <c r="H644" t="s">
        <v>1412</v>
      </c>
      <c r="I644" t="s">
        <v>300</v>
      </c>
      <c r="J644">
        <v>-5557469659</v>
      </c>
      <c r="K644" t="s">
        <v>45</v>
      </c>
      <c r="L644" t="b">
        <v>0</v>
      </c>
    </row>
    <row r="645" spans="1:12" x14ac:dyDescent="0.3">
      <c r="A645" t="s">
        <v>1413</v>
      </c>
      <c r="B645" t="s">
        <v>67</v>
      </c>
      <c r="C645" t="s">
        <v>142</v>
      </c>
      <c r="D645">
        <v>35</v>
      </c>
      <c r="E645" t="s">
        <v>81</v>
      </c>
      <c r="F645" t="s">
        <v>30</v>
      </c>
      <c r="G645" s="1">
        <v>44928</v>
      </c>
      <c r="H645" t="s">
        <v>1414</v>
      </c>
      <c r="I645" t="s">
        <v>402</v>
      </c>
      <c r="J645">
        <v>-6065274032</v>
      </c>
      <c r="K645" t="s">
        <v>19</v>
      </c>
      <c r="L645" t="b">
        <v>1</v>
      </c>
    </row>
    <row r="646" spans="1:12" x14ac:dyDescent="0.3">
      <c r="A646" t="s">
        <v>1415</v>
      </c>
      <c r="B646" t="s">
        <v>67</v>
      </c>
      <c r="C646" t="s">
        <v>47</v>
      </c>
      <c r="D646">
        <v>35</v>
      </c>
      <c r="E646" t="s">
        <v>42</v>
      </c>
      <c r="F646" t="s">
        <v>30</v>
      </c>
      <c r="G646" s="1">
        <v>45364</v>
      </c>
      <c r="H646" t="s">
        <v>1416</v>
      </c>
      <c r="I646" t="s">
        <v>118</v>
      </c>
      <c r="J646">
        <v>-4450566587</v>
      </c>
      <c r="K646" t="s">
        <v>19</v>
      </c>
      <c r="L646" t="b">
        <v>0</v>
      </c>
    </row>
    <row r="647" spans="1:12" x14ac:dyDescent="0.3">
      <c r="A647" t="s">
        <v>1417</v>
      </c>
      <c r="B647" t="s">
        <v>61</v>
      </c>
      <c r="C647" t="s">
        <v>28</v>
      </c>
      <c r="D647">
        <v>40</v>
      </c>
      <c r="E647" t="s">
        <v>172</v>
      </c>
      <c r="F647" t="s">
        <v>16</v>
      </c>
      <c r="G647" s="1">
        <v>45005</v>
      </c>
      <c r="H647" t="s">
        <v>1418</v>
      </c>
      <c r="I647" t="s">
        <v>140</v>
      </c>
      <c r="J647">
        <v>-3398741131</v>
      </c>
      <c r="K647" t="s">
        <v>33</v>
      </c>
      <c r="L647" t="b">
        <v>1</v>
      </c>
    </row>
    <row r="648" spans="1:12" x14ac:dyDescent="0.3">
      <c r="A648" t="s">
        <v>1419</v>
      </c>
      <c r="B648" t="s">
        <v>67</v>
      </c>
      <c r="C648" t="s">
        <v>28</v>
      </c>
      <c r="D648">
        <v>40</v>
      </c>
      <c r="E648" t="s">
        <v>63</v>
      </c>
      <c r="F648" t="s">
        <v>16</v>
      </c>
      <c r="G648" s="1">
        <v>45337</v>
      </c>
      <c r="H648" t="s">
        <v>1420</v>
      </c>
      <c r="I648" t="s">
        <v>283</v>
      </c>
      <c r="J648">
        <v>-5797067348</v>
      </c>
      <c r="K648" t="s">
        <v>45</v>
      </c>
      <c r="L648" t="b">
        <v>1</v>
      </c>
    </row>
    <row r="649" spans="1:12" x14ac:dyDescent="0.3">
      <c r="A649" t="s">
        <v>1421</v>
      </c>
      <c r="B649" t="s">
        <v>67</v>
      </c>
      <c r="C649" t="s">
        <v>142</v>
      </c>
      <c r="D649">
        <v>30</v>
      </c>
      <c r="E649" t="s">
        <v>102</v>
      </c>
      <c r="F649" t="s">
        <v>36</v>
      </c>
      <c r="G649" s="1">
        <v>44150</v>
      </c>
      <c r="H649" t="s">
        <v>1422</v>
      </c>
      <c r="I649" t="s">
        <v>402</v>
      </c>
      <c r="J649">
        <v>-9601054856</v>
      </c>
      <c r="K649" t="s">
        <v>25</v>
      </c>
      <c r="L649" t="b">
        <v>0</v>
      </c>
    </row>
    <row r="650" spans="1:12" x14ac:dyDescent="0.3">
      <c r="A650" t="s">
        <v>1423</v>
      </c>
      <c r="B650" t="s">
        <v>13</v>
      </c>
      <c r="C650" t="s">
        <v>47</v>
      </c>
      <c r="D650">
        <v>40</v>
      </c>
      <c r="E650" t="s">
        <v>48</v>
      </c>
      <c r="F650" t="s">
        <v>30</v>
      </c>
      <c r="G650" s="1">
        <v>43917</v>
      </c>
      <c r="H650" t="s">
        <v>1424</v>
      </c>
      <c r="I650" t="s">
        <v>180</v>
      </c>
      <c r="J650">
        <v>-4172156228</v>
      </c>
      <c r="K650" t="s">
        <v>19</v>
      </c>
      <c r="L650" t="b">
        <v>1</v>
      </c>
    </row>
    <row r="651" spans="1:12" x14ac:dyDescent="0.3">
      <c r="A651" t="s">
        <v>1425</v>
      </c>
      <c r="B651" t="s">
        <v>40</v>
      </c>
      <c r="C651" t="s">
        <v>28</v>
      </c>
      <c r="D651">
        <v>40</v>
      </c>
      <c r="E651" t="s">
        <v>210</v>
      </c>
      <c r="F651" t="s">
        <v>36</v>
      </c>
      <c r="G651" s="1">
        <v>44205</v>
      </c>
      <c r="H651" t="s">
        <v>1426</v>
      </c>
      <c r="I651" t="s">
        <v>53</v>
      </c>
      <c r="J651">
        <v>-4938173597</v>
      </c>
      <c r="K651" t="s">
        <v>45</v>
      </c>
      <c r="L651" t="b">
        <v>0</v>
      </c>
    </row>
    <row r="652" spans="1:12" x14ac:dyDescent="0.3">
      <c r="A652" t="s">
        <v>1427</v>
      </c>
      <c r="B652" t="s">
        <v>35</v>
      </c>
      <c r="C652" t="s">
        <v>14</v>
      </c>
      <c r="D652">
        <v>40</v>
      </c>
      <c r="E652" t="s">
        <v>102</v>
      </c>
      <c r="F652" t="s">
        <v>16</v>
      </c>
      <c r="G652" s="1">
        <v>43941</v>
      </c>
      <c r="H652" t="s">
        <v>1428</v>
      </c>
      <c r="I652" t="s">
        <v>38</v>
      </c>
      <c r="J652">
        <v>-4884021556</v>
      </c>
      <c r="K652" t="s">
        <v>33</v>
      </c>
      <c r="L652" t="b">
        <v>0</v>
      </c>
    </row>
    <row r="653" spans="1:12" x14ac:dyDescent="0.3">
      <c r="A653" t="s">
        <v>1429</v>
      </c>
      <c r="B653" t="s">
        <v>27</v>
      </c>
      <c r="C653" t="s">
        <v>47</v>
      </c>
      <c r="E653" t="s">
        <v>251</v>
      </c>
      <c r="F653" t="s">
        <v>30</v>
      </c>
      <c r="G653" s="1">
        <v>45420</v>
      </c>
      <c r="H653" t="s">
        <v>1430</v>
      </c>
      <c r="I653" t="s">
        <v>50</v>
      </c>
      <c r="J653">
        <v>-3257375533</v>
      </c>
      <c r="K653" t="s">
        <v>25</v>
      </c>
      <c r="L653" t="b">
        <v>1</v>
      </c>
    </row>
    <row r="654" spans="1:12" x14ac:dyDescent="0.3">
      <c r="A654" t="s">
        <v>1431</v>
      </c>
      <c r="B654" t="s">
        <v>75</v>
      </c>
      <c r="C654" t="s">
        <v>14</v>
      </c>
      <c r="D654">
        <v>35</v>
      </c>
      <c r="E654" t="s">
        <v>278</v>
      </c>
      <c r="F654" t="s">
        <v>16</v>
      </c>
      <c r="G654" s="1">
        <v>45211</v>
      </c>
      <c r="H654" t="s">
        <v>1432</v>
      </c>
      <c r="I654" t="s">
        <v>469</v>
      </c>
      <c r="J654">
        <v>-4902166669</v>
      </c>
      <c r="K654" t="s">
        <v>45</v>
      </c>
      <c r="L654" t="b">
        <v>0</v>
      </c>
    </row>
    <row r="655" spans="1:12" x14ac:dyDescent="0.3">
      <c r="A655" t="s">
        <v>1433</v>
      </c>
      <c r="B655" t="s">
        <v>40</v>
      </c>
      <c r="C655" t="s">
        <v>28</v>
      </c>
      <c r="D655">
        <v>35</v>
      </c>
      <c r="E655" t="s">
        <v>210</v>
      </c>
      <c r="F655" t="s">
        <v>16</v>
      </c>
      <c r="G655" s="1">
        <v>44954</v>
      </c>
      <c r="H655" t="s">
        <v>1434</v>
      </c>
      <c r="I655" t="s">
        <v>53</v>
      </c>
      <c r="J655">
        <v>-8085096084</v>
      </c>
      <c r="K655" t="s">
        <v>25</v>
      </c>
      <c r="L655" t="b">
        <v>0</v>
      </c>
    </row>
    <row r="656" spans="1:12" x14ac:dyDescent="0.3">
      <c r="A656" t="s">
        <v>1435</v>
      </c>
      <c r="B656" t="s">
        <v>40</v>
      </c>
      <c r="C656" t="s">
        <v>106</v>
      </c>
      <c r="D656">
        <v>35</v>
      </c>
      <c r="E656" t="s">
        <v>244</v>
      </c>
      <c r="F656" t="s">
        <v>36</v>
      </c>
      <c r="G656" s="1">
        <v>44262</v>
      </c>
      <c r="H656" t="s">
        <v>1436</v>
      </c>
      <c r="I656" t="s">
        <v>128</v>
      </c>
      <c r="J656">
        <v>-8749511917</v>
      </c>
      <c r="K656" t="s">
        <v>25</v>
      </c>
      <c r="L656" t="b">
        <v>0</v>
      </c>
    </row>
    <row r="657" spans="1:12" x14ac:dyDescent="0.3">
      <c r="A657" t="s">
        <v>1437</v>
      </c>
      <c r="B657" t="s">
        <v>40</v>
      </c>
      <c r="C657" t="s">
        <v>28</v>
      </c>
      <c r="D657">
        <v>40</v>
      </c>
      <c r="E657" t="s">
        <v>251</v>
      </c>
      <c r="F657" t="s">
        <v>16</v>
      </c>
      <c r="G657" s="1">
        <v>45001</v>
      </c>
      <c r="H657" t="s">
        <v>1438</v>
      </c>
      <c r="I657" t="s">
        <v>53</v>
      </c>
      <c r="J657">
        <v>-1828197930</v>
      </c>
      <c r="K657" t="s">
        <v>25</v>
      </c>
      <c r="L657" t="b">
        <v>0</v>
      </c>
    </row>
    <row r="658" spans="1:12" x14ac:dyDescent="0.3">
      <c r="A658" t="s">
        <v>1439</v>
      </c>
      <c r="B658" t="s">
        <v>67</v>
      </c>
      <c r="C658" t="s">
        <v>14</v>
      </c>
      <c r="D658">
        <v>25</v>
      </c>
      <c r="E658" t="s">
        <v>15</v>
      </c>
      <c r="F658" t="s">
        <v>16</v>
      </c>
      <c r="G658" s="1">
        <v>44968</v>
      </c>
      <c r="H658" t="s">
        <v>1440</v>
      </c>
      <c r="I658" t="s">
        <v>73</v>
      </c>
      <c r="J658">
        <v>-6477251294</v>
      </c>
      <c r="K658" t="s">
        <v>19</v>
      </c>
      <c r="L658" t="b">
        <v>0</v>
      </c>
    </row>
    <row r="659" spans="1:12" x14ac:dyDescent="0.3">
      <c r="A659" t="s">
        <v>1441</v>
      </c>
      <c r="B659" t="s">
        <v>61</v>
      </c>
      <c r="C659" t="s">
        <v>41</v>
      </c>
      <c r="D659">
        <v>30</v>
      </c>
      <c r="E659" t="s">
        <v>22</v>
      </c>
      <c r="F659" t="s">
        <v>16</v>
      </c>
      <c r="G659" s="1">
        <v>44694</v>
      </c>
      <c r="H659" t="s">
        <v>1442</v>
      </c>
      <c r="I659" t="s">
        <v>104</v>
      </c>
      <c r="J659">
        <v>-7860694095</v>
      </c>
      <c r="K659" t="s">
        <v>19</v>
      </c>
      <c r="L659" t="b">
        <v>0</v>
      </c>
    </row>
    <row r="660" spans="1:12" x14ac:dyDescent="0.3">
      <c r="A660" t="s">
        <v>1443</v>
      </c>
      <c r="B660" t="s">
        <v>40</v>
      </c>
      <c r="C660" t="s">
        <v>21</v>
      </c>
      <c r="D660">
        <v>40</v>
      </c>
      <c r="E660" t="s">
        <v>172</v>
      </c>
      <c r="F660" t="s">
        <v>30</v>
      </c>
      <c r="G660" s="1">
        <v>45589</v>
      </c>
      <c r="H660" t="s">
        <v>1444</v>
      </c>
      <c r="I660" t="s">
        <v>280</v>
      </c>
      <c r="J660">
        <v>-35624394</v>
      </c>
      <c r="K660" t="s">
        <v>33</v>
      </c>
      <c r="L660" t="b">
        <v>0</v>
      </c>
    </row>
    <row r="661" spans="1:12" x14ac:dyDescent="0.3">
      <c r="A661" t="s">
        <v>1445</v>
      </c>
      <c r="B661" t="s">
        <v>61</v>
      </c>
      <c r="C661" t="s">
        <v>62</v>
      </c>
      <c r="D661">
        <v>25</v>
      </c>
      <c r="E661" t="s">
        <v>138</v>
      </c>
      <c r="F661" t="s">
        <v>36</v>
      </c>
      <c r="G661" s="1">
        <v>45549</v>
      </c>
      <c r="H661" t="s">
        <v>1446</v>
      </c>
      <c r="I661" t="s">
        <v>65</v>
      </c>
      <c r="J661">
        <v>-8739592322</v>
      </c>
      <c r="K661" t="s">
        <v>33</v>
      </c>
      <c r="L661" t="b">
        <v>0</v>
      </c>
    </row>
    <row r="662" spans="1:12" x14ac:dyDescent="0.3">
      <c r="A662" t="s">
        <v>1447</v>
      </c>
      <c r="B662" t="s">
        <v>40</v>
      </c>
      <c r="C662" t="s">
        <v>47</v>
      </c>
      <c r="D662">
        <v>35</v>
      </c>
      <c r="E662" t="s">
        <v>172</v>
      </c>
      <c r="F662" t="s">
        <v>30</v>
      </c>
      <c r="G662" s="1">
        <v>44972</v>
      </c>
      <c r="H662" t="s">
        <v>1448</v>
      </c>
      <c r="I662" t="s">
        <v>214</v>
      </c>
      <c r="J662">
        <v>-4210890284</v>
      </c>
      <c r="K662" t="s">
        <v>45</v>
      </c>
      <c r="L662" t="b">
        <v>1</v>
      </c>
    </row>
    <row r="663" spans="1:12" x14ac:dyDescent="0.3">
      <c r="A663" t="s">
        <v>1449</v>
      </c>
      <c r="B663" t="s">
        <v>27</v>
      </c>
      <c r="C663" t="s">
        <v>41</v>
      </c>
      <c r="D663">
        <v>40</v>
      </c>
      <c r="E663" t="s">
        <v>312</v>
      </c>
      <c r="F663" t="s">
        <v>30</v>
      </c>
      <c r="G663" s="1">
        <v>45071</v>
      </c>
      <c r="H663" t="s">
        <v>1450</v>
      </c>
      <c r="I663" t="s">
        <v>431</v>
      </c>
      <c r="J663">
        <v>-1553334263</v>
      </c>
      <c r="K663" t="s">
        <v>33</v>
      </c>
      <c r="L663" t="b">
        <v>1</v>
      </c>
    </row>
    <row r="664" spans="1:12" x14ac:dyDescent="0.3">
      <c r="A664" t="s">
        <v>1451</v>
      </c>
      <c r="B664" t="s">
        <v>61</v>
      </c>
      <c r="C664" t="s">
        <v>28</v>
      </c>
      <c r="D664">
        <v>35</v>
      </c>
      <c r="E664" t="s">
        <v>172</v>
      </c>
      <c r="F664" t="s">
        <v>30</v>
      </c>
      <c r="G664" s="1">
        <v>44876</v>
      </c>
      <c r="H664" t="s">
        <v>1452</v>
      </c>
      <c r="I664" t="s">
        <v>140</v>
      </c>
      <c r="J664">
        <v>-3350271606</v>
      </c>
      <c r="K664" t="s">
        <v>25</v>
      </c>
      <c r="L664" t="b">
        <v>0</v>
      </c>
    </row>
    <row r="665" spans="1:12" x14ac:dyDescent="0.3">
      <c r="A665" t="s">
        <v>1453</v>
      </c>
      <c r="B665" t="s">
        <v>13</v>
      </c>
      <c r="C665" t="s">
        <v>106</v>
      </c>
      <c r="D665">
        <v>40</v>
      </c>
      <c r="E665" t="s">
        <v>210</v>
      </c>
      <c r="F665" t="s">
        <v>36</v>
      </c>
      <c r="G665" s="1">
        <v>45124</v>
      </c>
      <c r="H665" t="s">
        <v>1454</v>
      </c>
      <c r="I665" t="s">
        <v>108</v>
      </c>
      <c r="J665">
        <v>-3607763368</v>
      </c>
      <c r="K665" t="s">
        <v>25</v>
      </c>
      <c r="L665" t="b">
        <v>1</v>
      </c>
    </row>
    <row r="666" spans="1:12" x14ac:dyDescent="0.3">
      <c r="A666" t="s">
        <v>1455</v>
      </c>
      <c r="B666" t="s">
        <v>40</v>
      </c>
      <c r="C666" t="s">
        <v>142</v>
      </c>
      <c r="D666">
        <v>40</v>
      </c>
      <c r="E666" t="s">
        <v>91</v>
      </c>
      <c r="F666" t="s">
        <v>30</v>
      </c>
      <c r="G666" s="1">
        <v>44659</v>
      </c>
      <c r="H666" t="s">
        <v>1456</v>
      </c>
      <c r="I666" t="s">
        <v>163</v>
      </c>
      <c r="J666">
        <v>-1128981230</v>
      </c>
      <c r="K666" t="s">
        <v>19</v>
      </c>
      <c r="L666" t="b">
        <v>0</v>
      </c>
    </row>
    <row r="667" spans="1:12" x14ac:dyDescent="0.3">
      <c r="A667" t="s">
        <v>1457</v>
      </c>
      <c r="B667" t="s">
        <v>61</v>
      </c>
      <c r="C667" t="s">
        <v>28</v>
      </c>
      <c r="D667">
        <v>35</v>
      </c>
      <c r="E667" t="s">
        <v>138</v>
      </c>
      <c r="F667" t="s">
        <v>36</v>
      </c>
      <c r="G667" s="1">
        <v>45168</v>
      </c>
      <c r="H667" t="s">
        <v>1458</v>
      </c>
      <c r="I667" t="s">
        <v>140</v>
      </c>
      <c r="J667">
        <v>-7955633184</v>
      </c>
      <c r="K667" t="s">
        <v>25</v>
      </c>
      <c r="L667" t="b">
        <v>0</v>
      </c>
    </row>
    <row r="668" spans="1:12" x14ac:dyDescent="0.3">
      <c r="A668" t="s">
        <v>1459</v>
      </c>
      <c r="B668" t="s">
        <v>80</v>
      </c>
      <c r="C668" t="s">
        <v>106</v>
      </c>
      <c r="D668">
        <v>35</v>
      </c>
      <c r="E668" t="s">
        <v>81</v>
      </c>
      <c r="F668" t="s">
        <v>30</v>
      </c>
      <c r="G668" s="1">
        <v>45033</v>
      </c>
      <c r="H668" t="s">
        <v>1460</v>
      </c>
      <c r="I668" t="s">
        <v>197</v>
      </c>
      <c r="J668">
        <v>-7481700665</v>
      </c>
      <c r="K668" t="s">
        <v>45</v>
      </c>
      <c r="L668" t="b">
        <v>1</v>
      </c>
    </row>
    <row r="669" spans="1:12" x14ac:dyDescent="0.3">
      <c r="A669" t="s">
        <v>1461</v>
      </c>
      <c r="B669" t="s">
        <v>61</v>
      </c>
      <c r="C669" t="s">
        <v>21</v>
      </c>
      <c r="D669">
        <v>30</v>
      </c>
      <c r="E669" t="s">
        <v>68</v>
      </c>
      <c r="F669" t="s">
        <v>30</v>
      </c>
      <c r="G669" s="1">
        <v>44311</v>
      </c>
      <c r="H669" t="s">
        <v>1462</v>
      </c>
      <c r="I669" t="s">
        <v>147</v>
      </c>
      <c r="J669">
        <v>-1554164315</v>
      </c>
      <c r="K669" t="s">
        <v>25</v>
      </c>
      <c r="L669" t="b">
        <v>0</v>
      </c>
    </row>
    <row r="670" spans="1:12" x14ac:dyDescent="0.3">
      <c r="A670" t="s">
        <v>1463</v>
      </c>
      <c r="B670" t="s">
        <v>13</v>
      </c>
      <c r="C670" t="s">
        <v>28</v>
      </c>
      <c r="D670">
        <v>30</v>
      </c>
      <c r="E670" t="s">
        <v>244</v>
      </c>
      <c r="F670" t="s">
        <v>16</v>
      </c>
      <c r="G670" s="1">
        <v>44026</v>
      </c>
      <c r="H670" t="s">
        <v>1464</v>
      </c>
      <c r="I670" t="s">
        <v>56</v>
      </c>
      <c r="J670">
        <v>-7045023289</v>
      </c>
      <c r="K670" t="s">
        <v>25</v>
      </c>
      <c r="L670" t="b">
        <v>0</v>
      </c>
    </row>
    <row r="671" spans="1:12" x14ac:dyDescent="0.3">
      <c r="A671" t="s">
        <v>1465</v>
      </c>
      <c r="B671" t="s">
        <v>27</v>
      </c>
      <c r="C671" t="s">
        <v>14</v>
      </c>
      <c r="D671">
        <v>25</v>
      </c>
      <c r="E671" t="s">
        <v>309</v>
      </c>
      <c r="F671" t="s">
        <v>16</v>
      </c>
      <c r="G671" s="1">
        <v>44043</v>
      </c>
      <c r="H671" t="s">
        <v>1466</v>
      </c>
      <c r="I671" t="s">
        <v>191</v>
      </c>
      <c r="J671">
        <v>-2822700933</v>
      </c>
      <c r="K671" t="s">
        <v>45</v>
      </c>
      <c r="L671" t="b">
        <v>0</v>
      </c>
    </row>
    <row r="672" spans="1:12" x14ac:dyDescent="0.3">
      <c r="A672" t="s">
        <v>1467</v>
      </c>
      <c r="B672" t="s">
        <v>80</v>
      </c>
      <c r="C672" t="s">
        <v>142</v>
      </c>
      <c r="D672">
        <v>35</v>
      </c>
      <c r="E672" t="s">
        <v>233</v>
      </c>
      <c r="F672" t="s">
        <v>30</v>
      </c>
      <c r="G672" s="1">
        <v>44412</v>
      </c>
      <c r="H672" t="s">
        <v>1468</v>
      </c>
      <c r="I672" t="s">
        <v>160</v>
      </c>
      <c r="J672">
        <v>-5962622821</v>
      </c>
      <c r="K672" t="s">
        <v>33</v>
      </c>
      <c r="L672" t="b">
        <v>0</v>
      </c>
    </row>
    <row r="673" spans="1:12" x14ac:dyDescent="0.3">
      <c r="A673" t="s">
        <v>1469</v>
      </c>
      <c r="B673" t="s">
        <v>61</v>
      </c>
      <c r="C673" t="s">
        <v>106</v>
      </c>
      <c r="D673">
        <v>25</v>
      </c>
      <c r="E673" t="s">
        <v>98</v>
      </c>
      <c r="F673" t="s">
        <v>36</v>
      </c>
      <c r="G673" s="1">
        <v>45593</v>
      </c>
      <c r="H673" t="s">
        <v>1470</v>
      </c>
      <c r="I673" t="s">
        <v>607</v>
      </c>
      <c r="J673">
        <v>-5120734653</v>
      </c>
      <c r="K673" t="s">
        <v>33</v>
      </c>
      <c r="L673" t="b">
        <v>1</v>
      </c>
    </row>
    <row r="674" spans="1:12" x14ac:dyDescent="0.3">
      <c r="A674" t="s">
        <v>1471</v>
      </c>
      <c r="B674" t="s">
        <v>75</v>
      </c>
      <c r="C674" t="s">
        <v>106</v>
      </c>
      <c r="E674" t="s">
        <v>229</v>
      </c>
      <c r="F674" t="s">
        <v>36</v>
      </c>
      <c r="G674" s="1">
        <v>44107</v>
      </c>
      <c r="H674" t="s">
        <v>1472</v>
      </c>
      <c r="I674" t="s">
        <v>153</v>
      </c>
      <c r="J674">
        <v>-9500507025</v>
      </c>
      <c r="K674" t="s">
        <v>45</v>
      </c>
      <c r="L674" t="b">
        <v>0</v>
      </c>
    </row>
    <row r="675" spans="1:12" x14ac:dyDescent="0.3">
      <c r="A675" t="s">
        <v>1473</v>
      </c>
      <c r="B675" t="s">
        <v>61</v>
      </c>
      <c r="C675" t="s">
        <v>106</v>
      </c>
      <c r="E675" t="s">
        <v>87</v>
      </c>
      <c r="F675" t="s">
        <v>30</v>
      </c>
      <c r="G675" s="1">
        <v>45364</v>
      </c>
      <c r="H675" t="s">
        <v>1474</v>
      </c>
      <c r="I675" t="s">
        <v>607</v>
      </c>
      <c r="J675">
        <v>-869822104</v>
      </c>
      <c r="K675" t="s">
        <v>19</v>
      </c>
      <c r="L675" t="b">
        <v>0</v>
      </c>
    </row>
    <row r="676" spans="1:12" x14ac:dyDescent="0.3">
      <c r="A676" t="s">
        <v>1475</v>
      </c>
      <c r="B676" t="s">
        <v>35</v>
      </c>
      <c r="C676" t="s">
        <v>21</v>
      </c>
      <c r="D676">
        <v>35</v>
      </c>
      <c r="E676" t="s">
        <v>309</v>
      </c>
      <c r="F676" t="s">
        <v>16</v>
      </c>
      <c r="G676" s="1">
        <v>45479</v>
      </c>
      <c r="H676" t="s">
        <v>1476</v>
      </c>
      <c r="I676" t="s">
        <v>183</v>
      </c>
      <c r="J676">
        <v>-3161177686</v>
      </c>
      <c r="K676" t="s">
        <v>25</v>
      </c>
      <c r="L676" t="b">
        <v>0</v>
      </c>
    </row>
    <row r="677" spans="1:12" x14ac:dyDescent="0.3">
      <c r="A677" t="s">
        <v>1477</v>
      </c>
      <c r="B677" t="s">
        <v>80</v>
      </c>
      <c r="C677" t="s">
        <v>28</v>
      </c>
      <c r="D677">
        <v>35</v>
      </c>
      <c r="E677" t="s">
        <v>138</v>
      </c>
      <c r="F677" t="s">
        <v>16</v>
      </c>
      <c r="G677" s="1">
        <v>43831</v>
      </c>
      <c r="H677" t="s">
        <v>1478</v>
      </c>
      <c r="I677" t="s">
        <v>89</v>
      </c>
      <c r="J677">
        <v>-2904774257</v>
      </c>
      <c r="K677" t="s">
        <v>45</v>
      </c>
      <c r="L677" t="b">
        <v>1</v>
      </c>
    </row>
    <row r="678" spans="1:12" x14ac:dyDescent="0.3">
      <c r="A678" t="s">
        <v>1479</v>
      </c>
      <c r="B678" t="s">
        <v>61</v>
      </c>
      <c r="C678" t="s">
        <v>21</v>
      </c>
      <c r="D678">
        <v>35</v>
      </c>
      <c r="E678" t="s">
        <v>251</v>
      </c>
      <c r="F678" t="s">
        <v>30</v>
      </c>
      <c r="G678" s="1">
        <v>43848</v>
      </c>
      <c r="H678" t="s">
        <v>1480</v>
      </c>
      <c r="I678" t="s">
        <v>147</v>
      </c>
      <c r="J678">
        <v>-5917793237</v>
      </c>
      <c r="K678" t="s">
        <v>25</v>
      </c>
      <c r="L678" t="b">
        <v>0</v>
      </c>
    </row>
    <row r="679" spans="1:12" x14ac:dyDescent="0.3">
      <c r="A679" t="s">
        <v>1481</v>
      </c>
      <c r="B679" t="s">
        <v>75</v>
      </c>
      <c r="C679" t="s">
        <v>47</v>
      </c>
      <c r="D679">
        <v>35</v>
      </c>
      <c r="E679" t="s">
        <v>42</v>
      </c>
      <c r="F679" t="s">
        <v>36</v>
      </c>
      <c r="G679" s="1">
        <v>45053</v>
      </c>
      <c r="H679" t="s">
        <v>322</v>
      </c>
      <c r="I679" t="s">
        <v>300</v>
      </c>
      <c r="J679">
        <v>-2231164912</v>
      </c>
      <c r="K679" t="s">
        <v>19</v>
      </c>
      <c r="L679" t="b">
        <v>1</v>
      </c>
    </row>
    <row r="680" spans="1:12" x14ac:dyDescent="0.3">
      <c r="A680" t="s">
        <v>1482</v>
      </c>
      <c r="B680" t="s">
        <v>40</v>
      </c>
      <c r="C680" t="s">
        <v>62</v>
      </c>
      <c r="D680">
        <v>30</v>
      </c>
      <c r="E680" t="s">
        <v>309</v>
      </c>
      <c r="F680" t="s">
        <v>36</v>
      </c>
      <c r="G680" s="1">
        <v>44639</v>
      </c>
      <c r="H680" t="s">
        <v>1483</v>
      </c>
      <c r="I680" t="s">
        <v>316</v>
      </c>
      <c r="J680">
        <v>-3424579888</v>
      </c>
      <c r="K680" t="s">
        <v>25</v>
      </c>
      <c r="L680" t="b">
        <v>1</v>
      </c>
    </row>
    <row r="681" spans="1:12" x14ac:dyDescent="0.3">
      <c r="A681" t="s">
        <v>1484</v>
      </c>
      <c r="B681" t="s">
        <v>80</v>
      </c>
      <c r="C681" t="s">
        <v>62</v>
      </c>
      <c r="D681">
        <v>40</v>
      </c>
      <c r="E681" t="s">
        <v>138</v>
      </c>
      <c r="F681" t="s">
        <v>16</v>
      </c>
      <c r="G681" s="1">
        <v>44695</v>
      </c>
      <c r="H681" t="s">
        <v>1485</v>
      </c>
      <c r="I681" t="s">
        <v>150</v>
      </c>
      <c r="J681">
        <v>-4256529059</v>
      </c>
      <c r="K681" t="s">
        <v>45</v>
      </c>
      <c r="L681" t="b">
        <v>0</v>
      </c>
    </row>
    <row r="682" spans="1:12" x14ac:dyDescent="0.3">
      <c r="A682" t="s">
        <v>1486</v>
      </c>
      <c r="B682" t="s">
        <v>35</v>
      </c>
      <c r="C682" t="s">
        <v>47</v>
      </c>
      <c r="D682">
        <v>35</v>
      </c>
      <c r="E682" t="s">
        <v>386</v>
      </c>
      <c r="F682" t="s">
        <v>30</v>
      </c>
      <c r="G682" s="1">
        <v>45487</v>
      </c>
      <c r="H682" t="s">
        <v>1487</v>
      </c>
      <c r="I682" t="s">
        <v>346</v>
      </c>
      <c r="J682">
        <v>-3202032649</v>
      </c>
      <c r="K682" t="s">
        <v>25</v>
      </c>
      <c r="L682" t="b">
        <v>0</v>
      </c>
    </row>
    <row r="683" spans="1:12" x14ac:dyDescent="0.3">
      <c r="A683" t="s">
        <v>1488</v>
      </c>
      <c r="B683" t="s">
        <v>13</v>
      </c>
      <c r="C683" t="s">
        <v>28</v>
      </c>
      <c r="D683">
        <v>30</v>
      </c>
      <c r="E683" t="s">
        <v>138</v>
      </c>
      <c r="F683" t="s">
        <v>16</v>
      </c>
      <c r="G683" s="1">
        <v>45135</v>
      </c>
      <c r="H683" t="s">
        <v>1489</v>
      </c>
      <c r="I683" t="s">
        <v>56</v>
      </c>
      <c r="J683">
        <v>-9775396736</v>
      </c>
      <c r="K683" t="s">
        <v>33</v>
      </c>
      <c r="L683" t="b">
        <v>1</v>
      </c>
    </row>
    <row r="684" spans="1:12" x14ac:dyDescent="0.3">
      <c r="A684" t="s">
        <v>1490</v>
      </c>
      <c r="B684" t="s">
        <v>75</v>
      </c>
      <c r="C684" t="s">
        <v>14</v>
      </c>
      <c r="D684">
        <v>30</v>
      </c>
      <c r="E684" t="s">
        <v>165</v>
      </c>
      <c r="F684" t="s">
        <v>16</v>
      </c>
      <c r="G684" s="1">
        <v>43932</v>
      </c>
      <c r="H684" t="s">
        <v>1491</v>
      </c>
      <c r="I684" t="s">
        <v>469</v>
      </c>
      <c r="J684">
        <v>-9487148551</v>
      </c>
      <c r="K684" t="s">
        <v>19</v>
      </c>
      <c r="L684" t="b">
        <v>0</v>
      </c>
    </row>
    <row r="685" spans="1:12" x14ac:dyDescent="0.3">
      <c r="A685" t="s">
        <v>1492</v>
      </c>
      <c r="B685" t="s">
        <v>13</v>
      </c>
      <c r="C685" t="s">
        <v>21</v>
      </c>
      <c r="D685">
        <v>35</v>
      </c>
      <c r="E685" t="s">
        <v>76</v>
      </c>
      <c r="F685" t="s">
        <v>30</v>
      </c>
      <c r="G685" s="1">
        <v>44728</v>
      </c>
      <c r="H685" t="s">
        <v>1493</v>
      </c>
      <c r="I685" t="s">
        <v>24</v>
      </c>
      <c r="J685">
        <v>-4578715840</v>
      </c>
      <c r="K685" t="s">
        <v>19</v>
      </c>
      <c r="L685" t="b">
        <v>1</v>
      </c>
    </row>
    <row r="686" spans="1:12" x14ac:dyDescent="0.3">
      <c r="A686" t="s">
        <v>1494</v>
      </c>
      <c r="B686" t="s">
        <v>61</v>
      </c>
      <c r="C686" t="s">
        <v>142</v>
      </c>
      <c r="D686">
        <v>25</v>
      </c>
      <c r="E686" t="s">
        <v>267</v>
      </c>
      <c r="F686" t="s">
        <v>36</v>
      </c>
      <c r="G686" s="1">
        <v>44691</v>
      </c>
      <c r="H686" t="s">
        <v>1495</v>
      </c>
      <c r="I686" t="s">
        <v>231</v>
      </c>
      <c r="J686">
        <v>-5608213710</v>
      </c>
      <c r="K686" t="s">
        <v>19</v>
      </c>
      <c r="L686" t="b">
        <v>1</v>
      </c>
    </row>
    <row r="687" spans="1:12" x14ac:dyDescent="0.3">
      <c r="A687" t="s">
        <v>1496</v>
      </c>
      <c r="B687" t="s">
        <v>40</v>
      </c>
      <c r="C687" t="s">
        <v>106</v>
      </c>
      <c r="D687">
        <v>40</v>
      </c>
      <c r="E687" t="s">
        <v>278</v>
      </c>
      <c r="F687" t="s">
        <v>36</v>
      </c>
      <c r="G687" s="1">
        <v>43995</v>
      </c>
      <c r="H687" t="s">
        <v>1497</v>
      </c>
      <c r="I687" t="s">
        <v>128</v>
      </c>
      <c r="J687">
        <v>-8425476817</v>
      </c>
      <c r="K687" t="s">
        <v>45</v>
      </c>
      <c r="L687" t="b">
        <v>0</v>
      </c>
    </row>
    <row r="688" spans="1:12" x14ac:dyDescent="0.3">
      <c r="A688" t="s">
        <v>1498</v>
      </c>
      <c r="B688" t="s">
        <v>27</v>
      </c>
      <c r="C688" t="s">
        <v>106</v>
      </c>
      <c r="D688">
        <v>35</v>
      </c>
      <c r="E688" t="s">
        <v>22</v>
      </c>
      <c r="F688" t="s">
        <v>30</v>
      </c>
      <c r="G688" s="1">
        <v>44793</v>
      </c>
      <c r="H688" t="s">
        <v>1499</v>
      </c>
      <c r="I688" t="s">
        <v>194</v>
      </c>
      <c r="J688">
        <v>-2683230357</v>
      </c>
      <c r="K688" t="s">
        <v>19</v>
      </c>
      <c r="L688" t="b">
        <v>0</v>
      </c>
    </row>
    <row r="689" spans="1:12" x14ac:dyDescent="0.3">
      <c r="A689" t="s">
        <v>1500</v>
      </c>
      <c r="B689" t="s">
        <v>35</v>
      </c>
      <c r="C689" t="s">
        <v>28</v>
      </c>
      <c r="D689">
        <v>40</v>
      </c>
      <c r="E689" t="s">
        <v>187</v>
      </c>
      <c r="F689" t="s">
        <v>30</v>
      </c>
      <c r="G689" s="1">
        <v>44340</v>
      </c>
      <c r="H689" t="s">
        <v>1501</v>
      </c>
      <c r="I689" t="s">
        <v>323</v>
      </c>
      <c r="J689">
        <v>-9298808582</v>
      </c>
      <c r="K689" t="s">
        <v>33</v>
      </c>
      <c r="L689" t="b">
        <v>1</v>
      </c>
    </row>
    <row r="690" spans="1:12" x14ac:dyDescent="0.3">
      <c r="A690" t="s">
        <v>1502</v>
      </c>
      <c r="B690" t="s">
        <v>67</v>
      </c>
      <c r="C690" t="s">
        <v>14</v>
      </c>
      <c r="D690">
        <v>25</v>
      </c>
      <c r="E690" t="s">
        <v>244</v>
      </c>
      <c r="F690" t="s">
        <v>30</v>
      </c>
      <c r="G690" s="1">
        <v>45409</v>
      </c>
      <c r="H690" t="s">
        <v>1503</v>
      </c>
      <c r="I690" t="s">
        <v>73</v>
      </c>
      <c r="J690">
        <v>-8252129327</v>
      </c>
      <c r="K690" t="s">
        <v>45</v>
      </c>
      <c r="L690" t="b">
        <v>1</v>
      </c>
    </row>
    <row r="691" spans="1:12" x14ac:dyDescent="0.3">
      <c r="A691" t="s">
        <v>1504</v>
      </c>
      <c r="B691" t="s">
        <v>67</v>
      </c>
      <c r="C691" t="s">
        <v>62</v>
      </c>
      <c r="D691">
        <v>40</v>
      </c>
      <c r="E691" t="s">
        <v>116</v>
      </c>
      <c r="F691" t="s">
        <v>36</v>
      </c>
      <c r="G691" s="1">
        <v>44492</v>
      </c>
      <c r="H691" t="s">
        <v>1505</v>
      </c>
      <c r="I691" t="s">
        <v>257</v>
      </c>
      <c r="J691">
        <v>-9634064685</v>
      </c>
      <c r="K691" t="s">
        <v>33</v>
      </c>
      <c r="L691" t="b">
        <v>1</v>
      </c>
    </row>
    <row r="692" spans="1:12" x14ac:dyDescent="0.3">
      <c r="A692" t="s">
        <v>1506</v>
      </c>
      <c r="B692" t="s">
        <v>13</v>
      </c>
      <c r="C692" t="s">
        <v>62</v>
      </c>
      <c r="D692">
        <v>35</v>
      </c>
      <c r="E692" t="s">
        <v>116</v>
      </c>
      <c r="F692" t="s">
        <v>36</v>
      </c>
      <c r="G692" s="1">
        <v>44237</v>
      </c>
      <c r="H692" t="s">
        <v>1507</v>
      </c>
      <c r="I692" t="s">
        <v>237</v>
      </c>
      <c r="J692">
        <v>-7752401483</v>
      </c>
      <c r="K692" t="s">
        <v>25</v>
      </c>
      <c r="L692" t="b">
        <v>1</v>
      </c>
    </row>
    <row r="693" spans="1:12" x14ac:dyDescent="0.3">
      <c r="A693" t="s">
        <v>1508</v>
      </c>
      <c r="B693" t="s">
        <v>67</v>
      </c>
      <c r="C693" t="s">
        <v>106</v>
      </c>
      <c r="D693">
        <v>25</v>
      </c>
      <c r="E693" t="s">
        <v>29</v>
      </c>
      <c r="F693" t="s">
        <v>36</v>
      </c>
      <c r="G693" s="1">
        <v>44495</v>
      </c>
      <c r="H693" t="s">
        <v>1509</v>
      </c>
      <c r="I693" t="s">
        <v>124</v>
      </c>
      <c r="J693">
        <v>-3991062271</v>
      </c>
      <c r="K693" t="s">
        <v>25</v>
      </c>
      <c r="L693" t="b">
        <v>0</v>
      </c>
    </row>
    <row r="694" spans="1:12" x14ac:dyDescent="0.3">
      <c r="A694" t="s">
        <v>1510</v>
      </c>
      <c r="B694" t="s">
        <v>13</v>
      </c>
      <c r="C694" t="s">
        <v>28</v>
      </c>
      <c r="D694">
        <v>40</v>
      </c>
      <c r="E694" t="s">
        <v>120</v>
      </c>
      <c r="F694" t="s">
        <v>16</v>
      </c>
      <c r="G694" s="1">
        <v>45021</v>
      </c>
      <c r="H694" t="s">
        <v>1511</v>
      </c>
      <c r="I694" t="s">
        <v>56</v>
      </c>
      <c r="J694">
        <v>-3626693350</v>
      </c>
      <c r="K694" t="s">
        <v>25</v>
      </c>
      <c r="L694" t="b">
        <v>0</v>
      </c>
    </row>
    <row r="695" spans="1:12" x14ac:dyDescent="0.3">
      <c r="A695" t="s">
        <v>1512</v>
      </c>
      <c r="B695" t="s">
        <v>61</v>
      </c>
      <c r="C695" t="s">
        <v>21</v>
      </c>
      <c r="D695">
        <v>35</v>
      </c>
      <c r="E695" t="s">
        <v>68</v>
      </c>
      <c r="F695" t="s">
        <v>16</v>
      </c>
      <c r="G695" s="1">
        <v>44854</v>
      </c>
      <c r="H695" t="s">
        <v>1513</v>
      </c>
      <c r="I695" t="s">
        <v>147</v>
      </c>
      <c r="J695">
        <v>-3426192371</v>
      </c>
      <c r="K695" t="s">
        <v>25</v>
      </c>
      <c r="L695" t="b">
        <v>0</v>
      </c>
    </row>
    <row r="696" spans="1:12" x14ac:dyDescent="0.3">
      <c r="A696" t="s">
        <v>1514</v>
      </c>
      <c r="B696" t="s">
        <v>27</v>
      </c>
      <c r="C696" t="s">
        <v>62</v>
      </c>
      <c r="D696">
        <v>25</v>
      </c>
      <c r="E696" t="s">
        <v>175</v>
      </c>
      <c r="F696" t="s">
        <v>16</v>
      </c>
      <c r="G696" s="1">
        <v>45267</v>
      </c>
      <c r="H696" t="s">
        <v>1515</v>
      </c>
      <c r="I696" t="s">
        <v>177</v>
      </c>
      <c r="J696">
        <v>-4501848196</v>
      </c>
      <c r="K696" t="s">
        <v>33</v>
      </c>
      <c r="L696" t="b">
        <v>0</v>
      </c>
    </row>
    <row r="697" spans="1:12" x14ac:dyDescent="0.3">
      <c r="A697" t="s">
        <v>1516</v>
      </c>
      <c r="B697" t="s">
        <v>75</v>
      </c>
      <c r="C697" t="s">
        <v>21</v>
      </c>
      <c r="D697">
        <v>30</v>
      </c>
      <c r="E697" t="s">
        <v>229</v>
      </c>
      <c r="F697" t="s">
        <v>30</v>
      </c>
      <c r="G697" s="1">
        <v>45380</v>
      </c>
      <c r="H697" t="s">
        <v>1517</v>
      </c>
      <c r="I697" t="s">
        <v>480</v>
      </c>
      <c r="J697">
        <v>-3741897214</v>
      </c>
      <c r="K697" t="s">
        <v>45</v>
      </c>
      <c r="L697" t="b">
        <v>0</v>
      </c>
    </row>
    <row r="698" spans="1:12" x14ac:dyDescent="0.3">
      <c r="A698" t="s">
        <v>1518</v>
      </c>
      <c r="B698" t="s">
        <v>67</v>
      </c>
      <c r="C698" t="s">
        <v>14</v>
      </c>
      <c r="D698">
        <v>25</v>
      </c>
      <c r="E698" t="s">
        <v>270</v>
      </c>
      <c r="F698" t="s">
        <v>36</v>
      </c>
      <c r="G698" s="1">
        <v>45314</v>
      </c>
      <c r="H698" t="s">
        <v>1519</v>
      </c>
      <c r="I698" t="s">
        <v>73</v>
      </c>
      <c r="J698">
        <v>-4064176926</v>
      </c>
      <c r="K698" t="s">
        <v>45</v>
      </c>
      <c r="L698" t="b">
        <v>1</v>
      </c>
    </row>
    <row r="699" spans="1:12" x14ac:dyDescent="0.3">
      <c r="A699" t="s">
        <v>1520</v>
      </c>
      <c r="B699" t="s">
        <v>75</v>
      </c>
      <c r="C699" t="s">
        <v>62</v>
      </c>
      <c r="D699">
        <v>40</v>
      </c>
      <c r="E699" t="s">
        <v>210</v>
      </c>
      <c r="F699" t="s">
        <v>30</v>
      </c>
      <c r="G699" s="1">
        <v>45258</v>
      </c>
      <c r="H699" t="s">
        <v>1521</v>
      </c>
      <c r="I699" t="s">
        <v>132</v>
      </c>
      <c r="J699">
        <v>-4381199536</v>
      </c>
      <c r="K699" t="s">
        <v>19</v>
      </c>
      <c r="L699" t="b">
        <v>0</v>
      </c>
    </row>
    <row r="700" spans="1:12" x14ac:dyDescent="0.3">
      <c r="A700" t="s">
        <v>1522</v>
      </c>
      <c r="B700" t="s">
        <v>40</v>
      </c>
      <c r="C700" t="s">
        <v>62</v>
      </c>
      <c r="D700">
        <v>35</v>
      </c>
      <c r="E700" t="s">
        <v>270</v>
      </c>
      <c r="F700" t="s">
        <v>36</v>
      </c>
      <c r="G700" s="1">
        <v>45607</v>
      </c>
      <c r="H700" t="s">
        <v>1523</v>
      </c>
      <c r="I700" t="s">
        <v>316</v>
      </c>
      <c r="J700">
        <v>-6601444855</v>
      </c>
      <c r="K700" t="s">
        <v>33</v>
      </c>
      <c r="L700" t="b">
        <v>0</v>
      </c>
    </row>
    <row r="701" spans="1:12" x14ac:dyDescent="0.3">
      <c r="A701" t="s">
        <v>1524</v>
      </c>
      <c r="B701" t="s">
        <v>61</v>
      </c>
      <c r="C701" t="s">
        <v>41</v>
      </c>
      <c r="D701">
        <v>25</v>
      </c>
      <c r="E701" t="s">
        <v>126</v>
      </c>
      <c r="F701" t="s">
        <v>36</v>
      </c>
      <c r="G701" s="1">
        <v>44436</v>
      </c>
      <c r="H701" t="s">
        <v>1525</v>
      </c>
      <c r="I701" t="s">
        <v>104</v>
      </c>
      <c r="J701">
        <v>-4510173972</v>
      </c>
      <c r="K701" t="s">
        <v>25</v>
      </c>
      <c r="L701" t="b">
        <v>0</v>
      </c>
    </row>
    <row r="702" spans="1:12" x14ac:dyDescent="0.3">
      <c r="A702" t="s">
        <v>1526</v>
      </c>
      <c r="B702" t="s">
        <v>75</v>
      </c>
      <c r="C702" t="s">
        <v>62</v>
      </c>
      <c r="D702">
        <v>25</v>
      </c>
      <c r="E702" t="s">
        <v>91</v>
      </c>
      <c r="F702" t="s">
        <v>36</v>
      </c>
      <c r="G702" s="1">
        <v>45333</v>
      </c>
      <c r="H702" t="s">
        <v>322</v>
      </c>
      <c r="I702" t="s">
        <v>132</v>
      </c>
      <c r="J702">
        <v>-9641789968</v>
      </c>
      <c r="K702" t="s">
        <v>33</v>
      </c>
      <c r="L702" t="b">
        <v>0</v>
      </c>
    </row>
    <row r="703" spans="1:12" x14ac:dyDescent="0.3">
      <c r="A703" t="s">
        <v>1527</v>
      </c>
      <c r="B703" t="s">
        <v>40</v>
      </c>
      <c r="C703" t="s">
        <v>47</v>
      </c>
      <c r="E703" t="s">
        <v>138</v>
      </c>
      <c r="F703" t="s">
        <v>30</v>
      </c>
      <c r="G703" s="1">
        <v>43960</v>
      </c>
      <c r="H703" t="s">
        <v>1528</v>
      </c>
      <c r="I703" t="s">
        <v>214</v>
      </c>
      <c r="J703">
        <v>-8609191910</v>
      </c>
      <c r="K703" t="s">
        <v>19</v>
      </c>
      <c r="L703" t="b">
        <v>0</v>
      </c>
    </row>
    <row r="704" spans="1:12" x14ac:dyDescent="0.3">
      <c r="A704" t="s">
        <v>1529</v>
      </c>
      <c r="B704" t="s">
        <v>80</v>
      </c>
      <c r="C704" t="s">
        <v>142</v>
      </c>
      <c r="D704">
        <v>30</v>
      </c>
      <c r="E704" t="s">
        <v>259</v>
      </c>
      <c r="F704" t="s">
        <v>36</v>
      </c>
      <c r="G704" s="1">
        <v>45399</v>
      </c>
      <c r="H704" t="s">
        <v>1530</v>
      </c>
      <c r="I704" t="s">
        <v>160</v>
      </c>
      <c r="J704">
        <v>-3599660576</v>
      </c>
      <c r="K704" t="s">
        <v>19</v>
      </c>
      <c r="L704" t="b">
        <v>1</v>
      </c>
    </row>
    <row r="705" spans="1:12" x14ac:dyDescent="0.3">
      <c r="A705" t="s">
        <v>1531</v>
      </c>
      <c r="B705" t="s">
        <v>40</v>
      </c>
      <c r="C705" t="s">
        <v>47</v>
      </c>
      <c r="D705">
        <v>40</v>
      </c>
      <c r="E705" t="s">
        <v>15</v>
      </c>
      <c r="F705" t="s">
        <v>16</v>
      </c>
      <c r="G705" s="1">
        <v>44028</v>
      </c>
      <c r="H705" t="s">
        <v>1532</v>
      </c>
      <c r="I705" t="s">
        <v>214</v>
      </c>
      <c r="J705">
        <v>-9806603919</v>
      </c>
      <c r="K705" t="s">
        <v>33</v>
      </c>
      <c r="L705" t="b">
        <v>1</v>
      </c>
    </row>
    <row r="706" spans="1:12" x14ac:dyDescent="0.3">
      <c r="A706" t="s">
        <v>1533</v>
      </c>
      <c r="B706" t="s">
        <v>61</v>
      </c>
      <c r="C706" t="s">
        <v>28</v>
      </c>
      <c r="D706">
        <v>30</v>
      </c>
      <c r="E706" t="s">
        <v>68</v>
      </c>
      <c r="F706" t="s">
        <v>16</v>
      </c>
      <c r="G706" s="1">
        <v>44825</v>
      </c>
      <c r="H706" t="s">
        <v>1534</v>
      </c>
      <c r="I706" t="s">
        <v>140</v>
      </c>
      <c r="J706">
        <v>-5146074554</v>
      </c>
      <c r="K706" t="s">
        <v>33</v>
      </c>
      <c r="L706" t="b">
        <v>1</v>
      </c>
    </row>
    <row r="707" spans="1:12" x14ac:dyDescent="0.3">
      <c r="A707" t="s">
        <v>1535</v>
      </c>
      <c r="B707" t="s">
        <v>80</v>
      </c>
      <c r="C707" t="s">
        <v>28</v>
      </c>
      <c r="D707">
        <v>40</v>
      </c>
      <c r="E707" t="s">
        <v>113</v>
      </c>
      <c r="F707" t="s">
        <v>30</v>
      </c>
      <c r="G707" s="1">
        <v>45039</v>
      </c>
      <c r="H707" t="s">
        <v>1536</v>
      </c>
      <c r="I707" t="s">
        <v>89</v>
      </c>
      <c r="J707">
        <v>-3470574237</v>
      </c>
      <c r="K707" t="s">
        <v>33</v>
      </c>
      <c r="L707" t="b">
        <v>0</v>
      </c>
    </row>
    <row r="708" spans="1:12" x14ac:dyDescent="0.3">
      <c r="A708" t="s">
        <v>1537</v>
      </c>
      <c r="B708" t="s">
        <v>13</v>
      </c>
      <c r="C708" t="s">
        <v>21</v>
      </c>
      <c r="D708">
        <v>25</v>
      </c>
      <c r="E708" t="s">
        <v>29</v>
      </c>
      <c r="F708" t="s">
        <v>36</v>
      </c>
      <c r="G708" s="1">
        <v>45653</v>
      </c>
      <c r="H708" t="s">
        <v>1538</v>
      </c>
      <c r="I708" t="s">
        <v>24</v>
      </c>
      <c r="J708">
        <v>-8565271558</v>
      </c>
      <c r="K708" t="s">
        <v>45</v>
      </c>
      <c r="L708" t="b">
        <v>1</v>
      </c>
    </row>
    <row r="709" spans="1:12" x14ac:dyDescent="0.3">
      <c r="A709" t="s">
        <v>1539</v>
      </c>
      <c r="B709" t="s">
        <v>27</v>
      </c>
      <c r="C709" t="s">
        <v>47</v>
      </c>
      <c r="D709">
        <v>35</v>
      </c>
      <c r="E709" t="s">
        <v>259</v>
      </c>
      <c r="F709" t="s">
        <v>36</v>
      </c>
      <c r="G709" s="1">
        <v>45514</v>
      </c>
      <c r="H709" t="s">
        <v>1540</v>
      </c>
      <c r="I709" t="s">
        <v>50</v>
      </c>
      <c r="J709">
        <v>-8354116596</v>
      </c>
      <c r="K709" t="s">
        <v>25</v>
      </c>
      <c r="L709" t="b">
        <v>1</v>
      </c>
    </row>
    <row r="710" spans="1:12" x14ac:dyDescent="0.3">
      <c r="A710" t="s">
        <v>1541</v>
      </c>
      <c r="B710" t="s">
        <v>35</v>
      </c>
      <c r="C710" t="s">
        <v>47</v>
      </c>
      <c r="E710" t="s">
        <v>98</v>
      </c>
      <c r="F710" t="s">
        <v>16</v>
      </c>
      <c r="G710" s="1">
        <v>45539</v>
      </c>
      <c r="H710" t="s">
        <v>1542</v>
      </c>
      <c r="I710" t="s">
        <v>346</v>
      </c>
      <c r="J710">
        <v>-2634755751</v>
      </c>
      <c r="K710" t="s">
        <v>33</v>
      </c>
      <c r="L710" t="b">
        <v>0</v>
      </c>
    </row>
    <row r="711" spans="1:12" x14ac:dyDescent="0.3">
      <c r="A711" t="s">
        <v>1543</v>
      </c>
      <c r="B711" t="s">
        <v>13</v>
      </c>
      <c r="C711" t="s">
        <v>47</v>
      </c>
      <c r="D711">
        <v>25</v>
      </c>
      <c r="E711" t="s">
        <v>63</v>
      </c>
      <c r="F711" t="s">
        <v>30</v>
      </c>
      <c r="G711" s="1">
        <v>44620</v>
      </c>
      <c r="H711" t="s">
        <v>1544</v>
      </c>
      <c r="I711" t="s">
        <v>180</v>
      </c>
      <c r="J711">
        <v>-2501394883</v>
      </c>
      <c r="K711" t="s">
        <v>33</v>
      </c>
      <c r="L711" t="b">
        <v>0</v>
      </c>
    </row>
    <row r="712" spans="1:12" x14ac:dyDescent="0.3">
      <c r="A712" t="s">
        <v>1545</v>
      </c>
      <c r="B712" t="s">
        <v>67</v>
      </c>
      <c r="C712" t="s">
        <v>14</v>
      </c>
      <c r="E712" t="s">
        <v>63</v>
      </c>
      <c r="F712" t="s">
        <v>30</v>
      </c>
      <c r="G712" s="1">
        <v>45365</v>
      </c>
      <c r="H712" t="s">
        <v>1546</v>
      </c>
      <c r="I712" t="s">
        <v>73</v>
      </c>
      <c r="J712">
        <v>-8826913118</v>
      </c>
      <c r="K712" t="s">
        <v>33</v>
      </c>
      <c r="L712" t="b">
        <v>0</v>
      </c>
    </row>
    <row r="713" spans="1:12" x14ac:dyDescent="0.3">
      <c r="A713" t="s">
        <v>1547</v>
      </c>
      <c r="B713" t="s">
        <v>40</v>
      </c>
      <c r="C713" t="s">
        <v>62</v>
      </c>
      <c r="D713">
        <v>40</v>
      </c>
      <c r="E713" t="s">
        <v>386</v>
      </c>
      <c r="F713" t="s">
        <v>36</v>
      </c>
      <c r="G713" s="1">
        <v>45639</v>
      </c>
      <c r="H713" t="s">
        <v>1548</v>
      </c>
      <c r="I713" t="s">
        <v>316</v>
      </c>
      <c r="J713">
        <v>-6425856260</v>
      </c>
      <c r="K713" t="s">
        <v>19</v>
      </c>
      <c r="L713" t="b">
        <v>1</v>
      </c>
    </row>
    <row r="714" spans="1:12" x14ac:dyDescent="0.3">
      <c r="A714" t="s">
        <v>1549</v>
      </c>
      <c r="B714" t="s">
        <v>80</v>
      </c>
      <c r="C714" t="s">
        <v>142</v>
      </c>
      <c r="E714" t="s">
        <v>175</v>
      </c>
      <c r="F714" t="s">
        <v>16</v>
      </c>
      <c r="G714" s="1">
        <v>44924</v>
      </c>
      <c r="H714" t="s">
        <v>1550</v>
      </c>
      <c r="I714" t="s">
        <v>160</v>
      </c>
      <c r="J714">
        <v>-4991537037</v>
      </c>
      <c r="K714" t="s">
        <v>19</v>
      </c>
      <c r="L714" t="b">
        <v>1</v>
      </c>
    </row>
    <row r="715" spans="1:12" x14ac:dyDescent="0.3">
      <c r="A715" t="s">
        <v>1551</v>
      </c>
      <c r="B715" t="s">
        <v>40</v>
      </c>
      <c r="C715" t="s">
        <v>21</v>
      </c>
      <c r="D715">
        <v>35</v>
      </c>
      <c r="E715" t="s">
        <v>210</v>
      </c>
      <c r="F715" t="s">
        <v>36</v>
      </c>
      <c r="G715" s="1">
        <v>44675</v>
      </c>
      <c r="H715" t="s">
        <v>1552</v>
      </c>
      <c r="I715" t="s">
        <v>280</v>
      </c>
      <c r="J715">
        <v>-2407333372</v>
      </c>
      <c r="K715" t="s">
        <v>45</v>
      </c>
      <c r="L715" t="b">
        <v>0</v>
      </c>
    </row>
    <row r="716" spans="1:12" x14ac:dyDescent="0.3">
      <c r="A716" t="s">
        <v>1553</v>
      </c>
      <c r="B716" t="s">
        <v>40</v>
      </c>
      <c r="C716" t="s">
        <v>47</v>
      </c>
      <c r="E716" t="s">
        <v>102</v>
      </c>
      <c r="F716" t="s">
        <v>30</v>
      </c>
      <c r="G716" s="1">
        <v>44269</v>
      </c>
      <c r="H716" t="s">
        <v>1554</v>
      </c>
      <c r="I716" t="s">
        <v>214</v>
      </c>
      <c r="J716">
        <v>-2043097767</v>
      </c>
      <c r="K716" t="s">
        <v>25</v>
      </c>
      <c r="L716" t="b">
        <v>0</v>
      </c>
    </row>
    <row r="717" spans="1:12" x14ac:dyDescent="0.3">
      <c r="A717" t="s">
        <v>1555</v>
      </c>
      <c r="B717" t="s">
        <v>35</v>
      </c>
      <c r="C717" t="s">
        <v>47</v>
      </c>
      <c r="D717">
        <v>35</v>
      </c>
      <c r="E717" t="s">
        <v>130</v>
      </c>
      <c r="F717" t="s">
        <v>36</v>
      </c>
      <c r="G717" s="1">
        <v>43831</v>
      </c>
      <c r="H717" t="s">
        <v>1556</v>
      </c>
      <c r="I717" t="s">
        <v>346</v>
      </c>
      <c r="J717">
        <v>-8936289695</v>
      </c>
      <c r="K717" t="s">
        <v>45</v>
      </c>
      <c r="L717" t="b">
        <v>1</v>
      </c>
    </row>
    <row r="718" spans="1:12" x14ac:dyDescent="0.3">
      <c r="A718" t="s">
        <v>1557</v>
      </c>
      <c r="B718" t="s">
        <v>27</v>
      </c>
      <c r="C718" t="s">
        <v>41</v>
      </c>
      <c r="E718" t="s">
        <v>138</v>
      </c>
      <c r="F718" t="s">
        <v>16</v>
      </c>
      <c r="G718" s="1">
        <v>44446</v>
      </c>
      <c r="H718" t="s">
        <v>1558</v>
      </c>
      <c r="I718" t="s">
        <v>431</v>
      </c>
      <c r="J718">
        <v>-4546553584</v>
      </c>
      <c r="K718" t="s">
        <v>25</v>
      </c>
      <c r="L718" t="b">
        <v>1</v>
      </c>
    </row>
    <row r="719" spans="1:12" x14ac:dyDescent="0.3">
      <c r="A719" t="s">
        <v>1559</v>
      </c>
      <c r="B719" t="s">
        <v>40</v>
      </c>
      <c r="C719" t="s">
        <v>21</v>
      </c>
      <c r="D719">
        <v>25</v>
      </c>
      <c r="E719" t="s">
        <v>15</v>
      </c>
      <c r="F719" t="s">
        <v>30</v>
      </c>
      <c r="G719" s="1">
        <v>44878</v>
      </c>
      <c r="H719" t="s">
        <v>1560</v>
      </c>
      <c r="I719" t="s">
        <v>280</v>
      </c>
      <c r="J719">
        <v>-1253892186</v>
      </c>
      <c r="K719" t="s">
        <v>19</v>
      </c>
      <c r="L719" t="b">
        <v>0</v>
      </c>
    </row>
    <row r="720" spans="1:12" x14ac:dyDescent="0.3">
      <c r="A720" t="s">
        <v>1561</v>
      </c>
      <c r="B720" t="s">
        <v>61</v>
      </c>
      <c r="C720" t="s">
        <v>47</v>
      </c>
      <c r="D720">
        <v>25</v>
      </c>
      <c r="E720" t="s">
        <v>42</v>
      </c>
      <c r="F720" t="s">
        <v>36</v>
      </c>
      <c r="G720" s="1">
        <v>44150</v>
      </c>
      <c r="H720" t="s">
        <v>1562</v>
      </c>
      <c r="I720" t="s">
        <v>100</v>
      </c>
      <c r="J720">
        <v>-8519358373</v>
      </c>
      <c r="K720" t="s">
        <v>19</v>
      </c>
      <c r="L720" t="b">
        <v>0</v>
      </c>
    </row>
    <row r="721" spans="1:12" x14ac:dyDescent="0.3">
      <c r="A721" t="s">
        <v>1563</v>
      </c>
      <c r="B721" t="s">
        <v>67</v>
      </c>
      <c r="C721" t="s">
        <v>21</v>
      </c>
      <c r="D721">
        <v>30</v>
      </c>
      <c r="E721" t="s">
        <v>172</v>
      </c>
      <c r="F721" t="s">
        <v>16</v>
      </c>
      <c r="G721" s="1">
        <v>44999</v>
      </c>
      <c r="H721" t="s">
        <v>1564</v>
      </c>
      <c r="I721" t="s">
        <v>265</v>
      </c>
      <c r="J721">
        <v>-9079779611</v>
      </c>
      <c r="K721" t="s">
        <v>19</v>
      </c>
      <c r="L721" t="b">
        <v>1</v>
      </c>
    </row>
    <row r="722" spans="1:12" x14ac:dyDescent="0.3">
      <c r="A722" t="s">
        <v>1565</v>
      </c>
      <c r="B722" t="s">
        <v>13</v>
      </c>
      <c r="C722" t="s">
        <v>62</v>
      </c>
      <c r="D722">
        <v>35</v>
      </c>
      <c r="E722" t="s">
        <v>267</v>
      </c>
      <c r="F722" t="s">
        <v>36</v>
      </c>
      <c r="G722" s="1">
        <v>45522</v>
      </c>
      <c r="H722" t="s">
        <v>1566</v>
      </c>
      <c r="I722" t="s">
        <v>237</v>
      </c>
      <c r="J722">
        <v>-878057214</v>
      </c>
      <c r="K722" t="s">
        <v>45</v>
      </c>
      <c r="L722" t="b">
        <v>0</v>
      </c>
    </row>
    <row r="723" spans="1:12" x14ac:dyDescent="0.3">
      <c r="A723" t="s">
        <v>1567</v>
      </c>
      <c r="B723" t="s">
        <v>13</v>
      </c>
      <c r="C723" t="s">
        <v>41</v>
      </c>
      <c r="E723" t="s">
        <v>15</v>
      </c>
      <c r="F723" t="s">
        <v>16</v>
      </c>
      <c r="G723" s="1">
        <v>45327</v>
      </c>
      <c r="H723" t="s">
        <v>1568</v>
      </c>
      <c r="I723" t="s">
        <v>170</v>
      </c>
      <c r="J723">
        <v>-1494097625</v>
      </c>
      <c r="K723" t="s">
        <v>33</v>
      </c>
      <c r="L723" t="b">
        <v>1</v>
      </c>
    </row>
    <row r="724" spans="1:12" x14ac:dyDescent="0.3">
      <c r="A724" t="s">
        <v>1569</v>
      </c>
      <c r="B724" t="s">
        <v>27</v>
      </c>
      <c r="C724" t="s">
        <v>21</v>
      </c>
      <c r="D724">
        <v>35</v>
      </c>
      <c r="E724" t="s">
        <v>251</v>
      </c>
      <c r="F724" t="s">
        <v>36</v>
      </c>
      <c r="G724" s="1">
        <v>45608</v>
      </c>
      <c r="H724" t="s">
        <v>1570</v>
      </c>
      <c r="I724" t="s">
        <v>93</v>
      </c>
      <c r="J724">
        <v>-3748453985</v>
      </c>
      <c r="K724" t="s">
        <v>33</v>
      </c>
      <c r="L724" t="b">
        <v>1</v>
      </c>
    </row>
    <row r="725" spans="1:12" x14ac:dyDescent="0.3">
      <c r="A725" t="s">
        <v>1571</v>
      </c>
      <c r="B725" t="s">
        <v>27</v>
      </c>
      <c r="C725" t="s">
        <v>142</v>
      </c>
      <c r="D725">
        <v>40</v>
      </c>
      <c r="E725" t="s">
        <v>312</v>
      </c>
      <c r="F725" t="s">
        <v>30</v>
      </c>
      <c r="G725" s="1">
        <v>43915</v>
      </c>
      <c r="H725" t="s">
        <v>1572</v>
      </c>
      <c r="I725" t="s">
        <v>217</v>
      </c>
      <c r="J725">
        <v>-2895090590</v>
      </c>
      <c r="K725" t="s">
        <v>19</v>
      </c>
      <c r="L725" t="b">
        <v>1</v>
      </c>
    </row>
    <row r="726" spans="1:12" x14ac:dyDescent="0.3">
      <c r="A726" t="s">
        <v>1573</v>
      </c>
      <c r="B726" t="s">
        <v>40</v>
      </c>
      <c r="C726" t="s">
        <v>142</v>
      </c>
      <c r="E726" t="s">
        <v>63</v>
      </c>
      <c r="F726" t="s">
        <v>16</v>
      </c>
      <c r="G726" s="1">
        <v>43934</v>
      </c>
      <c r="H726" t="s">
        <v>1574</v>
      </c>
      <c r="I726" t="s">
        <v>163</v>
      </c>
      <c r="J726">
        <v>-1918623391</v>
      </c>
      <c r="K726" t="s">
        <v>33</v>
      </c>
      <c r="L726" t="b">
        <v>1</v>
      </c>
    </row>
    <row r="727" spans="1:12" x14ac:dyDescent="0.3">
      <c r="A727" t="s">
        <v>1575</v>
      </c>
      <c r="B727" t="s">
        <v>75</v>
      </c>
      <c r="C727" t="s">
        <v>28</v>
      </c>
      <c r="E727" t="s">
        <v>113</v>
      </c>
      <c r="F727" t="s">
        <v>16</v>
      </c>
      <c r="G727" s="1">
        <v>44285</v>
      </c>
      <c r="H727" t="s">
        <v>1576</v>
      </c>
      <c r="I727" t="s">
        <v>375</v>
      </c>
      <c r="J727">
        <v>-2071511695</v>
      </c>
      <c r="K727" t="s">
        <v>33</v>
      </c>
      <c r="L727" t="b">
        <v>0</v>
      </c>
    </row>
    <row r="728" spans="1:12" x14ac:dyDescent="0.3">
      <c r="A728" t="s">
        <v>1577</v>
      </c>
      <c r="B728" t="s">
        <v>61</v>
      </c>
      <c r="C728" t="s">
        <v>41</v>
      </c>
      <c r="D728">
        <v>30</v>
      </c>
      <c r="E728" t="s">
        <v>165</v>
      </c>
      <c r="F728" t="s">
        <v>36</v>
      </c>
      <c r="G728" s="1">
        <v>45001</v>
      </c>
      <c r="H728" t="s">
        <v>1578</v>
      </c>
      <c r="I728" t="s">
        <v>104</v>
      </c>
      <c r="J728">
        <v>-6672521451</v>
      </c>
      <c r="K728" t="s">
        <v>45</v>
      </c>
      <c r="L728" t="b">
        <v>0</v>
      </c>
    </row>
    <row r="729" spans="1:12" x14ac:dyDescent="0.3">
      <c r="A729" t="s">
        <v>1579</v>
      </c>
      <c r="B729" t="s">
        <v>35</v>
      </c>
      <c r="C729" t="s">
        <v>41</v>
      </c>
      <c r="D729">
        <v>25</v>
      </c>
      <c r="E729" t="s">
        <v>309</v>
      </c>
      <c r="F729" t="s">
        <v>36</v>
      </c>
      <c r="G729" s="1">
        <v>45415</v>
      </c>
      <c r="H729" t="s">
        <v>1580</v>
      </c>
      <c r="I729" t="s">
        <v>167</v>
      </c>
      <c r="J729">
        <v>-6471246334</v>
      </c>
      <c r="K729" t="s">
        <v>25</v>
      </c>
      <c r="L729" t="b">
        <v>1</v>
      </c>
    </row>
    <row r="730" spans="1:12" x14ac:dyDescent="0.3">
      <c r="A730" t="s">
        <v>1581</v>
      </c>
      <c r="B730" t="s">
        <v>75</v>
      </c>
      <c r="C730" t="s">
        <v>28</v>
      </c>
      <c r="E730" t="s">
        <v>244</v>
      </c>
      <c r="F730" t="s">
        <v>36</v>
      </c>
      <c r="G730" s="1">
        <v>45166</v>
      </c>
      <c r="H730" t="s">
        <v>1582</v>
      </c>
      <c r="I730" t="s">
        <v>375</v>
      </c>
      <c r="J730">
        <v>-1571840907</v>
      </c>
      <c r="K730" t="s">
        <v>19</v>
      </c>
      <c r="L730" t="b">
        <v>1</v>
      </c>
    </row>
    <row r="731" spans="1:12" x14ac:dyDescent="0.3">
      <c r="A731" t="s">
        <v>1583</v>
      </c>
      <c r="B731" t="s">
        <v>67</v>
      </c>
      <c r="C731" t="s">
        <v>21</v>
      </c>
      <c r="D731">
        <v>30</v>
      </c>
      <c r="E731" t="s">
        <v>312</v>
      </c>
      <c r="F731" t="s">
        <v>36</v>
      </c>
      <c r="G731" s="1">
        <v>44493</v>
      </c>
      <c r="H731" t="s">
        <v>1584</v>
      </c>
      <c r="I731" t="s">
        <v>265</v>
      </c>
      <c r="J731">
        <v>-512080055</v>
      </c>
      <c r="K731" t="s">
        <v>19</v>
      </c>
      <c r="L731" t="b">
        <v>1</v>
      </c>
    </row>
    <row r="732" spans="1:12" x14ac:dyDescent="0.3">
      <c r="A732" t="s">
        <v>1585</v>
      </c>
      <c r="B732" t="s">
        <v>13</v>
      </c>
      <c r="C732" t="s">
        <v>41</v>
      </c>
      <c r="D732">
        <v>40</v>
      </c>
      <c r="E732" t="s">
        <v>81</v>
      </c>
      <c r="F732" t="s">
        <v>36</v>
      </c>
      <c r="G732" s="1">
        <v>44221</v>
      </c>
      <c r="H732" t="s">
        <v>1586</v>
      </c>
      <c r="I732" t="s">
        <v>170</v>
      </c>
      <c r="J732">
        <v>-4099512396</v>
      </c>
      <c r="K732" t="s">
        <v>45</v>
      </c>
      <c r="L732" t="b">
        <v>1</v>
      </c>
    </row>
    <row r="733" spans="1:12" x14ac:dyDescent="0.3">
      <c r="A733" t="s">
        <v>1587</v>
      </c>
      <c r="B733" t="s">
        <v>27</v>
      </c>
      <c r="C733" t="s">
        <v>142</v>
      </c>
      <c r="D733">
        <v>35</v>
      </c>
      <c r="E733" t="s">
        <v>138</v>
      </c>
      <c r="F733" t="s">
        <v>30</v>
      </c>
      <c r="G733" s="1">
        <v>45513</v>
      </c>
      <c r="H733" t="s">
        <v>1588</v>
      </c>
      <c r="I733" t="s">
        <v>217</v>
      </c>
      <c r="J733">
        <v>-2835129591</v>
      </c>
      <c r="K733" t="s">
        <v>45</v>
      </c>
      <c r="L733" t="b">
        <v>1</v>
      </c>
    </row>
    <row r="734" spans="1:12" x14ac:dyDescent="0.3">
      <c r="A734" t="s">
        <v>1589</v>
      </c>
      <c r="B734" t="s">
        <v>61</v>
      </c>
      <c r="C734" t="s">
        <v>142</v>
      </c>
      <c r="D734">
        <v>40</v>
      </c>
      <c r="E734" t="s">
        <v>68</v>
      </c>
      <c r="F734" t="s">
        <v>16</v>
      </c>
      <c r="G734" s="1">
        <v>45234</v>
      </c>
      <c r="H734" t="s">
        <v>1590</v>
      </c>
      <c r="I734" t="s">
        <v>231</v>
      </c>
      <c r="J734">
        <v>-7282709080</v>
      </c>
      <c r="K734" t="s">
        <v>33</v>
      </c>
      <c r="L734" t="b">
        <v>0</v>
      </c>
    </row>
    <row r="735" spans="1:12" x14ac:dyDescent="0.3">
      <c r="A735" t="s">
        <v>1591</v>
      </c>
      <c r="B735" t="s">
        <v>13</v>
      </c>
      <c r="C735" t="s">
        <v>47</v>
      </c>
      <c r="D735">
        <v>25</v>
      </c>
      <c r="E735" t="s">
        <v>278</v>
      </c>
      <c r="F735" t="s">
        <v>16</v>
      </c>
      <c r="G735" s="1">
        <v>45102</v>
      </c>
      <c r="H735" t="s">
        <v>1592</v>
      </c>
      <c r="I735" t="s">
        <v>180</v>
      </c>
      <c r="J735">
        <v>-4415298216</v>
      </c>
      <c r="K735" t="s">
        <v>19</v>
      </c>
      <c r="L735" t="b">
        <v>0</v>
      </c>
    </row>
    <row r="736" spans="1:12" x14ac:dyDescent="0.3">
      <c r="A736" t="s">
        <v>1593</v>
      </c>
      <c r="B736" t="s">
        <v>35</v>
      </c>
      <c r="C736" t="s">
        <v>62</v>
      </c>
      <c r="D736">
        <v>25</v>
      </c>
      <c r="E736" t="s">
        <v>175</v>
      </c>
      <c r="F736" t="s">
        <v>16</v>
      </c>
      <c r="G736" s="1">
        <v>44455</v>
      </c>
      <c r="H736" t="s">
        <v>1594</v>
      </c>
      <c r="I736" t="s">
        <v>380</v>
      </c>
      <c r="J736">
        <v>-3929578670</v>
      </c>
      <c r="K736" t="s">
        <v>25</v>
      </c>
      <c r="L736" t="b">
        <v>0</v>
      </c>
    </row>
    <row r="737" spans="1:12" x14ac:dyDescent="0.3">
      <c r="A737" t="s">
        <v>1595</v>
      </c>
      <c r="B737" t="s">
        <v>67</v>
      </c>
      <c r="C737" t="s">
        <v>41</v>
      </c>
      <c r="E737" t="s">
        <v>233</v>
      </c>
      <c r="F737" t="s">
        <v>30</v>
      </c>
      <c r="G737" s="1">
        <v>44902</v>
      </c>
      <c r="H737" t="s">
        <v>1596</v>
      </c>
      <c r="I737" t="s">
        <v>70</v>
      </c>
      <c r="J737">
        <v>-8153523735</v>
      </c>
      <c r="K737" t="s">
        <v>45</v>
      </c>
      <c r="L737" t="b">
        <v>0</v>
      </c>
    </row>
    <row r="738" spans="1:12" x14ac:dyDescent="0.3">
      <c r="A738" t="s">
        <v>1597</v>
      </c>
      <c r="B738" t="s">
        <v>61</v>
      </c>
      <c r="C738" t="s">
        <v>21</v>
      </c>
      <c r="D738">
        <v>25</v>
      </c>
      <c r="E738" t="s">
        <v>309</v>
      </c>
      <c r="F738" t="s">
        <v>30</v>
      </c>
      <c r="G738" s="1">
        <v>44909</v>
      </c>
      <c r="H738" t="s">
        <v>1598</v>
      </c>
      <c r="I738" t="s">
        <v>147</v>
      </c>
      <c r="J738">
        <v>-507918157</v>
      </c>
      <c r="K738" t="s">
        <v>25</v>
      </c>
      <c r="L738" t="b">
        <v>1</v>
      </c>
    </row>
    <row r="739" spans="1:12" x14ac:dyDescent="0.3">
      <c r="A739" t="s">
        <v>1599</v>
      </c>
      <c r="B739" t="s">
        <v>35</v>
      </c>
      <c r="C739" t="s">
        <v>28</v>
      </c>
      <c r="D739">
        <v>30</v>
      </c>
      <c r="E739" t="s">
        <v>91</v>
      </c>
      <c r="F739" t="s">
        <v>36</v>
      </c>
      <c r="G739" s="1">
        <v>43939</v>
      </c>
      <c r="H739" t="s">
        <v>1600</v>
      </c>
      <c r="I739" t="s">
        <v>323</v>
      </c>
      <c r="J739">
        <v>-9988683451</v>
      </c>
      <c r="K739" t="s">
        <v>25</v>
      </c>
      <c r="L739" t="b">
        <v>1</v>
      </c>
    </row>
    <row r="740" spans="1:12" x14ac:dyDescent="0.3">
      <c r="A740" t="s">
        <v>1601</v>
      </c>
      <c r="B740" t="s">
        <v>13</v>
      </c>
      <c r="C740" t="s">
        <v>28</v>
      </c>
      <c r="D740">
        <v>40</v>
      </c>
      <c r="E740" t="s">
        <v>15</v>
      </c>
      <c r="F740" t="s">
        <v>30</v>
      </c>
      <c r="G740" s="1">
        <v>45576</v>
      </c>
      <c r="H740" t="s">
        <v>1602</v>
      </c>
      <c r="I740" t="s">
        <v>56</v>
      </c>
      <c r="J740">
        <v>-7346666169</v>
      </c>
      <c r="K740" t="s">
        <v>19</v>
      </c>
      <c r="L740" t="b">
        <v>1</v>
      </c>
    </row>
    <row r="741" spans="1:12" x14ac:dyDescent="0.3">
      <c r="A741" t="s">
        <v>1603</v>
      </c>
      <c r="B741" t="s">
        <v>13</v>
      </c>
      <c r="C741" t="s">
        <v>21</v>
      </c>
      <c r="D741">
        <v>25</v>
      </c>
      <c r="E741" t="s">
        <v>175</v>
      </c>
      <c r="F741" t="s">
        <v>36</v>
      </c>
      <c r="G741" s="1">
        <v>44304</v>
      </c>
      <c r="H741" t="s">
        <v>1604</v>
      </c>
      <c r="I741" t="s">
        <v>24</v>
      </c>
      <c r="J741">
        <v>-7158796473</v>
      </c>
      <c r="K741" t="s">
        <v>19</v>
      </c>
      <c r="L741" t="b">
        <v>1</v>
      </c>
    </row>
    <row r="742" spans="1:12" x14ac:dyDescent="0.3">
      <c r="A742" t="s">
        <v>1605</v>
      </c>
      <c r="B742" t="s">
        <v>13</v>
      </c>
      <c r="C742" t="s">
        <v>14</v>
      </c>
      <c r="D742">
        <v>35</v>
      </c>
      <c r="E742" t="s">
        <v>309</v>
      </c>
      <c r="F742" t="s">
        <v>30</v>
      </c>
      <c r="G742" s="1">
        <v>44011</v>
      </c>
      <c r="H742" t="s">
        <v>1606</v>
      </c>
      <c r="I742" t="s">
        <v>18</v>
      </c>
      <c r="J742">
        <v>-803149981</v>
      </c>
      <c r="K742" t="s">
        <v>45</v>
      </c>
      <c r="L742" t="b">
        <v>1</v>
      </c>
    </row>
    <row r="743" spans="1:12" x14ac:dyDescent="0.3">
      <c r="A743" t="s">
        <v>1607</v>
      </c>
      <c r="B743" t="s">
        <v>75</v>
      </c>
      <c r="C743" t="s">
        <v>106</v>
      </c>
      <c r="E743" t="s">
        <v>278</v>
      </c>
      <c r="F743" t="s">
        <v>16</v>
      </c>
      <c r="G743" s="1">
        <v>44337</v>
      </c>
      <c r="H743" t="s">
        <v>1608</v>
      </c>
      <c r="I743" t="s">
        <v>153</v>
      </c>
      <c r="J743">
        <v>-5080046357</v>
      </c>
      <c r="K743" t="s">
        <v>19</v>
      </c>
      <c r="L743" t="b">
        <v>0</v>
      </c>
    </row>
    <row r="744" spans="1:12" x14ac:dyDescent="0.3">
      <c r="A744" t="s">
        <v>1609</v>
      </c>
      <c r="B744" t="s">
        <v>75</v>
      </c>
      <c r="C744" t="s">
        <v>62</v>
      </c>
      <c r="D744">
        <v>40</v>
      </c>
      <c r="E744" t="s">
        <v>63</v>
      </c>
      <c r="F744" t="s">
        <v>16</v>
      </c>
      <c r="G744" s="1">
        <v>44541</v>
      </c>
      <c r="H744" t="s">
        <v>1610</v>
      </c>
      <c r="I744" t="s">
        <v>132</v>
      </c>
      <c r="J744">
        <v>-688285030</v>
      </c>
      <c r="K744" t="s">
        <v>19</v>
      </c>
      <c r="L744" t="b">
        <v>1</v>
      </c>
    </row>
    <row r="745" spans="1:12" x14ac:dyDescent="0.3">
      <c r="A745" t="s">
        <v>1611</v>
      </c>
      <c r="B745" t="s">
        <v>35</v>
      </c>
      <c r="C745" t="s">
        <v>28</v>
      </c>
      <c r="D745">
        <v>30</v>
      </c>
      <c r="E745" t="s">
        <v>210</v>
      </c>
      <c r="F745" t="s">
        <v>16</v>
      </c>
      <c r="G745" s="1">
        <v>45112</v>
      </c>
      <c r="H745" t="s">
        <v>1612</v>
      </c>
      <c r="I745" t="s">
        <v>323</v>
      </c>
      <c r="J745">
        <v>-7235137398</v>
      </c>
      <c r="K745" t="s">
        <v>19</v>
      </c>
      <c r="L745" t="b">
        <v>0</v>
      </c>
    </row>
    <row r="746" spans="1:12" x14ac:dyDescent="0.3">
      <c r="A746" t="s">
        <v>1613</v>
      </c>
      <c r="B746" t="s">
        <v>27</v>
      </c>
      <c r="C746" t="s">
        <v>41</v>
      </c>
      <c r="E746" t="s">
        <v>76</v>
      </c>
      <c r="F746" t="s">
        <v>16</v>
      </c>
      <c r="G746" s="1">
        <v>44530</v>
      </c>
      <c r="H746" t="s">
        <v>1614</v>
      </c>
      <c r="I746" t="s">
        <v>431</v>
      </c>
      <c r="J746">
        <v>-63140351</v>
      </c>
      <c r="K746" t="s">
        <v>25</v>
      </c>
      <c r="L746" t="b">
        <v>0</v>
      </c>
    </row>
    <row r="747" spans="1:12" x14ac:dyDescent="0.3">
      <c r="A747" t="s">
        <v>1615</v>
      </c>
      <c r="B747" t="s">
        <v>13</v>
      </c>
      <c r="C747" t="s">
        <v>62</v>
      </c>
      <c r="D747">
        <v>40</v>
      </c>
      <c r="E747" t="s">
        <v>259</v>
      </c>
      <c r="F747" t="s">
        <v>30</v>
      </c>
      <c r="G747" s="1">
        <v>45618</v>
      </c>
      <c r="H747" t="s">
        <v>1616</v>
      </c>
      <c r="I747" t="s">
        <v>237</v>
      </c>
      <c r="J747">
        <v>-6356022938</v>
      </c>
      <c r="K747" t="s">
        <v>45</v>
      </c>
      <c r="L747" t="b">
        <v>0</v>
      </c>
    </row>
    <row r="748" spans="1:12" x14ac:dyDescent="0.3">
      <c r="A748" t="s">
        <v>1617</v>
      </c>
      <c r="B748" t="s">
        <v>67</v>
      </c>
      <c r="C748" t="s">
        <v>41</v>
      </c>
      <c r="E748" t="s">
        <v>244</v>
      </c>
      <c r="F748" t="s">
        <v>36</v>
      </c>
      <c r="G748" s="1">
        <v>45070</v>
      </c>
      <c r="H748" t="s">
        <v>1618</v>
      </c>
      <c r="I748" t="s">
        <v>70</v>
      </c>
      <c r="J748">
        <v>-4694346065</v>
      </c>
      <c r="K748" t="s">
        <v>33</v>
      </c>
      <c r="L748" t="b">
        <v>0</v>
      </c>
    </row>
    <row r="749" spans="1:12" x14ac:dyDescent="0.3">
      <c r="A749" t="s">
        <v>1619</v>
      </c>
      <c r="B749" t="s">
        <v>67</v>
      </c>
      <c r="C749" t="s">
        <v>14</v>
      </c>
      <c r="D749">
        <v>30</v>
      </c>
      <c r="E749" t="s">
        <v>113</v>
      </c>
      <c r="F749" t="s">
        <v>30</v>
      </c>
      <c r="G749" s="1">
        <v>45469</v>
      </c>
      <c r="H749" t="s">
        <v>1620</v>
      </c>
      <c r="I749" t="s">
        <v>73</v>
      </c>
      <c r="J749">
        <v>-6437490606</v>
      </c>
      <c r="K749" t="s">
        <v>25</v>
      </c>
      <c r="L749" t="b">
        <v>1</v>
      </c>
    </row>
    <row r="750" spans="1:12" x14ac:dyDescent="0.3">
      <c r="A750" t="s">
        <v>1621</v>
      </c>
      <c r="B750" t="s">
        <v>61</v>
      </c>
      <c r="C750" t="s">
        <v>142</v>
      </c>
      <c r="D750">
        <v>40</v>
      </c>
      <c r="E750" t="s">
        <v>29</v>
      </c>
      <c r="F750" t="s">
        <v>30</v>
      </c>
      <c r="G750" s="1">
        <v>44154</v>
      </c>
      <c r="H750" t="s">
        <v>1622</v>
      </c>
      <c r="I750" t="s">
        <v>231</v>
      </c>
      <c r="J750">
        <v>-2311127127</v>
      </c>
      <c r="K750" t="s">
        <v>19</v>
      </c>
      <c r="L750" t="b">
        <v>0</v>
      </c>
    </row>
    <row r="751" spans="1:12" x14ac:dyDescent="0.3">
      <c r="A751" t="s">
        <v>1623</v>
      </c>
      <c r="B751" t="s">
        <v>13</v>
      </c>
      <c r="C751" t="s">
        <v>62</v>
      </c>
      <c r="D751">
        <v>30</v>
      </c>
      <c r="E751" t="s">
        <v>76</v>
      </c>
      <c r="F751" t="s">
        <v>30</v>
      </c>
      <c r="G751" s="1">
        <v>43891</v>
      </c>
      <c r="H751" t="s">
        <v>1624</v>
      </c>
      <c r="I751" t="s">
        <v>237</v>
      </c>
      <c r="J751">
        <v>-5246484493</v>
      </c>
      <c r="K751" t="s">
        <v>25</v>
      </c>
      <c r="L751" t="b">
        <v>0</v>
      </c>
    </row>
    <row r="752" spans="1:12" x14ac:dyDescent="0.3">
      <c r="A752" t="s">
        <v>1625</v>
      </c>
      <c r="B752" t="s">
        <v>80</v>
      </c>
      <c r="C752" t="s">
        <v>47</v>
      </c>
      <c r="D752">
        <v>40</v>
      </c>
      <c r="E752" t="s">
        <v>251</v>
      </c>
      <c r="F752" t="s">
        <v>30</v>
      </c>
      <c r="G752" s="1">
        <v>45513</v>
      </c>
      <c r="H752" t="s">
        <v>1626</v>
      </c>
      <c r="I752" t="s">
        <v>96</v>
      </c>
      <c r="J752">
        <v>-1163187327</v>
      </c>
      <c r="K752" t="s">
        <v>19</v>
      </c>
      <c r="L752" t="b">
        <v>0</v>
      </c>
    </row>
    <row r="753" spans="1:12" x14ac:dyDescent="0.3">
      <c r="A753" t="s">
        <v>1627</v>
      </c>
      <c r="B753" t="s">
        <v>35</v>
      </c>
      <c r="C753" t="s">
        <v>28</v>
      </c>
      <c r="D753">
        <v>30</v>
      </c>
      <c r="E753" t="s">
        <v>120</v>
      </c>
      <c r="F753" t="s">
        <v>16</v>
      </c>
      <c r="G753" s="1">
        <v>44209</v>
      </c>
      <c r="H753" t="s">
        <v>1628</v>
      </c>
      <c r="I753" t="s">
        <v>323</v>
      </c>
      <c r="J753">
        <v>-771130620</v>
      </c>
      <c r="K753" t="s">
        <v>19</v>
      </c>
      <c r="L753" t="b">
        <v>1</v>
      </c>
    </row>
    <row r="754" spans="1:12" x14ac:dyDescent="0.3">
      <c r="A754" t="s">
        <v>1629</v>
      </c>
      <c r="B754" t="s">
        <v>35</v>
      </c>
      <c r="C754" t="s">
        <v>62</v>
      </c>
      <c r="E754" t="s">
        <v>113</v>
      </c>
      <c r="F754" t="s">
        <v>16</v>
      </c>
      <c r="G754" s="1">
        <v>45052</v>
      </c>
      <c r="H754" t="s">
        <v>1630</v>
      </c>
      <c r="I754" t="s">
        <v>380</v>
      </c>
      <c r="J754">
        <v>-1369572789</v>
      </c>
      <c r="K754" t="s">
        <v>25</v>
      </c>
      <c r="L754" t="b">
        <v>1</v>
      </c>
    </row>
    <row r="755" spans="1:12" x14ac:dyDescent="0.3">
      <c r="A755" t="s">
        <v>1631</v>
      </c>
      <c r="B755" t="s">
        <v>40</v>
      </c>
      <c r="C755" t="s">
        <v>62</v>
      </c>
      <c r="D755">
        <v>25</v>
      </c>
      <c r="E755" t="s">
        <v>270</v>
      </c>
      <c r="F755" t="s">
        <v>16</v>
      </c>
      <c r="G755" s="1">
        <v>44859</v>
      </c>
      <c r="H755" t="s">
        <v>1632</v>
      </c>
      <c r="I755" t="s">
        <v>316</v>
      </c>
      <c r="J755">
        <v>-8335090253</v>
      </c>
      <c r="K755" t="s">
        <v>45</v>
      </c>
      <c r="L755" t="b">
        <v>1</v>
      </c>
    </row>
    <row r="756" spans="1:12" x14ac:dyDescent="0.3">
      <c r="A756" t="s">
        <v>1633</v>
      </c>
      <c r="B756" t="s">
        <v>40</v>
      </c>
      <c r="C756" t="s">
        <v>62</v>
      </c>
      <c r="D756">
        <v>30</v>
      </c>
      <c r="E756" t="s">
        <v>130</v>
      </c>
      <c r="F756" t="s">
        <v>36</v>
      </c>
      <c r="G756" s="1">
        <v>44112</v>
      </c>
      <c r="H756" t="s">
        <v>1634</v>
      </c>
      <c r="I756" t="s">
        <v>316</v>
      </c>
      <c r="J756">
        <v>-2573066247</v>
      </c>
      <c r="K756" t="s">
        <v>19</v>
      </c>
      <c r="L756" t="b">
        <v>0</v>
      </c>
    </row>
    <row r="757" spans="1:12" x14ac:dyDescent="0.3">
      <c r="A757" t="s">
        <v>1635</v>
      </c>
      <c r="B757" t="s">
        <v>80</v>
      </c>
      <c r="C757" t="s">
        <v>106</v>
      </c>
      <c r="D757">
        <v>25</v>
      </c>
      <c r="E757" t="s">
        <v>251</v>
      </c>
      <c r="F757" t="s">
        <v>16</v>
      </c>
      <c r="G757" s="1">
        <v>45351</v>
      </c>
      <c r="H757" t="s">
        <v>1636</v>
      </c>
      <c r="I757" t="s">
        <v>197</v>
      </c>
      <c r="J757">
        <v>-1323570712</v>
      </c>
      <c r="K757" t="s">
        <v>45</v>
      </c>
      <c r="L757" t="b">
        <v>0</v>
      </c>
    </row>
    <row r="758" spans="1:12" x14ac:dyDescent="0.3">
      <c r="A758" t="s">
        <v>1637</v>
      </c>
      <c r="B758" t="s">
        <v>67</v>
      </c>
      <c r="C758" t="s">
        <v>62</v>
      </c>
      <c r="D758">
        <v>25</v>
      </c>
      <c r="E758" t="s">
        <v>244</v>
      </c>
      <c r="F758" t="s">
        <v>30</v>
      </c>
      <c r="G758" s="1">
        <v>44834</v>
      </c>
      <c r="H758" t="s">
        <v>1638</v>
      </c>
      <c r="I758" t="s">
        <v>257</v>
      </c>
      <c r="J758">
        <v>-9848228500</v>
      </c>
      <c r="K758" t="s">
        <v>33</v>
      </c>
      <c r="L758" t="b">
        <v>1</v>
      </c>
    </row>
    <row r="759" spans="1:12" x14ac:dyDescent="0.3">
      <c r="A759" t="s">
        <v>1639</v>
      </c>
      <c r="B759" t="s">
        <v>67</v>
      </c>
      <c r="C759" t="s">
        <v>41</v>
      </c>
      <c r="D759">
        <v>40</v>
      </c>
      <c r="E759" t="s">
        <v>22</v>
      </c>
      <c r="F759" t="s">
        <v>30</v>
      </c>
      <c r="G759" s="1">
        <v>45336</v>
      </c>
      <c r="H759" t="s">
        <v>1640</v>
      </c>
      <c r="I759" t="s">
        <v>70</v>
      </c>
      <c r="J759">
        <v>-1688092549</v>
      </c>
      <c r="K759" t="s">
        <v>19</v>
      </c>
      <c r="L759" t="b">
        <v>0</v>
      </c>
    </row>
    <row r="760" spans="1:12" x14ac:dyDescent="0.3">
      <c r="A760" t="s">
        <v>1641</v>
      </c>
      <c r="B760" t="s">
        <v>80</v>
      </c>
      <c r="C760" t="s">
        <v>142</v>
      </c>
      <c r="E760" t="s">
        <v>91</v>
      </c>
      <c r="F760" t="s">
        <v>30</v>
      </c>
      <c r="G760" s="1">
        <v>44929</v>
      </c>
      <c r="H760" t="s">
        <v>1642</v>
      </c>
      <c r="I760" t="s">
        <v>160</v>
      </c>
      <c r="J760">
        <v>-2130609068</v>
      </c>
      <c r="K760" t="s">
        <v>45</v>
      </c>
      <c r="L760" t="b">
        <v>1</v>
      </c>
    </row>
    <row r="761" spans="1:12" x14ac:dyDescent="0.3">
      <c r="A761" t="s">
        <v>1643</v>
      </c>
      <c r="B761" t="s">
        <v>27</v>
      </c>
      <c r="C761" t="s">
        <v>14</v>
      </c>
      <c r="E761" t="s">
        <v>42</v>
      </c>
      <c r="F761" t="s">
        <v>36</v>
      </c>
      <c r="G761" s="1">
        <v>45524</v>
      </c>
      <c r="H761" t="s">
        <v>1644</v>
      </c>
      <c r="I761" t="s">
        <v>191</v>
      </c>
      <c r="J761">
        <v>-1309810795</v>
      </c>
      <c r="K761" t="s">
        <v>45</v>
      </c>
      <c r="L761" t="b">
        <v>1</v>
      </c>
    </row>
    <row r="762" spans="1:12" x14ac:dyDescent="0.3">
      <c r="A762" t="s">
        <v>1645</v>
      </c>
      <c r="B762" t="s">
        <v>67</v>
      </c>
      <c r="C762" t="s">
        <v>21</v>
      </c>
      <c r="E762" t="s">
        <v>87</v>
      </c>
      <c r="F762" t="s">
        <v>30</v>
      </c>
      <c r="G762" s="1">
        <v>43911</v>
      </c>
      <c r="H762" t="s">
        <v>1646</v>
      </c>
      <c r="I762" t="s">
        <v>265</v>
      </c>
      <c r="J762">
        <v>-4967379456</v>
      </c>
      <c r="K762" t="s">
        <v>33</v>
      </c>
      <c r="L762" t="b">
        <v>0</v>
      </c>
    </row>
    <row r="763" spans="1:12" x14ac:dyDescent="0.3">
      <c r="A763" t="s">
        <v>1647</v>
      </c>
      <c r="B763" t="s">
        <v>27</v>
      </c>
      <c r="C763" t="s">
        <v>62</v>
      </c>
      <c r="D763">
        <v>30</v>
      </c>
      <c r="E763" t="s">
        <v>251</v>
      </c>
      <c r="F763" t="s">
        <v>36</v>
      </c>
      <c r="G763" s="1">
        <v>45642</v>
      </c>
      <c r="H763" t="s">
        <v>1648</v>
      </c>
      <c r="I763" t="s">
        <v>177</v>
      </c>
      <c r="J763">
        <v>-7278532425</v>
      </c>
      <c r="K763" t="s">
        <v>45</v>
      </c>
      <c r="L763" t="b">
        <v>0</v>
      </c>
    </row>
    <row r="764" spans="1:12" x14ac:dyDescent="0.3">
      <c r="A764" t="s">
        <v>1649</v>
      </c>
      <c r="B764" t="s">
        <v>75</v>
      </c>
      <c r="C764" t="s">
        <v>28</v>
      </c>
      <c r="D764">
        <v>30</v>
      </c>
      <c r="E764" t="s">
        <v>81</v>
      </c>
      <c r="F764" t="s">
        <v>30</v>
      </c>
      <c r="G764" s="1">
        <v>43942</v>
      </c>
      <c r="H764" t="s">
        <v>1650</v>
      </c>
      <c r="I764" t="s">
        <v>375</v>
      </c>
      <c r="J764">
        <v>-4250642075</v>
      </c>
      <c r="K764" t="s">
        <v>45</v>
      </c>
      <c r="L764" t="b">
        <v>0</v>
      </c>
    </row>
    <row r="765" spans="1:12" x14ac:dyDescent="0.3">
      <c r="A765" t="s">
        <v>1651</v>
      </c>
      <c r="B765" t="s">
        <v>75</v>
      </c>
      <c r="C765" t="s">
        <v>62</v>
      </c>
      <c r="D765">
        <v>40</v>
      </c>
      <c r="E765" t="s">
        <v>98</v>
      </c>
      <c r="F765" t="s">
        <v>30</v>
      </c>
      <c r="G765" s="1">
        <v>44062</v>
      </c>
      <c r="H765" t="s">
        <v>1652</v>
      </c>
      <c r="I765" t="s">
        <v>132</v>
      </c>
      <c r="J765">
        <v>-8362536666</v>
      </c>
      <c r="K765" t="s">
        <v>33</v>
      </c>
      <c r="L765" t="b">
        <v>0</v>
      </c>
    </row>
    <row r="766" spans="1:12" x14ac:dyDescent="0.3">
      <c r="A766" t="s">
        <v>1653</v>
      </c>
      <c r="B766" t="s">
        <v>61</v>
      </c>
      <c r="C766" t="s">
        <v>28</v>
      </c>
      <c r="D766">
        <v>40</v>
      </c>
      <c r="E766" t="s">
        <v>81</v>
      </c>
      <c r="F766" t="s">
        <v>36</v>
      </c>
      <c r="G766" s="1">
        <v>43882</v>
      </c>
      <c r="H766" t="s">
        <v>1654</v>
      </c>
      <c r="I766" t="s">
        <v>140</v>
      </c>
      <c r="J766">
        <v>-7767555627</v>
      </c>
      <c r="K766" t="s">
        <v>19</v>
      </c>
      <c r="L766" t="b">
        <v>1</v>
      </c>
    </row>
    <row r="767" spans="1:12" x14ac:dyDescent="0.3">
      <c r="A767" t="s">
        <v>1655</v>
      </c>
      <c r="B767" t="s">
        <v>67</v>
      </c>
      <c r="C767" t="s">
        <v>41</v>
      </c>
      <c r="D767">
        <v>40</v>
      </c>
      <c r="E767" t="s">
        <v>312</v>
      </c>
      <c r="F767" t="s">
        <v>36</v>
      </c>
      <c r="G767" s="1">
        <v>45247</v>
      </c>
      <c r="H767" t="s">
        <v>1656</v>
      </c>
      <c r="I767" t="s">
        <v>70</v>
      </c>
      <c r="J767">
        <v>-3333939577</v>
      </c>
      <c r="K767" t="s">
        <v>45</v>
      </c>
      <c r="L767" t="b">
        <v>1</v>
      </c>
    </row>
    <row r="768" spans="1:12" x14ac:dyDescent="0.3">
      <c r="A768" t="s">
        <v>1657</v>
      </c>
      <c r="B768" t="s">
        <v>61</v>
      </c>
      <c r="C768" t="s">
        <v>28</v>
      </c>
      <c r="D768">
        <v>25</v>
      </c>
      <c r="E768" t="s">
        <v>187</v>
      </c>
      <c r="F768" t="s">
        <v>30</v>
      </c>
      <c r="G768" s="1">
        <v>44751</v>
      </c>
      <c r="H768" t="s">
        <v>1658</v>
      </c>
      <c r="I768" t="s">
        <v>140</v>
      </c>
      <c r="J768">
        <v>-6543627186</v>
      </c>
      <c r="K768" t="s">
        <v>45</v>
      </c>
      <c r="L768" t="b">
        <v>1</v>
      </c>
    </row>
    <row r="769" spans="1:12" x14ac:dyDescent="0.3">
      <c r="A769" t="s">
        <v>1659</v>
      </c>
      <c r="B769" t="s">
        <v>80</v>
      </c>
      <c r="C769" t="s">
        <v>47</v>
      </c>
      <c r="E769" t="s">
        <v>126</v>
      </c>
      <c r="F769" t="s">
        <v>36</v>
      </c>
      <c r="G769" s="1">
        <v>44958</v>
      </c>
      <c r="H769" t="s">
        <v>1660</v>
      </c>
      <c r="I769" t="s">
        <v>96</v>
      </c>
      <c r="J769">
        <v>-4960335825</v>
      </c>
      <c r="K769" t="s">
        <v>45</v>
      </c>
      <c r="L769" t="b">
        <v>1</v>
      </c>
    </row>
    <row r="770" spans="1:12" x14ac:dyDescent="0.3">
      <c r="A770" t="s">
        <v>1661</v>
      </c>
      <c r="B770" t="s">
        <v>40</v>
      </c>
      <c r="C770" t="s">
        <v>21</v>
      </c>
      <c r="E770" t="s">
        <v>63</v>
      </c>
      <c r="F770" t="s">
        <v>16</v>
      </c>
      <c r="G770" s="1">
        <v>45610</v>
      </c>
      <c r="H770" t="s">
        <v>1662</v>
      </c>
      <c r="I770" t="s">
        <v>280</v>
      </c>
      <c r="J770">
        <v>-8627036923</v>
      </c>
      <c r="K770" t="s">
        <v>25</v>
      </c>
      <c r="L770" t="b">
        <v>1</v>
      </c>
    </row>
    <row r="771" spans="1:12" x14ac:dyDescent="0.3">
      <c r="A771" t="s">
        <v>1663</v>
      </c>
      <c r="B771" t="s">
        <v>27</v>
      </c>
      <c r="C771" t="s">
        <v>142</v>
      </c>
      <c r="D771">
        <v>40</v>
      </c>
      <c r="E771" t="s">
        <v>172</v>
      </c>
      <c r="F771" t="s">
        <v>30</v>
      </c>
      <c r="G771" s="1">
        <v>45405</v>
      </c>
      <c r="H771" t="s">
        <v>1664</v>
      </c>
      <c r="I771" t="s">
        <v>217</v>
      </c>
      <c r="J771">
        <v>-9269326572</v>
      </c>
      <c r="K771" t="s">
        <v>33</v>
      </c>
      <c r="L771" t="b">
        <v>0</v>
      </c>
    </row>
    <row r="772" spans="1:12" x14ac:dyDescent="0.3">
      <c r="A772" t="s">
        <v>1665</v>
      </c>
      <c r="B772" t="s">
        <v>61</v>
      </c>
      <c r="C772" t="s">
        <v>28</v>
      </c>
      <c r="D772">
        <v>25</v>
      </c>
      <c r="E772" t="s">
        <v>233</v>
      </c>
      <c r="F772" t="s">
        <v>16</v>
      </c>
      <c r="G772" s="1">
        <v>45106</v>
      </c>
      <c r="H772" t="s">
        <v>322</v>
      </c>
      <c r="I772" t="s">
        <v>140</v>
      </c>
      <c r="J772">
        <v>-2759980110</v>
      </c>
      <c r="K772" t="s">
        <v>25</v>
      </c>
      <c r="L772" t="b">
        <v>1</v>
      </c>
    </row>
    <row r="773" spans="1:12" x14ac:dyDescent="0.3">
      <c r="A773" t="s">
        <v>1666</v>
      </c>
      <c r="B773" t="s">
        <v>75</v>
      </c>
      <c r="C773" t="s">
        <v>28</v>
      </c>
      <c r="D773">
        <v>40</v>
      </c>
      <c r="E773" t="s">
        <v>48</v>
      </c>
      <c r="F773" t="s">
        <v>30</v>
      </c>
      <c r="G773" s="1">
        <v>45638</v>
      </c>
      <c r="H773" t="s">
        <v>1667</v>
      </c>
      <c r="I773" t="s">
        <v>375</v>
      </c>
      <c r="J773">
        <v>-5155322</v>
      </c>
      <c r="K773" t="s">
        <v>33</v>
      </c>
      <c r="L773" t="b">
        <v>1</v>
      </c>
    </row>
    <row r="774" spans="1:12" x14ac:dyDescent="0.3">
      <c r="A774" t="s">
        <v>1668</v>
      </c>
      <c r="B774" t="s">
        <v>75</v>
      </c>
      <c r="C774" t="s">
        <v>142</v>
      </c>
      <c r="D774">
        <v>40</v>
      </c>
      <c r="E774" t="s">
        <v>130</v>
      </c>
      <c r="F774" t="s">
        <v>16</v>
      </c>
      <c r="G774" s="1">
        <v>45062</v>
      </c>
      <c r="H774" t="s">
        <v>1669</v>
      </c>
      <c r="I774" t="s">
        <v>436</v>
      </c>
      <c r="J774">
        <v>-4159597751</v>
      </c>
      <c r="K774" t="s">
        <v>19</v>
      </c>
      <c r="L774" t="b">
        <v>1</v>
      </c>
    </row>
    <row r="775" spans="1:12" x14ac:dyDescent="0.3">
      <c r="A775" t="s">
        <v>1670</v>
      </c>
      <c r="B775" t="s">
        <v>35</v>
      </c>
      <c r="C775" t="s">
        <v>21</v>
      </c>
      <c r="E775" t="s">
        <v>91</v>
      </c>
      <c r="F775" t="s">
        <v>16</v>
      </c>
      <c r="G775" s="1">
        <v>43931</v>
      </c>
      <c r="H775" t="s">
        <v>1671</v>
      </c>
      <c r="I775" t="s">
        <v>183</v>
      </c>
      <c r="J775">
        <v>-4418222617</v>
      </c>
      <c r="K775" t="s">
        <v>19</v>
      </c>
      <c r="L775" t="b">
        <v>0</v>
      </c>
    </row>
    <row r="776" spans="1:12" x14ac:dyDescent="0.3">
      <c r="A776" t="s">
        <v>1672</v>
      </c>
      <c r="B776" t="s">
        <v>40</v>
      </c>
      <c r="C776" t="s">
        <v>62</v>
      </c>
      <c r="D776">
        <v>25</v>
      </c>
      <c r="E776" t="s">
        <v>120</v>
      </c>
      <c r="F776" t="s">
        <v>30</v>
      </c>
      <c r="G776" s="1">
        <v>45014</v>
      </c>
      <c r="H776" t="s">
        <v>1673</v>
      </c>
      <c r="I776" t="s">
        <v>316</v>
      </c>
      <c r="J776">
        <v>-9628874311</v>
      </c>
      <c r="K776" t="s">
        <v>45</v>
      </c>
      <c r="L776" t="b">
        <v>0</v>
      </c>
    </row>
    <row r="777" spans="1:12" x14ac:dyDescent="0.3">
      <c r="A777" t="s">
        <v>1674</v>
      </c>
      <c r="B777" t="s">
        <v>13</v>
      </c>
      <c r="C777" t="s">
        <v>28</v>
      </c>
      <c r="D777">
        <v>25</v>
      </c>
      <c r="E777" t="s">
        <v>42</v>
      </c>
      <c r="F777" t="s">
        <v>16</v>
      </c>
      <c r="G777" s="1">
        <v>44161</v>
      </c>
      <c r="H777" t="s">
        <v>1675</v>
      </c>
      <c r="I777" t="s">
        <v>56</v>
      </c>
      <c r="J777">
        <v>-7102676719</v>
      </c>
      <c r="K777" t="s">
        <v>33</v>
      </c>
      <c r="L777" t="b">
        <v>0</v>
      </c>
    </row>
    <row r="778" spans="1:12" x14ac:dyDescent="0.3">
      <c r="A778" t="s">
        <v>1676</v>
      </c>
      <c r="B778" t="s">
        <v>61</v>
      </c>
      <c r="C778" t="s">
        <v>142</v>
      </c>
      <c r="D778">
        <v>40</v>
      </c>
      <c r="E778" t="s">
        <v>91</v>
      </c>
      <c r="F778" t="s">
        <v>36</v>
      </c>
      <c r="G778" s="1">
        <v>43904</v>
      </c>
      <c r="H778" t="s">
        <v>1677</v>
      </c>
      <c r="I778" t="s">
        <v>231</v>
      </c>
      <c r="J778">
        <v>-9579927078</v>
      </c>
      <c r="K778" t="s">
        <v>19</v>
      </c>
      <c r="L778" t="b">
        <v>0</v>
      </c>
    </row>
    <row r="779" spans="1:12" x14ac:dyDescent="0.3">
      <c r="A779" t="s">
        <v>1678</v>
      </c>
      <c r="B779" t="s">
        <v>40</v>
      </c>
      <c r="C779" t="s">
        <v>47</v>
      </c>
      <c r="D779">
        <v>40</v>
      </c>
      <c r="E779" t="s">
        <v>42</v>
      </c>
      <c r="F779" t="s">
        <v>30</v>
      </c>
      <c r="G779" s="1">
        <v>43963</v>
      </c>
      <c r="H779" t="s">
        <v>1679</v>
      </c>
      <c r="I779" t="s">
        <v>214</v>
      </c>
      <c r="J779">
        <v>-5515122945</v>
      </c>
      <c r="K779" t="s">
        <v>33</v>
      </c>
      <c r="L779" t="b">
        <v>1</v>
      </c>
    </row>
    <row r="780" spans="1:12" x14ac:dyDescent="0.3">
      <c r="A780" t="s">
        <v>1680</v>
      </c>
      <c r="B780" t="s">
        <v>35</v>
      </c>
      <c r="C780" t="s">
        <v>47</v>
      </c>
      <c r="D780">
        <v>35</v>
      </c>
      <c r="E780" t="s">
        <v>87</v>
      </c>
      <c r="F780" t="s">
        <v>30</v>
      </c>
      <c r="G780" s="1">
        <v>44260</v>
      </c>
      <c r="H780" t="s">
        <v>1681</v>
      </c>
      <c r="I780" t="s">
        <v>346</v>
      </c>
      <c r="J780">
        <v>-2135415969</v>
      </c>
      <c r="K780" t="s">
        <v>19</v>
      </c>
      <c r="L780" t="b">
        <v>1</v>
      </c>
    </row>
    <row r="781" spans="1:12" x14ac:dyDescent="0.3">
      <c r="A781" t="s">
        <v>1682</v>
      </c>
      <c r="B781" t="s">
        <v>13</v>
      </c>
      <c r="C781" t="s">
        <v>41</v>
      </c>
      <c r="E781" t="s">
        <v>386</v>
      </c>
      <c r="F781" t="s">
        <v>30</v>
      </c>
      <c r="G781" s="1">
        <v>44010</v>
      </c>
      <c r="H781" t="s">
        <v>1683</v>
      </c>
      <c r="I781" t="s">
        <v>170</v>
      </c>
      <c r="J781">
        <v>-9962543847</v>
      </c>
      <c r="K781" t="s">
        <v>25</v>
      </c>
      <c r="L781" t="b">
        <v>0</v>
      </c>
    </row>
    <row r="782" spans="1:12" x14ac:dyDescent="0.3">
      <c r="A782" t="s">
        <v>1684</v>
      </c>
      <c r="B782" t="s">
        <v>35</v>
      </c>
      <c r="C782" t="s">
        <v>142</v>
      </c>
      <c r="D782">
        <v>40</v>
      </c>
      <c r="E782" t="s">
        <v>210</v>
      </c>
      <c r="F782" t="s">
        <v>36</v>
      </c>
      <c r="G782" s="1">
        <v>44907</v>
      </c>
      <c r="H782" t="s">
        <v>1685</v>
      </c>
      <c r="I782" t="s">
        <v>632</v>
      </c>
      <c r="J782">
        <v>-752034475</v>
      </c>
      <c r="K782" t="s">
        <v>19</v>
      </c>
      <c r="L782" t="b">
        <v>0</v>
      </c>
    </row>
    <row r="783" spans="1:12" x14ac:dyDescent="0.3">
      <c r="A783" t="s">
        <v>1686</v>
      </c>
      <c r="B783" t="s">
        <v>61</v>
      </c>
      <c r="C783" t="s">
        <v>41</v>
      </c>
      <c r="E783" t="s">
        <v>87</v>
      </c>
      <c r="F783" t="s">
        <v>30</v>
      </c>
      <c r="G783" s="1">
        <v>45324</v>
      </c>
      <c r="H783" t="s">
        <v>1687</v>
      </c>
      <c r="I783" t="s">
        <v>104</v>
      </c>
      <c r="J783">
        <v>-5047158028</v>
      </c>
      <c r="K783" t="s">
        <v>25</v>
      </c>
      <c r="L783" t="b">
        <v>1</v>
      </c>
    </row>
    <row r="784" spans="1:12" x14ac:dyDescent="0.3">
      <c r="A784" t="s">
        <v>1688</v>
      </c>
      <c r="B784" t="s">
        <v>61</v>
      </c>
      <c r="C784" t="s">
        <v>47</v>
      </c>
      <c r="E784" t="s">
        <v>29</v>
      </c>
      <c r="F784" t="s">
        <v>36</v>
      </c>
      <c r="G784" s="1">
        <v>44227</v>
      </c>
      <c r="H784" t="s">
        <v>1689</v>
      </c>
      <c r="I784" t="s">
        <v>100</v>
      </c>
      <c r="J784">
        <v>-904637659</v>
      </c>
      <c r="K784" t="s">
        <v>19</v>
      </c>
      <c r="L784" t="b">
        <v>1</v>
      </c>
    </row>
    <row r="785" spans="1:12" x14ac:dyDescent="0.3">
      <c r="A785" t="s">
        <v>1690</v>
      </c>
      <c r="B785" t="s">
        <v>13</v>
      </c>
      <c r="C785" t="s">
        <v>21</v>
      </c>
      <c r="D785">
        <v>30</v>
      </c>
      <c r="E785" t="s">
        <v>87</v>
      </c>
      <c r="F785" t="s">
        <v>36</v>
      </c>
      <c r="G785" s="1">
        <v>43924</v>
      </c>
      <c r="H785" t="s">
        <v>1691</v>
      </c>
      <c r="I785" t="s">
        <v>24</v>
      </c>
      <c r="J785">
        <v>-4655866524</v>
      </c>
      <c r="K785" t="s">
        <v>45</v>
      </c>
      <c r="L785" t="b">
        <v>0</v>
      </c>
    </row>
    <row r="786" spans="1:12" x14ac:dyDescent="0.3">
      <c r="A786" t="s">
        <v>1692</v>
      </c>
      <c r="B786" t="s">
        <v>67</v>
      </c>
      <c r="C786" t="s">
        <v>62</v>
      </c>
      <c r="D786">
        <v>25</v>
      </c>
      <c r="E786" t="s">
        <v>63</v>
      </c>
      <c r="F786" t="s">
        <v>30</v>
      </c>
      <c r="G786" s="1">
        <v>44407</v>
      </c>
      <c r="H786" t="s">
        <v>1693</v>
      </c>
      <c r="I786" t="s">
        <v>257</v>
      </c>
      <c r="J786">
        <v>-4837441714</v>
      </c>
      <c r="K786" t="s">
        <v>25</v>
      </c>
      <c r="L786" t="b">
        <v>0</v>
      </c>
    </row>
    <row r="787" spans="1:12" x14ac:dyDescent="0.3">
      <c r="A787" t="s">
        <v>1694</v>
      </c>
      <c r="B787" t="s">
        <v>35</v>
      </c>
      <c r="C787" t="s">
        <v>142</v>
      </c>
      <c r="E787" t="s">
        <v>210</v>
      </c>
      <c r="F787" t="s">
        <v>16</v>
      </c>
      <c r="G787" s="1">
        <v>44064</v>
      </c>
      <c r="H787" t="s">
        <v>1695</v>
      </c>
      <c r="I787" t="s">
        <v>632</v>
      </c>
      <c r="J787">
        <v>-8102131250</v>
      </c>
      <c r="K787" t="s">
        <v>19</v>
      </c>
      <c r="L787" t="b">
        <v>0</v>
      </c>
    </row>
    <row r="788" spans="1:12" x14ac:dyDescent="0.3">
      <c r="A788" t="s">
        <v>1696</v>
      </c>
      <c r="B788" t="s">
        <v>27</v>
      </c>
      <c r="C788" t="s">
        <v>14</v>
      </c>
      <c r="D788">
        <v>30</v>
      </c>
      <c r="E788" t="s">
        <v>138</v>
      </c>
      <c r="F788" t="s">
        <v>36</v>
      </c>
      <c r="G788" s="1">
        <v>45208</v>
      </c>
      <c r="H788" t="s">
        <v>1697</v>
      </c>
      <c r="I788" t="s">
        <v>191</v>
      </c>
      <c r="J788">
        <v>-2931100590</v>
      </c>
      <c r="K788" t="s">
        <v>45</v>
      </c>
      <c r="L788" t="b">
        <v>0</v>
      </c>
    </row>
    <row r="789" spans="1:12" x14ac:dyDescent="0.3">
      <c r="A789" t="s">
        <v>1698</v>
      </c>
      <c r="B789" t="s">
        <v>27</v>
      </c>
      <c r="C789" t="s">
        <v>47</v>
      </c>
      <c r="D789">
        <v>30</v>
      </c>
      <c r="E789" t="s">
        <v>267</v>
      </c>
      <c r="F789" t="s">
        <v>30</v>
      </c>
      <c r="G789" s="1">
        <v>44774</v>
      </c>
      <c r="H789" t="s">
        <v>1699</v>
      </c>
      <c r="I789" t="s">
        <v>50</v>
      </c>
      <c r="J789">
        <v>-2975191022</v>
      </c>
      <c r="K789" t="s">
        <v>25</v>
      </c>
      <c r="L789" t="b">
        <v>1</v>
      </c>
    </row>
    <row r="790" spans="1:12" x14ac:dyDescent="0.3">
      <c r="A790" t="s">
        <v>1700</v>
      </c>
      <c r="B790" t="s">
        <v>40</v>
      </c>
      <c r="C790" t="s">
        <v>47</v>
      </c>
      <c r="D790">
        <v>40</v>
      </c>
      <c r="E790" t="s">
        <v>116</v>
      </c>
      <c r="F790" t="s">
        <v>16</v>
      </c>
      <c r="G790" s="1">
        <v>45541</v>
      </c>
      <c r="H790" t="s">
        <v>1701</v>
      </c>
      <c r="I790" t="s">
        <v>214</v>
      </c>
      <c r="J790">
        <v>-1211063300</v>
      </c>
      <c r="K790" t="s">
        <v>45</v>
      </c>
      <c r="L790" t="b">
        <v>1</v>
      </c>
    </row>
    <row r="791" spans="1:12" x14ac:dyDescent="0.3">
      <c r="A791" t="s">
        <v>1702</v>
      </c>
      <c r="B791" t="s">
        <v>40</v>
      </c>
      <c r="C791" t="s">
        <v>14</v>
      </c>
      <c r="E791" t="s">
        <v>48</v>
      </c>
      <c r="F791" t="s">
        <v>16</v>
      </c>
      <c r="G791" s="1">
        <v>45013</v>
      </c>
      <c r="H791" t="s">
        <v>1703</v>
      </c>
      <c r="I791" t="s">
        <v>59</v>
      </c>
      <c r="J791">
        <v>-6583737926</v>
      </c>
      <c r="K791" t="s">
        <v>33</v>
      </c>
      <c r="L791" t="b">
        <v>1</v>
      </c>
    </row>
    <row r="792" spans="1:12" x14ac:dyDescent="0.3">
      <c r="A792" t="s">
        <v>1704</v>
      </c>
      <c r="B792" t="s">
        <v>40</v>
      </c>
      <c r="C792" t="s">
        <v>106</v>
      </c>
      <c r="D792">
        <v>25</v>
      </c>
      <c r="E792" t="s">
        <v>138</v>
      </c>
      <c r="F792" t="s">
        <v>16</v>
      </c>
      <c r="G792" s="1">
        <v>44525</v>
      </c>
      <c r="H792" t="s">
        <v>1705</v>
      </c>
      <c r="I792" t="s">
        <v>128</v>
      </c>
      <c r="J792">
        <v>-4907280122</v>
      </c>
      <c r="K792" t="s">
        <v>33</v>
      </c>
      <c r="L792" t="b">
        <v>0</v>
      </c>
    </row>
    <row r="793" spans="1:12" x14ac:dyDescent="0.3">
      <c r="A793" t="s">
        <v>1706</v>
      </c>
      <c r="B793" t="s">
        <v>61</v>
      </c>
      <c r="C793" t="s">
        <v>47</v>
      </c>
      <c r="E793" t="s">
        <v>87</v>
      </c>
      <c r="F793" t="s">
        <v>16</v>
      </c>
      <c r="G793" s="1">
        <v>45049</v>
      </c>
      <c r="H793" t="s">
        <v>1707</v>
      </c>
      <c r="I793" t="s">
        <v>100</v>
      </c>
      <c r="J793">
        <v>-4289311324</v>
      </c>
      <c r="K793" t="s">
        <v>25</v>
      </c>
      <c r="L793" t="b">
        <v>0</v>
      </c>
    </row>
    <row r="794" spans="1:12" x14ac:dyDescent="0.3">
      <c r="A794" t="s">
        <v>1708</v>
      </c>
      <c r="B794" t="s">
        <v>35</v>
      </c>
      <c r="C794" t="s">
        <v>28</v>
      </c>
      <c r="D794">
        <v>35</v>
      </c>
      <c r="E794" t="s">
        <v>278</v>
      </c>
      <c r="F794" t="s">
        <v>36</v>
      </c>
      <c r="G794" s="1">
        <v>44678</v>
      </c>
      <c r="H794" t="s">
        <v>1709</v>
      </c>
      <c r="I794" t="s">
        <v>323</v>
      </c>
      <c r="J794">
        <v>-3269496842</v>
      </c>
      <c r="K794" t="s">
        <v>19</v>
      </c>
      <c r="L794" t="b">
        <v>1</v>
      </c>
    </row>
    <row r="795" spans="1:12" x14ac:dyDescent="0.3">
      <c r="A795" t="s">
        <v>1710</v>
      </c>
      <c r="B795" t="s">
        <v>40</v>
      </c>
      <c r="C795" t="s">
        <v>21</v>
      </c>
      <c r="D795">
        <v>40</v>
      </c>
      <c r="E795" t="s">
        <v>76</v>
      </c>
      <c r="F795" t="s">
        <v>30</v>
      </c>
      <c r="G795" s="1">
        <v>44450</v>
      </c>
      <c r="H795" t="s">
        <v>1711</v>
      </c>
      <c r="I795" t="s">
        <v>280</v>
      </c>
      <c r="J795">
        <v>-6453804420</v>
      </c>
      <c r="K795" t="s">
        <v>25</v>
      </c>
      <c r="L795" t="b">
        <v>1</v>
      </c>
    </row>
    <row r="796" spans="1:12" x14ac:dyDescent="0.3">
      <c r="A796" t="s">
        <v>1712</v>
      </c>
      <c r="B796" t="s">
        <v>27</v>
      </c>
      <c r="C796" t="s">
        <v>142</v>
      </c>
      <c r="D796">
        <v>30</v>
      </c>
      <c r="E796" t="s">
        <v>42</v>
      </c>
      <c r="F796" t="s">
        <v>30</v>
      </c>
      <c r="G796" s="1">
        <v>43882</v>
      </c>
      <c r="H796" t="s">
        <v>1713</v>
      </c>
      <c r="I796" t="s">
        <v>217</v>
      </c>
      <c r="J796">
        <v>-175096169</v>
      </c>
      <c r="K796" t="s">
        <v>45</v>
      </c>
      <c r="L796" t="b">
        <v>1</v>
      </c>
    </row>
    <row r="797" spans="1:12" x14ac:dyDescent="0.3">
      <c r="A797" t="s">
        <v>1714</v>
      </c>
      <c r="B797" t="s">
        <v>61</v>
      </c>
      <c r="C797" t="s">
        <v>14</v>
      </c>
      <c r="D797">
        <v>30</v>
      </c>
      <c r="E797" t="s">
        <v>251</v>
      </c>
      <c r="F797" t="s">
        <v>30</v>
      </c>
      <c r="G797" s="1">
        <v>45620</v>
      </c>
      <c r="H797" t="s">
        <v>1715</v>
      </c>
      <c r="I797" t="s">
        <v>200</v>
      </c>
      <c r="J797">
        <v>-1595919456</v>
      </c>
      <c r="K797" t="s">
        <v>19</v>
      </c>
      <c r="L797" t="b">
        <v>1</v>
      </c>
    </row>
    <row r="798" spans="1:12" x14ac:dyDescent="0.3">
      <c r="A798" t="s">
        <v>1716</v>
      </c>
      <c r="B798" t="s">
        <v>61</v>
      </c>
      <c r="C798" t="s">
        <v>28</v>
      </c>
      <c r="D798">
        <v>25</v>
      </c>
      <c r="E798" t="s">
        <v>259</v>
      </c>
      <c r="F798" t="s">
        <v>16</v>
      </c>
      <c r="G798" s="1">
        <v>44251</v>
      </c>
      <c r="H798" t="s">
        <v>1717</v>
      </c>
      <c r="I798" t="s">
        <v>140</v>
      </c>
      <c r="J798">
        <v>-5757475832</v>
      </c>
      <c r="K798" t="s">
        <v>33</v>
      </c>
      <c r="L798" t="b">
        <v>0</v>
      </c>
    </row>
    <row r="799" spans="1:12" x14ac:dyDescent="0.3">
      <c r="A799" t="s">
        <v>1718</v>
      </c>
      <c r="B799" t="s">
        <v>13</v>
      </c>
      <c r="C799" t="s">
        <v>14</v>
      </c>
      <c r="D799">
        <v>25</v>
      </c>
      <c r="E799" t="s">
        <v>165</v>
      </c>
      <c r="F799" t="s">
        <v>30</v>
      </c>
      <c r="G799" s="1">
        <v>45567</v>
      </c>
      <c r="H799" t="s">
        <v>1719</v>
      </c>
      <c r="I799" t="s">
        <v>18</v>
      </c>
      <c r="J799">
        <v>-9205677566</v>
      </c>
      <c r="K799" t="s">
        <v>19</v>
      </c>
      <c r="L799" t="b">
        <v>1</v>
      </c>
    </row>
    <row r="800" spans="1:12" x14ac:dyDescent="0.3">
      <c r="A800" t="s">
        <v>1720</v>
      </c>
      <c r="B800" t="s">
        <v>75</v>
      </c>
      <c r="C800" t="s">
        <v>142</v>
      </c>
      <c r="D800">
        <v>25</v>
      </c>
      <c r="E800" t="s">
        <v>110</v>
      </c>
      <c r="F800" t="s">
        <v>30</v>
      </c>
      <c r="G800" s="1">
        <v>45357</v>
      </c>
      <c r="H800" t="s">
        <v>1721</v>
      </c>
      <c r="I800" t="s">
        <v>436</v>
      </c>
      <c r="J800">
        <v>-7722660255</v>
      </c>
      <c r="K800" t="s">
        <v>33</v>
      </c>
      <c r="L800" t="b">
        <v>1</v>
      </c>
    </row>
    <row r="801" spans="1:12" x14ac:dyDescent="0.3">
      <c r="A801" t="s">
        <v>1722</v>
      </c>
      <c r="B801" t="s">
        <v>35</v>
      </c>
      <c r="C801" t="s">
        <v>41</v>
      </c>
      <c r="D801">
        <v>30</v>
      </c>
      <c r="E801" t="s">
        <v>76</v>
      </c>
      <c r="F801" t="s">
        <v>16</v>
      </c>
      <c r="G801" s="1">
        <v>44417</v>
      </c>
      <c r="H801" t="s">
        <v>1723</v>
      </c>
      <c r="I801" t="s">
        <v>167</v>
      </c>
      <c r="J801">
        <v>-2650622922</v>
      </c>
      <c r="K801" t="s">
        <v>19</v>
      </c>
      <c r="L801" t="b">
        <v>1</v>
      </c>
    </row>
    <row r="802" spans="1:12" x14ac:dyDescent="0.3">
      <c r="A802" t="s">
        <v>1724</v>
      </c>
      <c r="B802" t="s">
        <v>75</v>
      </c>
      <c r="C802" t="s">
        <v>142</v>
      </c>
      <c r="D802">
        <v>25</v>
      </c>
      <c r="E802" t="s">
        <v>76</v>
      </c>
      <c r="F802" t="s">
        <v>16</v>
      </c>
      <c r="G802" s="1">
        <v>44391</v>
      </c>
      <c r="H802" t="s">
        <v>1725</v>
      </c>
      <c r="I802" t="s">
        <v>436</v>
      </c>
      <c r="J802">
        <v>-1067245306</v>
      </c>
      <c r="K802" t="s">
        <v>19</v>
      </c>
      <c r="L802" t="b">
        <v>1</v>
      </c>
    </row>
    <row r="803" spans="1:12" x14ac:dyDescent="0.3">
      <c r="A803" t="s">
        <v>1726</v>
      </c>
      <c r="B803" t="s">
        <v>13</v>
      </c>
      <c r="C803" t="s">
        <v>106</v>
      </c>
      <c r="D803">
        <v>30</v>
      </c>
      <c r="E803" t="s">
        <v>210</v>
      </c>
      <c r="F803" t="s">
        <v>30</v>
      </c>
      <c r="G803" s="1">
        <v>44483</v>
      </c>
      <c r="H803" t="s">
        <v>1727</v>
      </c>
      <c r="I803" t="s">
        <v>108</v>
      </c>
      <c r="J803">
        <v>-6248433796</v>
      </c>
      <c r="K803" t="s">
        <v>19</v>
      </c>
      <c r="L803" t="b">
        <v>1</v>
      </c>
    </row>
    <row r="804" spans="1:12" x14ac:dyDescent="0.3">
      <c r="A804" t="s">
        <v>1728</v>
      </c>
      <c r="B804" t="s">
        <v>35</v>
      </c>
      <c r="C804" t="s">
        <v>142</v>
      </c>
      <c r="E804" t="s">
        <v>233</v>
      </c>
      <c r="F804" t="s">
        <v>16</v>
      </c>
      <c r="G804" s="1">
        <v>44468</v>
      </c>
      <c r="H804" t="s">
        <v>1729</v>
      </c>
      <c r="I804" t="s">
        <v>632</v>
      </c>
      <c r="J804">
        <v>-6627051156</v>
      </c>
      <c r="K804" t="s">
        <v>45</v>
      </c>
      <c r="L804" t="b">
        <v>1</v>
      </c>
    </row>
    <row r="805" spans="1:12" x14ac:dyDescent="0.3">
      <c r="A805" t="s">
        <v>1730</v>
      </c>
      <c r="B805" t="s">
        <v>75</v>
      </c>
      <c r="C805" t="s">
        <v>142</v>
      </c>
      <c r="D805">
        <v>25</v>
      </c>
      <c r="E805" t="s">
        <v>120</v>
      </c>
      <c r="F805" t="s">
        <v>36</v>
      </c>
      <c r="G805" s="1">
        <v>45214</v>
      </c>
      <c r="H805" t="s">
        <v>1731</v>
      </c>
      <c r="I805" t="s">
        <v>436</v>
      </c>
      <c r="J805">
        <v>-9423873669</v>
      </c>
      <c r="K805" t="s">
        <v>45</v>
      </c>
      <c r="L805" t="b">
        <v>1</v>
      </c>
    </row>
    <row r="806" spans="1:12" x14ac:dyDescent="0.3">
      <c r="A806" t="s">
        <v>1732</v>
      </c>
      <c r="B806" t="s">
        <v>13</v>
      </c>
      <c r="C806" t="s">
        <v>106</v>
      </c>
      <c r="D806">
        <v>40</v>
      </c>
      <c r="E806" t="s">
        <v>267</v>
      </c>
      <c r="F806" t="s">
        <v>30</v>
      </c>
      <c r="G806" s="1">
        <v>45051</v>
      </c>
      <c r="H806" t="s">
        <v>1733</v>
      </c>
      <c r="I806" t="s">
        <v>108</v>
      </c>
      <c r="J806">
        <v>-4254969191</v>
      </c>
      <c r="K806" t="s">
        <v>25</v>
      </c>
      <c r="L806" t="b">
        <v>0</v>
      </c>
    </row>
    <row r="807" spans="1:12" x14ac:dyDescent="0.3">
      <c r="A807" t="s">
        <v>1734</v>
      </c>
      <c r="B807" t="s">
        <v>75</v>
      </c>
      <c r="C807" t="s">
        <v>21</v>
      </c>
      <c r="E807" t="s">
        <v>172</v>
      </c>
      <c r="F807" t="s">
        <v>36</v>
      </c>
      <c r="G807" s="1">
        <v>45505</v>
      </c>
      <c r="H807" t="s">
        <v>1735</v>
      </c>
      <c r="I807" t="s">
        <v>480</v>
      </c>
      <c r="J807">
        <v>-8455259709</v>
      </c>
      <c r="K807" t="s">
        <v>25</v>
      </c>
      <c r="L807" t="b">
        <v>0</v>
      </c>
    </row>
    <row r="808" spans="1:12" x14ac:dyDescent="0.3">
      <c r="A808" t="s">
        <v>1736</v>
      </c>
      <c r="B808" t="s">
        <v>13</v>
      </c>
      <c r="C808" t="s">
        <v>47</v>
      </c>
      <c r="D808">
        <v>40</v>
      </c>
      <c r="E808" t="s">
        <v>126</v>
      </c>
      <c r="F808" t="s">
        <v>16</v>
      </c>
      <c r="G808" s="1">
        <v>45495</v>
      </c>
      <c r="H808" t="s">
        <v>1737</v>
      </c>
      <c r="I808" t="s">
        <v>180</v>
      </c>
      <c r="J808">
        <v>-7563353573</v>
      </c>
      <c r="K808" t="s">
        <v>33</v>
      </c>
      <c r="L808" t="b">
        <v>0</v>
      </c>
    </row>
    <row r="809" spans="1:12" x14ac:dyDescent="0.3">
      <c r="A809" t="s">
        <v>1738</v>
      </c>
      <c r="B809" t="s">
        <v>13</v>
      </c>
      <c r="C809" t="s">
        <v>142</v>
      </c>
      <c r="D809">
        <v>40</v>
      </c>
      <c r="E809" t="s">
        <v>175</v>
      </c>
      <c r="F809" t="s">
        <v>30</v>
      </c>
      <c r="G809" s="1">
        <v>45285</v>
      </c>
      <c r="H809" t="s">
        <v>1739</v>
      </c>
      <c r="I809" t="s">
        <v>144</v>
      </c>
      <c r="J809">
        <v>-8595325938</v>
      </c>
      <c r="K809" t="s">
        <v>45</v>
      </c>
      <c r="L809" t="b">
        <v>0</v>
      </c>
    </row>
    <row r="810" spans="1:12" x14ac:dyDescent="0.3">
      <c r="A810" t="s">
        <v>1740</v>
      </c>
      <c r="B810" t="s">
        <v>67</v>
      </c>
      <c r="C810" t="s">
        <v>106</v>
      </c>
      <c r="D810">
        <v>30</v>
      </c>
      <c r="E810" t="s">
        <v>210</v>
      </c>
      <c r="F810" t="s">
        <v>36</v>
      </c>
      <c r="G810" s="1">
        <v>44633</v>
      </c>
      <c r="H810" t="s">
        <v>1741</v>
      </c>
      <c r="I810" t="s">
        <v>124</v>
      </c>
      <c r="J810">
        <v>-9337970580</v>
      </c>
      <c r="K810" t="s">
        <v>33</v>
      </c>
      <c r="L810" t="b">
        <v>1</v>
      </c>
    </row>
    <row r="811" spans="1:12" x14ac:dyDescent="0.3">
      <c r="A811" t="s">
        <v>1742</v>
      </c>
      <c r="B811" t="s">
        <v>40</v>
      </c>
      <c r="C811" t="s">
        <v>28</v>
      </c>
      <c r="D811">
        <v>35</v>
      </c>
      <c r="E811" t="s">
        <v>130</v>
      </c>
      <c r="F811" t="s">
        <v>16</v>
      </c>
      <c r="G811" s="1">
        <v>43964</v>
      </c>
      <c r="H811" t="s">
        <v>1743</v>
      </c>
      <c r="I811" t="s">
        <v>53</v>
      </c>
      <c r="J811">
        <v>-6295187793</v>
      </c>
      <c r="K811" t="s">
        <v>25</v>
      </c>
      <c r="L811" t="b">
        <v>0</v>
      </c>
    </row>
    <row r="812" spans="1:12" x14ac:dyDescent="0.3">
      <c r="A812" t="s">
        <v>1744</v>
      </c>
      <c r="B812" t="s">
        <v>75</v>
      </c>
      <c r="C812" t="s">
        <v>41</v>
      </c>
      <c r="D812">
        <v>30</v>
      </c>
      <c r="E812" t="s">
        <v>172</v>
      </c>
      <c r="F812" t="s">
        <v>30</v>
      </c>
      <c r="G812" s="1">
        <v>45007</v>
      </c>
      <c r="H812" t="s">
        <v>1745</v>
      </c>
      <c r="I812" t="s">
        <v>78</v>
      </c>
      <c r="J812">
        <v>-1763425072</v>
      </c>
      <c r="K812" t="s">
        <v>33</v>
      </c>
      <c r="L812" t="b">
        <v>0</v>
      </c>
    </row>
    <row r="813" spans="1:12" x14ac:dyDescent="0.3">
      <c r="A813" t="s">
        <v>1746</v>
      </c>
      <c r="B813" t="s">
        <v>13</v>
      </c>
      <c r="C813" t="s">
        <v>41</v>
      </c>
      <c r="D813">
        <v>35</v>
      </c>
      <c r="E813" t="s">
        <v>259</v>
      </c>
      <c r="F813" t="s">
        <v>16</v>
      </c>
      <c r="G813" s="1">
        <v>45453</v>
      </c>
      <c r="H813" t="s">
        <v>1747</v>
      </c>
      <c r="I813" t="s">
        <v>170</v>
      </c>
      <c r="J813">
        <v>-3055978244</v>
      </c>
      <c r="K813" t="s">
        <v>25</v>
      </c>
      <c r="L813" t="b">
        <v>1</v>
      </c>
    </row>
    <row r="814" spans="1:12" x14ac:dyDescent="0.3">
      <c r="A814" t="s">
        <v>1748</v>
      </c>
      <c r="B814" t="s">
        <v>80</v>
      </c>
      <c r="C814" t="s">
        <v>142</v>
      </c>
      <c r="D814">
        <v>30</v>
      </c>
      <c r="E814" t="s">
        <v>126</v>
      </c>
      <c r="F814" t="s">
        <v>30</v>
      </c>
      <c r="G814" s="1">
        <v>44156</v>
      </c>
      <c r="H814" t="s">
        <v>1749</v>
      </c>
      <c r="I814" t="s">
        <v>160</v>
      </c>
      <c r="J814">
        <v>-7598339913</v>
      </c>
      <c r="K814" t="s">
        <v>45</v>
      </c>
      <c r="L814" t="b">
        <v>1</v>
      </c>
    </row>
    <row r="815" spans="1:12" x14ac:dyDescent="0.3">
      <c r="A815" t="s">
        <v>1750</v>
      </c>
      <c r="B815" t="s">
        <v>40</v>
      </c>
      <c r="C815" t="s">
        <v>21</v>
      </c>
      <c r="D815">
        <v>30</v>
      </c>
      <c r="E815" t="s">
        <v>91</v>
      </c>
      <c r="F815" t="s">
        <v>36</v>
      </c>
      <c r="G815" s="1">
        <v>45437</v>
      </c>
      <c r="H815" t="s">
        <v>1751</v>
      </c>
      <c r="I815" t="s">
        <v>280</v>
      </c>
      <c r="J815">
        <v>-388436603</v>
      </c>
      <c r="K815" t="s">
        <v>19</v>
      </c>
      <c r="L815" t="b">
        <v>0</v>
      </c>
    </row>
    <row r="816" spans="1:12" x14ac:dyDescent="0.3">
      <c r="A816" t="s">
        <v>1752</v>
      </c>
      <c r="B816" t="s">
        <v>40</v>
      </c>
      <c r="C816" t="s">
        <v>21</v>
      </c>
      <c r="E816" t="s">
        <v>63</v>
      </c>
      <c r="F816" t="s">
        <v>16</v>
      </c>
      <c r="G816" s="1">
        <v>45188</v>
      </c>
      <c r="H816" t="s">
        <v>1753</v>
      </c>
      <c r="I816" t="s">
        <v>280</v>
      </c>
      <c r="J816">
        <v>-4324006156</v>
      </c>
      <c r="K816" t="s">
        <v>45</v>
      </c>
      <c r="L816" t="b">
        <v>0</v>
      </c>
    </row>
    <row r="817" spans="1:12" x14ac:dyDescent="0.3">
      <c r="A817" t="s">
        <v>1754</v>
      </c>
      <c r="B817" t="s">
        <v>75</v>
      </c>
      <c r="C817" t="s">
        <v>28</v>
      </c>
      <c r="D817">
        <v>25</v>
      </c>
      <c r="E817" t="s">
        <v>113</v>
      </c>
      <c r="F817" t="s">
        <v>36</v>
      </c>
      <c r="G817" s="1">
        <v>44497</v>
      </c>
      <c r="H817" t="s">
        <v>1755</v>
      </c>
      <c r="I817" t="s">
        <v>375</v>
      </c>
      <c r="J817">
        <v>-2768297513</v>
      </c>
      <c r="K817" t="s">
        <v>33</v>
      </c>
      <c r="L817" t="b">
        <v>1</v>
      </c>
    </row>
    <row r="818" spans="1:12" x14ac:dyDescent="0.3">
      <c r="A818" t="s">
        <v>1756</v>
      </c>
      <c r="B818" t="s">
        <v>61</v>
      </c>
      <c r="C818" t="s">
        <v>142</v>
      </c>
      <c r="D818">
        <v>35</v>
      </c>
      <c r="E818" t="s">
        <v>22</v>
      </c>
      <c r="F818" t="s">
        <v>30</v>
      </c>
      <c r="G818" s="1">
        <v>44053</v>
      </c>
      <c r="H818" t="s">
        <v>1757</v>
      </c>
      <c r="I818" t="s">
        <v>231</v>
      </c>
      <c r="J818">
        <v>-7439742924</v>
      </c>
      <c r="K818" t="s">
        <v>33</v>
      </c>
      <c r="L818" t="b">
        <v>0</v>
      </c>
    </row>
    <row r="819" spans="1:12" x14ac:dyDescent="0.3">
      <c r="A819" t="s">
        <v>1758</v>
      </c>
      <c r="B819" t="s">
        <v>80</v>
      </c>
      <c r="C819" t="s">
        <v>41</v>
      </c>
      <c r="D819">
        <v>35</v>
      </c>
      <c r="E819" t="s">
        <v>116</v>
      </c>
      <c r="F819" t="s">
        <v>30</v>
      </c>
      <c r="G819" s="1">
        <v>43956</v>
      </c>
      <c r="H819" t="s">
        <v>1759</v>
      </c>
      <c r="I819" t="s">
        <v>83</v>
      </c>
      <c r="J819">
        <v>-105875255</v>
      </c>
      <c r="K819" t="s">
        <v>45</v>
      </c>
      <c r="L819" t="b">
        <v>1</v>
      </c>
    </row>
    <row r="820" spans="1:12" x14ac:dyDescent="0.3">
      <c r="A820" t="s">
        <v>1760</v>
      </c>
      <c r="B820" t="s">
        <v>27</v>
      </c>
      <c r="C820" t="s">
        <v>21</v>
      </c>
      <c r="D820">
        <v>30</v>
      </c>
      <c r="E820" t="s">
        <v>63</v>
      </c>
      <c r="F820" t="s">
        <v>36</v>
      </c>
      <c r="G820" s="1">
        <v>44919</v>
      </c>
      <c r="H820" t="s">
        <v>1761</v>
      </c>
      <c r="I820" t="s">
        <v>93</v>
      </c>
      <c r="J820">
        <v>-8065625903</v>
      </c>
      <c r="K820" t="s">
        <v>45</v>
      </c>
      <c r="L820" t="b">
        <v>1</v>
      </c>
    </row>
    <row r="821" spans="1:12" x14ac:dyDescent="0.3">
      <c r="A821" t="s">
        <v>1762</v>
      </c>
      <c r="B821" t="s">
        <v>75</v>
      </c>
      <c r="C821" t="s">
        <v>142</v>
      </c>
      <c r="D821">
        <v>30</v>
      </c>
      <c r="E821" t="s">
        <v>29</v>
      </c>
      <c r="F821" t="s">
        <v>36</v>
      </c>
      <c r="G821" s="1">
        <v>44444</v>
      </c>
      <c r="H821" t="s">
        <v>1763</v>
      </c>
      <c r="I821" t="s">
        <v>436</v>
      </c>
      <c r="J821">
        <v>-5990802710</v>
      </c>
      <c r="K821" t="s">
        <v>25</v>
      </c>
      <c r="L821" t="b">
        <v>1</v>
      </c>
    </row>
    <row r="822" spans="1:12" x14ac:dyDescent="0.3">
      <c r="A822" t="s">
        <v>1764</v>
      </c>
      <c r="B822" t="s">
        <v>35</v>
      </c>
      <c r="C822" t="s">
        <v>14</v>
      </c>
      <c r="D822">
        <v>40</v>
      </c>
      <c r="E822" t="s">
        <v>15</v>
      </c>
      <c r="F822" t="s">
        <v>16</v>
      </c>
      <c r="G822" s="1">
        <v>45024</v>
      </c>
      <c r="H822" t="s">
        <v>1765</v>
      </c>
      <c r="I822" t="s">
        <v>38</v>
      </c>
      <c r="J822">
        <v>-2218231554</v>
      </c>
      <c r="K822" t="s">
        <v>33</v>
      </c>
      <c r="L822" t="b">
        <v>1</v>
      </c>
    </row>
    <row r="823" spans="1:12" x14ac:dyDescent="0.3">
      <c r="A823" t="s">
        <v>1766</v>
      </c>
      <c r="B823" t="s">
        <v>80</v>
      </c>
      <c r="C823" t="s">
        <v>21</v>
      </c>
      <c r="D823">
        <v>30</v>
      </c>
      <c r="E823" t="s">
        <v>165</v>
      </c>
      <c r="F823" t="s">
        <v>36</v>
      </c>
      <c r="G823" s="1">
        <v>44955</v>
      </c>
      <c r="H823" t="s">
        <v>322</v>
      </c>
      <c r="I823" t="s">
        <v>240</v>
      </c>
      <c r="J823">
        <v>-1651768085</v>
      </c>
      <c r="K823" t="s">
        <v>33</v>
      </c>
      <c r="L823" t="b">
        <v>0</v>
      </c>
    </row>
    <row r="824" spans="1:12" x14ac:dyDescent="0.3">
      <c r="A824" t="s">
        <v>1767</v>
      </c>
      <c r="B824" t="s">
        <v>40</v>
      </c>
      <c r="C824" t="s">
        <v>106</v>
      </c>
      <c r="D824">
        <v>25</v>
      </c>
      <c r="E824" t="s">
        <v>165</v>
      </c>
      <c r="F824" t="s">
        <v>16</v>
      </c>
      <c r="G824" s="1">
        <v>44715</v>
      </c>
      <c r="H824" t="s">
        <v>1768</v>
      </c>
      <c r="I824" t="s">
        <v>128</v>
      </c>
      <c r="J824">
        <v>-6281372142</v>
      </c>
      <c r="K824" t="s">
        <v>45</v>
      </c>
      <c r="L824" t="b">
        <v>1</v>
      </c>
    </row>
    <row r="825" spans="1:12" x14ac:dyDescent="0.3">
      <c r="A825" t="s">
        <v>1769</v>
      </c>
      <c r="B825" t="s">
        <v>40</v>
      </c>
      <c r="C825" t="s">
        <v>14</v>
      </c>
      <c r="D825">
        <v>40</v>
      </c>
      <c r="E825" t="s">
        <v>130</v>
      </c>
      <c r="F825" t="s">
        <v>36</v>
      </c>
      <c r="G825" s="1">
        <v>44947</v>
      </c>
      <c r="H825" t="s">
        <v>1770</v>
      </c>
      <c r="I825" t="s">
        <v>59</v>
      </c>
      <c r="J825">
        <v>-3080037002</v>
      </c>
      <c r="K825" t="s">
        <v>19</v>
      </c>
      <c r="L825" t="b">
        <v>1</v>
      </c>
    </row>
    <row r="826" spans="1:12" x14ac:dyDescent="0.3">
      <c r="A826" t="s">
        <v>1771</v>
      </c>
      <c r="B826" t="s">
        <v>61</v>
      </c>
      <c r="C826" t="s">
        <v>47</v>
      </c>
      <c r="D826">
        <v>30</v>
      </c>
      <c r="E826" t="s">
        <v>87</v>
      </c>
      <c r="F826" t="s">
        <v>36</v>
      </c>
      <c r="G826" s="1">
        <v>45551</v>
      </c>
      <c r="H826" t="s">
        <v>1772</v>
      </c>
      <c r="I826" t="s">
        <v>100</v>
      </c>
      <c r="J826">
        <v>-3228556607</v>
      </c>
      <c r="K826" t="s">
        <v>33</v>
      </c>
      <c r="L826" t="b">
        <v>0</v>
      </c>
    </row>
    <row r="827" spans="1:12" x14ac:dyDescent="0.3">
      <c r="A827" t="s">
        <v>1773</v>
      </c>
      <c r="B827" t="s">
        <v>61</v>
      </c>
      <c r="C827" t="s">
        <v>21</v>
      </c>
      <c r="D827">
        <v>30</v>
      </c>
      <c r="E827" t="s">
        <v>187</v>
      </c>
      <c r="F827" t="s">
        <v>30</v>
      </c>
      <c r="G827" s="1">
        <v>43863</v>
      </c>
      <c r="H827" t="s">
        <v>1774</v>
      </c>
      <c r="I827" t="s">
        <v>147</v>
      </c>
      <c r="J827">
        <v>-4706810389</v>
      </c>
      <c r="K827" t="s">
        <v>19</v>
      </c>
      <c r="L827" t="b">
        <v>1</v>
      </c>
    </row>
    <row r="828" spans="1:12" x14ac:dyDescent="0.3">
      <c r="A828" t="s">
        <v>1775</v>
      </c>
      <c r="B828" t="s">
        <v>80</v>
      </c>
      <c r="C828" t="s">
        <v>41</v>
      </c>
      <c r="D828">
        <v>30</v>
      </c>
      <c r="E828" t="s">
        <v>68</v>
      </c>
      <c r="F828" t="s">
        <v>30</v>
      </c>
      <c r="G828" s="1">
        <v>45481</v>
      </c>
      <c r="H828" t="s">
        <v>1776</v>
      </c>
      <c r="I828" t="s">
        <v>83</v>
      </c>
      <c r="J828">
        <v>-3397051957</v>
      </c>
      <c r="K828" t="s">
        <v>45</v>
      </c>
      <c r="L828" t="b">
        <v>0</v>
      </c>
    </row>
    <row r="829" spans="1:12" x14ac:dyDescent="0.3">
      <c r="A829" t="s">
        <v>1777</v>
      </c>
      <c r="B829" t="s">
        <v>80</v>
      </c>
      <c r="C829" t="s">
        <v>62</v>
      </c>
      <c r="E829" t="s">
        <v>244</v>
      </c>
      <c r="F829" t="s">
        <v>30</v>
      </c>
      <c r="G829" s="1">
        <v>44699</v>
      </c>
      <c r="H829" t="s">
        <v>1778</v>
      </c>
      <c r="I829" t="s">
        <v>150</v>
      </c>
      <c r="J829">
        <v>-2632809447</v>
      </c>
      <c r="K829" t="s">
        <v>45</v>
      </c>
      <c r="L829" t="b">
        <v>0</v>
      </c>
    </row>
    <row r="830" spans="1:12" x14ac:dyDescent="0.3">
      <c r="A830" t="s">
        <v>1779</v>
      </c>
      <c r="B830" t="s">
        <v>40</v>
      </c>
      <c r="C830" t="s">
        <v>14</v>
      </c>
      <c r="D830">
        <v>30</v>
      </c>
      <c r="E830" t="s">
        <v>244</v>
      </c>
      <c r="F830" t="s">
        <v>30</v>
      </c>
      <c r="G830" s="1">
        <v>43846</v>
      </c>
      <c r="H830" t="s">
        <v>1780</v>
      </c>
      <c r="I830" t="s">
        <v>59</v>
      </c>
      <c r="J830">
        <v>-5862394534</v>
      </c>
      <c r="K830" t="s">
        <v>25</v>
      </c>
      <c r="L830" t="b">
        <v>0</v>
      </c>
    </row>
    <row r="831" spans="1:12" x14ac:dyDescent="0.3">
      <c r="A831" t="s">
        <v>1781</v>
      </c>
      <c r="B831" t="s">
        <v>67</v>
      </c>
      <c r="C831" t="s">
        <v>47</v>
      </c>
      <c r="E831" t="s">
        <v>251</v>
      </c>
      <c r="F831" t="s">
        <v>30</v>
      </c>
      <c r="G831" s="1">
        <v>45011</v>
      </c>
      <c r="H831" t="s">
        <v>1782</v>
      </c>
      <c r="I831" t="s">
        <v>118</v>
      </c>
      <c r="J831">
        <v>-4614707985</v>
      </c>
      <c r="K831" t="s">
        <v>33</v>
      </c>
      <c r="L831" t="b">
        <v>1</v>
      </c>
    </row>
    <row r="832" spans="1:12" x14ac:dyDescent="0.3">
      <c r="A832" t="s">
        <v>1783</v>
      </c>
      <c r="B832" t="s">
        <v>75</v>
      </c>
      <c r="C832" t="s">
        <v>28</v>
      </c>
      <c r="D832">
        <v>35</v>
      </c>
      <c r="E832" t="s">
        <v>110</v>
      </c>
      <c r="F832" t="s">
        <v>36</v>
      </c>
      <c r="G832" s="1">
        <v>45245</v>
      </c>
      <c r="H832" t="s">
        <v>1784</v>
      </c>
      <c r="I832" t="s">
        <v>375</v>
      </c>
      <c r="J832">
        <v>-3210613393</v>
      </c>
      <c r="K832" t="s">
        <v>19</v>
      </c>
      <c r="L832" t="b">
        <v>0</v>
      </c>
    </row>
    <row r="833" spans="1:12" x14ac:dyDescent="0.3">
      <c r="A833" t="s">
        <v>1785</v>
      </c>
      <c r="B833" t="s">
        <v>35</v>
      </c>
      <c r="C833" t="s">
        <v>28</v>
      </c>
      <c r="D833">
        <v>40</v>
      </c>
      <c r="E833" t="s">
        <v>48</v>
      </c>
      <c r="F833" t="s">
        <v>30</v>
      </c>
      <c r="G833" s="1">
        <v>45653</v>
      </c>
      <c r="H833" t="s">
        <v>1786</v>
      </c>
      <c r="I833" t="s">
        <v>323</v>
      </c>
      <c r="J833">
        <v>-3945703942</v>
      </c>
      <c r="K833" t="s">
        <v>25</v>
      </c>
      <c r="L833" t="b">
        <v>0</v>
      </c>
    </row>
    <row r="834" spans="1:12" x14ac:dyDescent="0.3">
      <c r="A834" t="s">
        <v>1787</v>
      </c>
      <c r="B834" t="s">
        <v>13</v>
      </c>
      <c r="C834" t="s">
        <v>41</v>
      </c>
      <c r="E834" t="s">
        <v>210</v>
      </c>
      <c r="F834" t="s">
        <v>30</v>
      </c>
      <c r="G834" s="1">
        <v>43939</v>
      </c>
      <c r="H834" t="s">
        <v>1788</v>
      </c>
      <c r="I834" t="s">
        <v>170</v>
      </c>
      <c r="J834">
        <v>-8040325375</v>
      </c>
      <c r="K834" t="s">
        <v>33</v>
      </c>
      <c r="L834" t="b">
        <v>1</v>
      </c>
    </row>
    <row r="835" spans="1:12" x14ac:dyDescent="0.3">
      <c r="A835" t="s">
        <v>1789</v>
      </c>
      <c r="B835" t="s">
        <v>27</v>
      </c>
      <c r="C835" t="s">
        <v>21</v>
      </c>
      <c r="D835">
        <v>40</v>
      </c>
      <c r="E835" t="s">
        <v>309</v>
      </c>
      <c r="F835" t="s">
        <v>36</v>
      </c>
      <c r="G835" s="1">
        <v>45006</v>
      </c>
      <c r="H835" t="s">
        <v>1790</v>
      </c>
      <c r="I835" t="s">
        <v>93</v>
      </c>
      <c r="J835">
        <v>-5769277893</v>
      </c>
      <c r="K835" t="s">
        <v>25</v>
      </c>
      <c r="L835" t="b">
        <v>0</v>
      </c>
    </row>
    <row r="836" spans="1:12" x14ac:dyDescent="0.3">
      <c r="A836" t="s">
        <v>1791</v>
      </c>
      <c r="B836" t="s">
        <v>35</v>
      </c>
      <c r="C836" t="s">
        <v>142</v>
      </c>
      <c r="D836">
        <v>35</v>
      </c>
      <c r="E836" t="s">
        <v>120</v>
      </c>
      <c r="F836" t="s">
        <v>30</v>
      </c>
      <c r="G836" s="1">
        <v>45054</v>
      </c>
      <c r="H836" t="s">
        <v>1792</v>
      </c>
      <c r="I836" t="s">
        <v>632</v>
      </c>
      <c r="J836">
        <v>-3191009003</v>
      </c>
      <c r="K836" t="s">
        <v>45</v>
      </c>
      <c r="L836" t="b">
        <v>0</v>
      </c>
    </row>
    <row r="837" spans="1:12" x14ac:dyDescent="0.3">
      <c r="A837" t="s">
        <v>1793</v>
      </c>
      <c r="B837" t="s">
        <v>35</v>
      </c>
      <c r="C837" t="s">
        <v>21</v>
      </c>
      <c r="D837">
        <v>25</v>
      </c>
      <c r="E837" t="s">
        <v>270</v>
      </c>
      <c r="F837" t="s">
        <v>30</v>
      </c>
      <c r="G837" s="1">
        <v>44177</v>
      </c>
      <c r="H837" t="s">
        <v>1794</v>
      </c>
      <c r="I837" t="s">
        <v>183</v>
      </c>
      <c r="J837">
        <v>-476921052</v>
      </c>
      <c r="K837" t="s">
        <v>33</v>
      </c>
      <c r="L837" t="b">
        <v>0</v>
      </c>
    </row>
    <row r="838" spans="1:12" x14ac:dyDescent="0.3">
      <c r="A838" t="s">
        <v>1795</v>
      </c>
      <c r="B838" t="s">
        <v>35</v>
      </c>
      <c r="C838" t="s">
        <v>41</v>
      </c>
      <c r="E838" t="s">
        <v>312</v>
      </c>
      <c r="F838" t="s">
        <v>36</v>
      </c>
      <c r="G838" s="1">
        <v>43999</v>
      </c>
      <c r="H838" t="s">
        <v>1796</v>
      </c>
      <c r="I838" t="s">
        <v>167</v>
      </c>
      <c r="J838">
        <v>-3651460400</v>
      </c>
      <c r="K838" t="s">
        <v>25</v>
      </c>
      <c r="L838" t="b">
        <v>0</v>
      </c>
    </row>
    <row r="839" spans="1:12" x14ac:dyDescent="0.3">
      <c r="A839" t="s">
        <v>1797</v>
      </c>
      <c r="B839" t="s">
        <v>35</v>
      </c>
      <c r="C839" t="s">
        <v>28</v>
      </c>
      <c r="D839">
        <v>35</v>
      </c>
      <c r="E839" t="s">
        <v>102</v>
      </c>
      <c r="F839" t="s">
        <v>36</v>
      </c>
      <c r="G839" s="1">
        <v>44394</v>
      </c>
      <c r="H839" t="s">
        <v>322</v>
      </c>
      <c r="I839" t="s">
        <v>323</v>
      </c>
      <c r="J839">
        <v>-4247310719</v>
      </c>
      <c r="K839" t="s">
        <v>25</v>
      </c>
      <c r="L839" t="b">
        <v>0</v>
      </c>
    </row>
    <row r="840" spans="1:12" x14ac:dyDescent="0.3">
      <c r="A840" t="s">
        <v>1798</v>
      </c>
      <c r="B840" t="s">
        <v>13</v>
      </c>
      <c r="C840" t="s">
        <v>21</v>
      </c>
      <c r="E840" t="s">
        <v>102</v>
      </c>
      <c r="F840" t="s">
        <v>30</v>
      </c>
      <c r="G840" s="1">
        <v>44140</v>
      </c>
      <c r="H840" t="s">
        <v>1799</v>
      </c>
      <c r="I840" t="s">
        <v>24</v>
      </c>
      <c r="J840">
        <v>-1137984408</v>
      </c>
      <c r="K840" t="s">
        <v>19</v>
      </c>
      <c r="L840" t="b">
        <v>1</v>
      </c>
    </row>
    <row r="841" spans="1:12" x14ac:dyDescent="0.3">
      <c r="A841" t="s">
        <v>1800</v>
      </c>
      <c r="B841" t="s">
        <v>61</v>
      </c>
      <c r="C841" t="s">
        <v>28</v>
      </c>
      <c r="D841">
        <v>35</v>
      </c>
      <c r="E841" t="s">
        <v>63</v>
      </c>
      <c r="F841" t="s">
        <v>36</v>
      </c>
      <c r="G841" s="1">
        <v>44201</v>
      </c>
      <c r="H841" t="s">
        <v>1801</v>
      </c>
      <c r="I841" t="s">
        <v>140</v>
      </c>
      <c r="J841">
        <v>-7123166006</v>
      </c>
      <c r="K841" t="s">
        <v>25</v>
      </c>
      <c r="L841" t="b">
        <v>0</v>
      </c>
    </row>
    <row r="842" spans="1:12" x14ac:dyDescent="0.3">
      <c r="A842" t="s">
        <v>1802</v>
      </c>
      <c r="B842" t="s">
        <v>40</v>
      </c>
      <c r="C842" t="s">
        <v>14</v>
      </c>
      <c r="D842">
        <v>25</v>
      </c>
      <c r="E842" t="s">
        <v>102</v>
      </c>
      <c r="F842" t="s">
        <v>16</v>
      </c>
      <c r="G842" s="1">
        <v>45546</v>
      </c>
      <c r="H842" t="s">
        <v>1803</v>
      </c>
      <c r="I842" t="s">
        <v>59</v>
      </c>
      <c r="J842">
        <v>-6762090143</v>
      </c>
      <c r="K842" t="s">
        <v>33</v>
      </c>
      <c r="L842" t="b">
        <v>0</v>
      </c>
    </row>
    <row r="843" spans="1:12" x14ac:dyDescent="0.3">
      <c r="A843" t="s">
        <v>1804</v>
      </c>
      <c r="B843" t="s">
        <v>80</v>
      </c>
      <c r="C843" t="s">
        <v>47</v>
      </c>
      <c r="D843">
        <v>30</v>
      </c>
      <c r="E843" t="s">
        <v>270</v>
      </c>
      <c r="F843" t="s">
        <v>30</v>
      </c>
      <c r="G843" s="1">
        <v>45136</v>
      </c>
      <c r="H843" t="s">
        <v>1805</v>
      </c>
      <c r="I843" t="s">
        <v>96</v>
      </c>
      <c r="J843">
        <v>-7340433699</v>
      </c>
      <c r="K843" t="s">
        <v>33</v>
      </c>
      <c r="L843" t="b">
        <v>1</v>
      </c>
    </row>
    <row r="844" spans="1:12" x14ac:dyDescent="0.3">
      <c r="A844" t="s">
        <v>1806</v>
      </c>
      <c r="B844" t="s">
        <v>40</v>
      </c>
      <c r="C844" t="s">
        <v>142</v>
      </c>
      <c r="D844">
        <v>25</v>
      </c>
      <c r="E844" t="s">
        <v>15</v>
      </c>
      <c r="F844" t="s">
        <v>16</v>
      </c>
      <c r="G844" s="1">
        <v>43938</v>
      </c>
      <c r="H844" t="s">
        <v>1807</v>
      </c>
      <c r="I844" t="s">
        <v>163</v>
      </c>
      <c r="J844">
        <v>-9687304518</v>
      </c>
      <c r="K844" t="s">
        <v>19</v>
      </c>
      <c r="L844" t="b">
        <v>1</v>
      </c>
    </row>
    <row r="845" spans="1:12" x14ac:dyDescent="0.3">
      <c r="A845" t="s">
        <v>1808</v>
      </c>
      <c r="B845" t="s">
        <v>35</v>
      </c>
      <c r="C845" t="s">
        <v>14</v>
      </c>
      <c r="D845">
        <v>40</v>
      </c>
      <c r="E845" t="s">
        <v>91</v>
      </c>
      <c r="F845" t="s">
        <v>16</v>
      </c>
      <c r="G845" s="1">
        <v>44608</v>
      </c>
      <c r="H845" t="s">
        <v>1809</v>
      </c>
      <c r="I845" t="s">
        <v>38</v>
      </c>
      <c r="J845">
        <v>-5778255881</v>
      </c>
      <c r="K845" t="s">
        <v>33</v>
      </c>
      <c r="L845" t="b">
        <v>1</v>
      </c>
    </row>
    <row r="846" spans="1:12" x14ac:dyDescent="0.3">
      <c r="A846" t="s">
        <v>1810</v>
      </c>
      <c r="B846" t="s">
        <v>35</v>
      </c>
      <c r="C846" t="s">
        <v>28</v>
      </c>
      <c r="D846">
        <v>30</v>
      </c>
      <c r="E846" t="s">
        <v>87</v>
      </c>
      <c r="F846" t="s">
        <v>16</v>
      </c>
      <c r="G846" s="1">
        <v>44422</v>
      </c>
      <c r="H846" t="s">
        <v>1811</v>
      </c>
      <c r="I846" t="s">
        <v>323</v>
      </c>
      <c r="J846">
        <v>-5562965753</v>
      </c>
      <c r="K846" t="s">
        <v>45</v>
      </c>
      <c r="L846" t="b">
        <v>0</v>
      </c>
    </row>
    <row r="847" spans="1:12" x14ac:dyDescent="0.3">
      <c r="A847" t="s">
        <v>1812</v>
      </c>
      <c r="B847" t="s">
        <v>40</v>
      </c>
      <c r="C847" t="s">
        <v>28</v>
      </c>
      <c r="E847" t="s">
        <v>278</v>
      </c>
      <c r="F847" t="s">
        <v>16</v>
      </c>
      <c r="G847" s="1">
        <v>44919</v>
      </c>
      <c r="H847" t="s">
        <v>1813</v>
      </c>
      <c r="I847" t="s">
        <v>53</v>
      </c>
      <c r="J847">
        <v>-2786561941</v>
      </c>
      <c r="K847" t="s">
        <v>33</v>
      </c>
      <c r="L847" t="b">
        <v>1</v>
      </c>
    </row>
    <row r="848" spans="1:12" x14ac:dyDescent="0.3">
      <c r="A848" t="s">
        <v>1814</v>
      </c>
      <c r="B848" t="s">
        <v>80</v>
      </c>
      <c r="C848" t="s">
        <v>62</v>
      </c>
      <c r="E848" t="s">
        <v>15</v>
      </c>
      <c r="F848" t="s">
        <v>36</v>
      </c>
      <c r="G848" s="1">
        <v>44384</v>
      </c>
      <c r="H848" t="s">
        <v>1815</v>
      </c>
      <c r="I848" t="s">
        <v>150</v>
      </c>
      <c r="J848">
        <v>-5577820581</v>
      </c>
      <c r="K848" t="s">
        <v>33</v>
      </c>
      <c r="L848" t="b">
        <v>0</v>
      </c>
    </row>
    <row r="849" spans="1:12" x14ac:dyDescent="0.3">
      <c r="A849" t="s">
        <v>1816</v>
      </c>
      <c r="B849" t="s">
        <v>80</v>
      </c>
      <c r="C849" t="s">
        <v>62</v>
      </c>
      <c r="D849">
        <v>40</v>
      </c>
      <c r="E849" t="s">
        <v>386</v>
      </c>
      <c r="F849" t="s">
        <v>16</v>
      </c>
      <c r="G849" s="1">
        <v>45334</v>
      </c>
      <c r="H849" t="s">
        <v>1817</v>
      </c>
      <c r="I849" t="s">
        <v>150</v>
      </c>
      <c r="J849">
        <v>-9582923615</v>
      </c>
      <c r="K849" t="s">
        <v>25</v>
      </c>
      <c r="L849" t="b">
        <v>0</v>
      </c>
    </row>
    <row r="850" spans="1:12" x14ac:dyDescent="0.3">
      <c r="A850" t="s">
        <v>1818</v>
      </c>
      <c r="B850" t="s">
        <v>40</v>
      </c>
      <c r="C850" t="s">
        <v>14</v>
      </c>
      <c r="D850">
        <v>30</v>
      </c>
      <c r="E850" t="s">
        <v>229</v>
      </c>
      <c r="F850" t="s">
        <v>16</v>
      </c>
      <c r="G850" s="1">
        <v>45208</v>
      </c>
      <c r="H850" t="s">
        <v>1819</v>
      </c>
      <c r="I850" t="s">
        <v>59</v>
      </c>
      <c r="J850">
        <v>-1880819047</v>
      </c>
      <c r="K850" t="s">
        <v>25</v>
      </c>
      <c r="L850" t="b">
        <v>1</v>
      </c>
    </row>
    <row r="851" spans="1:12" x14ac:dyDescent="0.3">
      <c r="A851" t="s">
        <v>1820</v>
      </c>
      <c r="B851" t="s">
        <v>80</v>
      </c>
      <c r="C851" t="s">
        <v>106</v>
      </c>
      <c r="D851">
        <v>25</v>
      </c>
      <c r="E851" t="s">
        <v>48</v>
      </c>
      <c r="F851" t="s">
        <v>30</v>
      </c>
      <c r="G851" s="1">
        <v>44744</v>
      </c>
      <c r="H851" t="s">
        <v>1821</v>
      </c>
      <c r="I851" t="s">
        <v>197</v>
      </c>
      <c r="J851">
        <v>-2357155867</v>
      </c>
      <c r="K851" t="s">
        <v>33</v>
      </c>
      <c r="L851" t="b">
        <v>1</v>
      </c>
    </row>
    <row r="852" spans="1:12" x14ac:dyDescent="0.3">
      <c r="A852" t="s">
        <v>1822</v>
      </c>
      <c r="B852" t="s">
        <v>35</v>
      </c>
      <c r="C852" t="s">
        <v>14</v>
      </c>
      <c r="D852">
        <v>30</v>
      </c>
      <c r="E852" t="s">
        <v>187</v>
      </c>
      <c r="F852" t="s">
        <v>30</v>
      </c>
      <c r="G852" s="1">
        <v>44019</v>
      </c>
      <c r="H852" t="s">
        <v>1823</v>
      </c>
      <c r="I852" t="s">
        <v>38</v>
      </c>
      <c r="J852">
        <v>-6395613722</v>
      </c>
      <c r="K852" t="s">
        <v>19</v>
      </c>
      <c r="L852" t="b">
        <v>0</v>
      </c>
    </row>
    <row r="853" spans="1:12" x14ac:dyDescent="0.3">
      <c r="A853" t="s">
        <v>1824</v>
      </c>
      <c r="B853" t="s">
        <v>67</v>
      </c>
      <c r="C853" t="s">
        <v>62</v>
      </c>
      <c r="E853" t="s">
        <v>278</v>
      </c>
      <c r="F853" t="s">
        <v>30</v>
      </c>
      <c r="G853" s="1">
        <v>44076</v>
      </c>
      <c r="H853" t="s">
        <v>1825</v>
      </c>
      <c r="I853" t="s">
        <v>257</v>
      </c>
      <c r="J853">
        <v>-817214363</v>
      </c>
      <c r="K853" t="s">
        <v>25</v>
      </c>
      <c r="L853" t="b">
        <v>1</v>
      </c>
    </row>
    <row r="854" spans="1:12" x14ac:dyDescent="0.3">
      <c r="A854" t="s">
        <v>1826</v>
      </c>
      <c r="B854" t="s">
        <v>80</v>
      </c>
      <c r="C854" t="s">
        <v>28</v>
      </c>
      <c r="E854" t="s">
        <v>120</v>
      </c>
      <c r="F854" t="s">
        <v>30</v>
      </c>
      <c r="G854" s="1">
        <v>44208</v>
      </c>
      <c r="H854" t="s">
        <v>1827</v>
      </c>
      <c r="I854" t="s">
        <v>89</v>
      </c>
      <c r="J854">
        <v>-3813000412</v>
      </c>
      <c r="K854" t="s">
        <v>19</v>
      </c>
      <c r="L854" t="b">
        <v>0</v>
      </c>
    </row>
    <row r="855" spans="1:12" x14ac:dyDescent="0.3">
      <c r="A855" t="s">
        <v>1828</v>
      </c>
      <c r="B855" t="s">
        <v>13</v>
      </c>
      <c r="C855" t="s">
        <v>41</v>
      </c>
      <c r="D855">
        <v>40</v>
      </c>
      <c r="E855" t="s">
        <v>251</v>
      </c>
      <c r="F855" t="s">
        <v>30</v>
      </c>
      <c r="G855" s="1">
        <v>45198</v>
      </c>
      <c r="H855" t="s">
        <v>1829</v>
      </c>
      <c r="I855" t="s">
        <v>170</v>
      </c>
      <c r="J855">
        <v>-2114716559</v>
      </c>
      <c r="K855" t="s">
        <v>33</v>
      </c>
      <c r="L855" t="b">
        <v>1</v>
      </c>
    </row>
    <row r="856" spans="1:12" x14ac:dyDescent="0.3">
      <c r="A856" t="s">
        <v>1830</v>
      </c>
      <c r="B856" t="s">
        <v>61</v>
      </c>
      <c r="C856" t="s">
        <v>14</v>
      </c>
      <c r="D856">
        <v>25</v>
      </c>
      <c r="E856" t="s">
        <v>165</v>
      </c>
      <c r="F856" t="s">
        <v>36</v>
      </c>
      <c r="G856" s="1">
        <v>44626</v>
      </c>
      <c r="H856" t="s">
        <v>1831</v>
      </c>
      <c r="I856" t="s">
        <v>200</v>
      </c>
      <c r="J856">
        <v>-9456534698</v>
      </c>
      <c r="K856" t="s">
        <v>33</v>
      </c>
      <c r="L856" t="b">
        <v>1</v>
      </c>
    </row>
    <row r="857" spans="1:12" x14ac:dyDescent="0.3">
      <c r="A857" t="s">
        <v>1832</v>
      </c>
      <c r="B857" t="s">
        <v>35</v>
      </c>
      <c r="C857" t="s">
        <v>28</v>
      </c>
      <c r="D857">
        <v>30</v>
      </c>
      <c r="E857" t="s">
        <v>22</v>
      </c>
      <c r="F857" t="s">
        <v>36</v>
      </c>
      <c r="G857" s="1">
        <v>44241</v>
      </c>
      <c r="H857" t="s">
        <v>1833</v>
      </c>
      <c r="I857" t="s">
        <v>323</v>
      </c>
      <c r="J857">
        <v>-7990707549</v>
      </c>
      <c r="K857" t="s">
        <v>45</v>
      </c>
      <c r="L857" t="b">
        <v>1</v>
      </c>
    </row>
    <row r="858" spans="1:12" x14ac:dyDescent="0.3">
      <c r="A858" t="s">
        <v>1834</v>
      </c>
      <c r="B858" t="s">
        <v>75</v>
      </c>
      <c r="C858" t="s">
        <v>41</v>
      </c>
      <c r="D858">
        <v>25</v>
      </c>
      <c r="E858" t="s">
        <v>102</v>
      </c>
      <c r="F858" t="s">
        <v>36</v>
      </c>
      <c r="G858" s="1">
        <v>44278</v>
      </c>
      <c r="H858" t="s">
        <v>1835</v>
      </c>
      <c r="I858" t="s">
        <v>78</v>
      </c>
      <c r="J858">
        <v>-4768169956</v>
      </c>
      <c r="K858" t="s">
        <v>25</v>
      </c>
      <c r="L858" t="b">
        <v>0</v>
      </c>
    </row>
    <row r="859" spans="1:12" x14ac:dyDescent="0.3">
      <c r="A859" t="s">
        <v>1836</v>
      </c>
      <c r="B859" t="s">
        <v>75</v>
      </c>
      <c r="C859" t="s">
        <v>41</v>
      </c>
      <c r="D859">
        <v>35</v>
      </c>
      <c r="E859" t="s">
        <v>187</v>
      </c>
      <c r="F859" t="s">
        <v>16</v>
      </c>
      <c r="G859" s="1">
        <v>43975</v>
      </c>
      <c r="H859" t="s">
        <v>1837</v>
      </c>
      <c r="I859" t="s">
        <v>78</v>
      </c>
      <c r="J859">
        <v>-607174810</v>
      </c>
      <c r="K859" t="s">
        <v>33</v>
      </c>
      <c r="L859" t="b">
        <v>1</v>
      </c>
    </row>
    <row r="860" spans="1:12" x14ac:dyDescent="0.3">
      <c r="A860" t="s">
        <v>1838</v>
      </c>
      <c r="B860" t="s">
        <v>75</v>
      </c>
      <c r="C860" t="s">
        <v>62</v>
      </c>
      <c r="D860">
        <v>25</v>
      </c>
      <c r="E860" t="s">
        <v>267</v>
      </c>
      <c r="F860" t="s">
        <v>30</v>
      </c>
      <c r="G860" s="1">
        <v>45142</v>
      </c>
      <c r="H860" t="s">
        <v>1839</v>
      </c>
      <c r="I860" t="s">
        <v>132</v>
      </c>
      <c r="J860">
        <v>-3176539704</v>
      </c>
      <c r="K860" t="s">
        <v>45</v>
      </c>
      <c r="L860" t="b">
        <v>0</v>
      </c>
    </row>
    <row r="861" spans="1:12" x14ac:dyDescent="0.3">
      <c r="A861" t="s">
        <v>1840</v>
      </c>
      <c r="B861" t="s">
        <v>80</v>
      </c>
      <c r="C861" t="s">
        <v>14</v>
      </c>
      <c r="D861">
        <v>35</v>
      </c>
      <c r="E861" t="s">
        <v>29</v>
      </c>
      <c r="F861" t="s">
        <v>36</v>
      </c>
      <c r="G861" s="1">
        <v>44632</v>
      </c>
      <c r="H861" t="s">
        <v>1841</v>
      </c>
      <c r="I861" t="s">
        <v>276</v>
      </c>
      <c r="J861">
        <v>-4873961028</v>
      </c>
      <c r="K861" t="s">
        <v>25</v>
      </c>
      <c r="L861" t="b">
        <v>0</v>
      </c>
    </row>
    <row r="862" spans="1:12" x14ac:dyDescent="0.3">
      <c r="A862" t="s">
        <v>1842</v>
      </c>
      <c r="B862" t="s">
        <v>75</v>
      </c>
      <c r="C862" t="s">
        <v>21</v>
      </c>
      <c r="D862">
        <v>40</v>
      </c>
      <c r="E862" t="s">
        <v>130</v>
      </c>
      <c r="F862" t="s">
        <v>30</v>
      </c>
      <c r="G862" s="1">
        <v>45430</v>
      </c>
      <c r="H862" t="s">
        <v>1843</v>
      </c>
      <c r="I862" t="s">
        <v>480</v>
      </c>
      <c r="J862">
        <v>-871827495</v>
      </c>
      <c r="K862" t="s">
        <v>33</v>
      </c>
      <c r="L862" t="b">
        <v>0</v>
      </c>
    </row>
    <row r="863" spans="1:12" x14ac:dyDescent="0.3">
      <c r="A863" t="s">
        <v>1844</v>
      </c>
      <c r="B863" t="s">
        <v>67</v>
      </c>
      <c r="C863" t="s">
        <v>142</v>
      </c>
      <c r="D863">
        <v>25</v>
      </c>
      <c r="E863" t="s">
        <v>116</v>
      </c>
      <c r="F863" t="s">
        <v>36</v>
      </c>
      <c r="G863" s="1">
        <v>44079</v>
      </c>
      <c r="H863" t="s">
        <v>1845</v>
      </c>
      <c r="I863" t="s">
        <v>402</v>
      </c>
      <c r="J863">
        <v>-8049187273</v>
      </c>
      <c r="K863" t="s">
        <v>33</v>
      </c>
      <c r="L863" t="b">
        <v>0</v>
      </c>
    </row>
    <row r="864" spans="1:12" x14ac:dyDescent="0.3">
      <c r="A864" t="s">
        <v>1846</v>
      </c>
      <c r="B864" t="s">
        <v>40</v>
      </c>
      <c r="C864" t="s">
        <v>62</v>
      </c>
      <c r="D864">
        <v>35</v>
      </c>
      <c r="E864" t="s">
        <v>15</v>
      </c>
      <c r="F864" t="s">
        <v>36</v>
      </c>
      <c r="G864" s="1">
        <v>43944</v>
      </c>
      <c r="H864" t="s">
        <v>1847</v>
      </c>
      <c r="I864" t="s">
        <v>316</v>
      </c>
      <c r="J864">
        <v>-2049561212</v>
      </c>
      <c r="K864" t="s">
        <v>25</v>
      </c>
      <c r="L864" t="b">
        <v>1</v>
      </c>
    </row>
    <row r="865" spans="1:12" x14ac:dyDescent="0.3">
      <c r="A865" t="s">
        <v>1848</v>
      </c>
      <c r="B865" t="s">
        <v>13</v>
      </c>
      <c r="C865" t="s">
        <v>62</v>
      </c>
      <c r="D865">
        <v>35</v>
      </c>
      <c r="E865" t="s">
        <v>210</v>
      </c>
      <c r="F865" t="s">
        <v>16</v>
      </c>
      <c r="G865" s="1">
        <v>45553</v>
      </c>
      <c r="H865" t="s">
        <v>1849</v>
      </c>
      <c r="I865" t="s">
        <v>237</v>
      </c>
      <c r="J865">
        <v>-7730626041</v>
      </c>
      <c r="K865" t="s">
        <v>25</v>
      </c>
      <c r="L865" t="b">
        <v>0</v>
      </c>
    </row>
    <row r="866" spans="1:12" x14ac:dyDescent="0.3">
      <c r="A866" t="s">
        <v>1850</v>
      </c>
      <c r="B866" t="s">
        <v>67</v>
      </c>
      <c r="C866" t="s">
        <v>21</v>
      </c>
      <c r="D866">
        <v>30</v>
      </c>
      <c r="E866" t="s">
        <v>48</v>
      </c>
      <c r="F866" t="s">
        <v>36</v>
      </c>
      <c r="G866" s="1">
        <v>45184</v>
      </c>
      <c r="H866" t="s">
        <v>1851</v>
      </c>
      <c r="I866" t="s">
        <v>265</v>
      </c>
      <c r="J866">
        <v>-3597371121</v>
      </c>
      <c r="K866" t="s">
        <v>25</v>
      </c>
      <c r="L866" t="b">
        <v>0</v>
      </c>
    </row>
    <row r="867" spans="1:12" x14ac:dyDescent="0.3">
      <c r="A867" t="s">
        <v>1852</v>
      </c>
      <c r="B867" t="s">
        <v>13</v>
      </c>
      <c r="C867" t="s">
        <v>142</v>
      </c>
      <c r="D867">
        <v>35</v>
      </c>
      <c r="E867" t="s">
        <v>22</v>
      </c>
      <c r="F867" t="s">
        <v>30</v>
      </c>
      <c r="G867" s="1">
        <v>44727</v>
      </c>
      <c r="H867" t="s">
        <v>1853</v>
      </c>
      <c r="I867" t="s">
        <v>144</v>
      </c>
      <c r="J867">
        <v>-2990775607</v>
      </c>
      <c r="K867" t="s">
        <v>33</v>
      </c>
      <c r="L867" t="b">
        <v>1</v>
      </c>
    </row>
    <row r="868" spans="1:12" x14ac:dyDescent="0.3">
      <c r="A868" t="s">
        <v>1854</v>
      </c>
      <c r="B868" t="s">
        <v>67</v>
      </c>
      <c r="C868" t="s">
        <v>28</v>
      </c>
      <c r="D868">
        <v>25</v>
      </c>
      <c r="E868" t="s">
        <v>91</v>
      </c>
      <c r="F868" t="s">
        <v>16</v>
      </c>
      <c r="G868" s="1">
        <v>44832</v>
      </c>
      <c r="H868" t="s">
        <v>1855</v>
      </c>
      <c r="I868" t="s">
        <v>283</v>
      </c>
      <c r="J868">
        <v>-5816704685</v>
      </c>
      <c r="K868" t="s">
        <v>33</v>
      </c>
      <c r="L868" t="b">
        <v>0</v>
      </c>
    </row>
    <row r="869" spans="1:12" x14ac:dyDescent="0.3">
      <c r="A869" t="s">
        <v>1856</v>
      </c>
      <c r="B869" t="s">
        <v>35</v>
      </c>
      <c r="C869" t="s">
        <v>106</v>
      </c>
      <c r="D869">
        <v>40</v>
      </c>
      <c r="E869" t="s">
        <v>87</v>
      </c>
      <c r="F869" t="s">
        <v>16</v>
      </c>
      <c r="G869" s="1">
        <v>43906</v>
      </c>
      <c r="H869" t="s">
        <v>1857</v>
      </c>
      <c r="I869" t="s">
        <v>307</v>
      </c>
      <c r="J869">
        <v>-1114576831</v>
      </c>
      <c r="K869" t="s">
        <v>45</v>
      </c>
      <c r="L869" t="b">
        <v>1</v>
      </c>
    </row>
    <row r="870" spans="1:12" x14ac:dyDescent="0.3">
      <c r="A870" t="s">
        <v>1858</v>
      </c>
      <c r="B870" t="s">
        <v>27</v>
      </c>
      <c r="C870" t="s">
        <v>14</v>
      </c>
      <c r="D870">
        <v>40</v>
      </c>
      <c r="E870" t="s">
        <v>68</v>
      </c>
      <c r="F870" t="s">
        <v>30</v>
      </c>
      <c r="G870" s="1">
        <v>45197</v>
      </c>
      <c r="H870" t="s">
        <v>1859</v>
      </c>
      <c r="I870" t="s">
        <v>191</v>
      </c>
      <c r="J870">
        <v>-1021923784</v>
      </c>
      <c r="K870" t="s">
        <v>19</v>
      </c>
      <c r="L870" t="b">
        <v>0</v>
      </c>
    </row>
    <row r="871" spans="1:12" x14ac:dyDescent="0.3">
      <c r="A871" t="s">
        <v>1860</v>
      </c>
      <c r="B871" t="s">
        <v>61</v>
      </c>
      <c r="C871" t="s">
        <v>106</v>
      </c>
      <c r="E871" t="s">
        <v>120</v>
      </c>
      <c r="F871" t="s">
        <v>16</v>
      </c>
      <c r="G871" s="1">
        <v>45337</v>
      </c>
      <c r="H871" t="s">
        <v>1861</v>
      </c>
      <c r="I871" t="s">
        <v>607</v>
      </c>
      <c r="J871">
        <v>-8471296179</v>
      </c>
      <c r="K871" t="s">
        <v>25</v>
      </c>
      <c r="L871" t="b">
        <v>1</v>
      </c>
    </row>
    <row r="872" spans="1:12" x14ac:dyDescent="0.3">
      <c r="A872" t="s">
        <v>1862</v>
      </c>
      <c r="B872" t="s">
        <v>75</v>
      </c>
      <c r="C872" t="s">
        <v>28</v>
      </c>
      <c r="E872" t="s">
        <v>68</v>
      </c>
      <c r="F872" t="s">
        <v>30</v>
      </c>
      <c r="G872" s="1">
        <v>45159</v>
      </c>
      <c r="H872" t="s">
        <v>1863</v>
      </c>
      <c r="I872" t="s">
        <v>375</v>
      </c>
      <c r="J872">
        <v>-3324260507</v>
      </c>
      <c r="K872" t="s">
        <v>33</v>
      </c>
      <c r="L872" t="b">
        <v>0</v>
      </c>
    </row>
    <row r="873" spans="1:12" x14ac:dyDescent="0.3">
      <c r="A873" t="s">
        <v>1864</v>
      </c>
      <c r="B873" t="s">
        <v>27</v>
      </c>
      <c r="C873" t="s">
        <v>47</v>
      </c>
      <c r="D873">
        <v>35</v>
      </c>
      <c r="E873" t="s">
        <v>42</v>
      </c>
      <c r="F873" t="s">
        <v>30</v>
      </c>
      <c r="G873" s="1">
        <v>44180</v>
      </c>
      <c r="H873" t="s">
        <v>1865</v>
      </c>
      <c r="I873" t="s">
        <v>50</v>
      </c>
      <c r="J873">
        <v>-184980424</v>
      </c>
      <c r="K873" t="s">
        <v>33</v>
      </c>
      <c r="L873" t="b">
        <v>1</v>
      </c>
    </row>
    <row r="874" spans="1:12" x14ac:dyDescent="0.3">
      <c r="A874" t="s">
        <v>1866</v>
      </c>
      <c r="B874" t="s">
        <v>13</v>
      </c>
      <c r="C874" t="s">
        <v>62</v>
      </c>
      <c r="D874">
        <v>25</v>
      </c>
      <c r="E874" t="s">
        <v>309</v>
      </c>
      <c r="F874" t="s">
        <v>30</v>
      </c>
      <c r="G874" s="1">
        <v>44282</v>
      </c>
      <c r="H874" t="s">
        <v>1867</v>
      </c>
      <c r="I874" t="s">
        <v>237</v>
      </c>
      <c r="J874">
        <v>-3733777311</v>
      </c>
      <c r="K874" t="s">
        <v>25</v>
      </c>
      <c r="L874" t="b">
        <v>0</v>
      </c>
    </row>
    <row r="875" spans="1:12" x14ac:dyDescent="0.3">
      <c r="A875" t="s">
        <v>1868</v>
      </c>
      <c r="B875" t="s">
        <v>40</v>
      </c>
      <c r="C875" t="s">
        <v>142</v>
      </c>
      <c r="D875">
        <v>40</v>
      </c>
      <c r="E875" t="s">
        <v>165</v>
      </c>
      <c r="F875" t="s">
        <v>30</v>
      </c>
      <c r="G875" s="1">
        <v>45010</v>
      </c>
      <c r="H875" t="s">
        <v>1869</v>
      </c>
      <c r="I875" t="s">
        <v>163</v>
      </c>
      <c r="J875">
        <v>-6881228216</v>
      </c>
      <c r="K875" t="s">
        <v>19</v>
      </c>
      <c r="L875" t="b">
        <v>0</v>
      </c>
    </row>
    <row r="876" spans="1:12" x14ac:dyDescent="0.3">
      <c r="A876" t="s">
        <v>1870</v>
      </c>
      <c r="B876" t="s">
        <v>67</v>
      </c>
      <c r="C876" t="s">
        <v>62</v>
      </c>
      <c r="D876">
        <v>25</v>
      </c>
      <c r="E876" t="s">
        <v>126</v>
      </c>
      <c r="F876" t="s">
        <v>36</v>
      </c>
      <c r="G876" s="1">
        <v>43960</v>
      </c>
      <c r="H876" t="s">
        <v>1871</v>
      </c>
      <c r="I876" t="s">
        <v>257</v>
      </c>
      <c r="J876">
        <v>-8192365345</v>
      </c>
      <c r="K876" t="s">
        <v>25</v>
      </c>
      <c r="L876" t="b">
        <v>1</v>
      </c>
    </row>
    <row r="877" spans="1:12" x14ac:dyDescent="0.3">
      <c r="A877" t="s">
        <v>1872</v>
      </c>
      <c r="B877" t="s">
        <v>80</v>
      </c>
      <c r="C877" t="s">
        <v>41</v>
      </c>
      <c r="D877">
        <v>30</v>
      </c>
      <c r="E877" t="s">
        <v>15</v>
      </c>
      <c r="F877" t="s">
        <v>30</v>
      </c>
      <c r="G877" s="1">
        <v>44168</v>
      </c>
      <c r="H877" t="s">
        <v>1873</v>
      </c>
      <c r="I877" t="s">
        <v>83</v>
      </c>
      <c r="J877">
        <v>-605603566</v>
      </c>
      <c r="K877" t="s">
        <v>19</v>
      </c>
      <c r="L877" t="b">
        <v>1</v>
      </c>
    </row>
    <row r="878" spans="1:12" x14ac:dyDescent="0.3">
      <c r="A878" t="s">
        <v>1874</v>
      </c>
      <c r="B878" t="s">
        <v>27</v>
      </c>
      <c r="C878" t="s">
        <v>62</v>
      </c>
      <c r="D878">
        <v>30</v>
      </c>
      <c r="E878" t="s">
        <v>98</v>
      </c>
      <c r="F878" t="s">
        <v>30</v>
      </c>
      <c r="G878" s="1">
        <v>44601</v>
      </c>
      <c r="H878" t="s">
        <v>322</v>
      </c>
      <c r="I878" t="s">
        <v>177</v>
      </c>
      <c r="J878">
        <v>-9327986238</v>
      </c>
      <c r="K878" t="s">
        <v>33</v>
      </c>
      <c r="L878" t="b">
        <v>1</v>
      </c>
    </row>
    <row r="879" spans="1:12" x14ac:dyDescent="0.3">
      <c r="A879" t="s">
        <v>1875</v>
      </c>
      <c r="B879" t="s">
        <v>75</v>
      </c>
      <c r="C879" t="s">
        <v>62</v>
      </c>
      <c r="D879">
        <v>25</v>
      </c>
      <c r="E879" t="s">
        <v>187</v>
      </c>
      <c r="F879" t="s">
        <v>16</v>
      </c>
      <c r="G879" s="1">
        <v>44013</v>
      </c>
      <c r="H879" t="s">
        <v>1876</v>
      </c>
      <c r="I879" t="s">
        <v>132</v>
      </c>
      <c r="J879">
        <v>-8471690617</v>
      </c>
      <c r="K879" t="s">
        <v>19</v>
      </c>
      <c r="L879" t="b">
        <v>1</v>
      </c>
    </row>
    <row r="880" spans="1:12" x14ac:dyDescent="0.3">
      <c r="A880" t="s">
        <v>1877</v>
      </c>
      <c r="B880" t="s">
        <v>35</v>
      </c>
      <c r="C880" t="s">
        <v>28</v>
      </c>
      <c r="D880">
        <v>40</v>
      </c>
      <c r="E880" t="s">
        <v>270</v>
      </c>
      <c r="F880" t="s">
        <v>30</v>
      </c>
      <c r="G880" s="1">
        <v>44090</v>
      </c>
      <c r="H880" t="s">
        <v>1878</v>
      </c>
      <c r="I880" t="s">
        <v>323</v>
      </c>
      <c r="J880">
        <v>-1205464753</v>
      </c>
      <c r="K880" t="s">
        <v>45</v>
      </c>
      <c r="L880" t="b">
        <v>0</v>
      </c>
    </row>
    <row r="881" spans="1:12" x14ac:dyDescent="0.3">
      <c r="A881" t="s">
        <v>1879</v>
      </c>
      <c r="B881" t="s">
        <v>75</v>
      </c>
      <c r="C881" t="s">
        <v>28</v>
      </c>
      <c r="D881">
        <v>40</v>
      </c>
      <c r="E881" t="s">
        <v>233</v>
      </c>
      <c r="F881" t="s">
        <v>30</v>
      </c>
      <c r="G881" s="1">
        <v>45247</v>
      </c>
      <c r="H881" t="s">
        <v>1880</v>
      </c>
      <c r="I881" t="s">
        <v>375</v>
      </c>
      <c r="J881">
        <v>-8954787697</v>
      </c>
      <c r="K881" t="s">
        <v>33</v>
      </c>
      <c r="L881" t="b">
        <v>0</v>
      </c>
    </row>
    <row r="882" spans="1:12" x14ac:dyDescent="0.3">
      <c r="A882" t="s">
        <v>1881</v>
      </c>
      <c r="B882" t="s">
        <v>75</v>
      </c>
      <c r="C882" t="s">
        <v>28</v>
      </c>
      <c r="E882" t="s">
        <v>98</v>
      </c>
      <c r="F882" t="s">
        <v>36</v>
      </c>
      <c r="G882" s="1">
        <v>44543</v>
      </c>
      <c r="H882" t="s">
        <v>1882</v>
      </c>
      <c r="I882" t="s">
        <v>375</v>
      </c>
      <c r="J882">
        <v>-9992751757</v>
      </c>
      <c r="K882" t="s">
        <v>45</v>
      </c>
      <c r="L882" t="b">
        <v>1</v>
      </c>
    </row>
    <row r="883" spans="1:12" x14ac:dyDescent="0.3">
      <c r="A883" t="s">
        <v>1883</v>
      </c>
      <c r="B883" t="s">
        <v>67</v>
      </c>
      <c r="C883" t="s">
        <v>106</v>
      </c>
      <c r="D883">
        <v>25</v>
      </c>
      <c r="E883" t="s">
        <v>48</v>
      </c>
      <c r="F883" t="s">
        <v>30</v>
      </c>
      <c r="G883" s="1">
        <v>44572</v>
      </c>
      <c r="H883" t="s">
        <v>1884</v>
      </c>
      <c r="I883" t="s">
        <v>124</v>
      </c>
      <c r="J883">
        <v>-8914444982</v>
      </c>
      <c r="K883" t="s">
        <v>25</v>
      </c>
      <c r="L883" t="b">
        <v>0</v>
      </c>
    </row>
    <row r="884" spans="1:12" x14ac:dyDescent="0.3">
      <c r="A884" t="s">
        <v>1885</v>
      </c>
      <c r="B884" t="s">
        <v>67</v>
      </c>
      <c r="C884" t="s">
        <v>41</v>
      </c>
      <c r="D884">
        <v>40</v>
      </c>
      <c r="E884" t="s">
        <v>386</v>
      </c>
      <c r="F884" t="s">
        <v>16</v>
      </c>
      <c r="G884" s="1">
        <v>44397</v>
      </c>
      <c r="H884" t="s">
        <v>1886</v>
      </c>
      <c r="I884" t="s">
        <v>70</v>
      </c>
      <c r="J884">
        <v>-5539354357</v>
      </c>
      <c r="K884" t="s">
        <v>25</v>
      </c>
      <c r="L884" t="b">
        <v>1</v>
      </c>
    </row>
    <row r="885" spans="1:12" x14ac:dyDescent="0.3">
      <c r="A885" t="s">
        <v>1887</v>
      </c>
      <c r="B885" t="s">
        <v>61</v>
      </c>
      <c r="C885" t="s">
        <v>47</v>
      </c>
      <c r="D885">
        <v>40</v>
      </c>
      <c r="E885" t="s">
        <v>267</v>
      </c>
      <c r="F885" t="s">
        <v>16</v>
      </c>
      <c r="G885" s="1">
        <v>45203</v>
      </c>
      <c r="H885" t="s">
        <v>1888</v>
      </c>
      <c r="I885" t="s">
        <v>100</v>
      </c>
      <c r="J885">
        <v>-6449639242</v>
      </c>
      <c r="K885" t="s">
        <v>25</v>
      </c>
      <c r="L885" t="b">
        <v>1</v>
      </c>
    </row>
    <row r="886" spans="1:12" x14ac:dyDescent="0.3">
      <c r="A886" t="s">
        <v>1889</v>
      </c>
      <c r="B886" t="s">
        <v>40</v>
      </c>
      <c r="C886" t="s">
        <v>47</v>
      </c>
      <c r="D886">
        <v>35</v>
      </c>
      <c r="E886" t="s">
        <v>244</v>
      </c>
      <c r="F886" t="s">
        <v>36</v>
      </c>
      <c r="G886" s="1">
        <v>44515</v>
      </c>
      <c r="H886" t="s">
        <v>1890</v>
      </c>
      <c r="I886" t="s">
        <v>214</v>
      </c>
      <c r="J886">
        <v>-5885379820</v>
      </c>
      <c r="K886" t="s">
        <v>19</v>
      </c>
      <c r="L886" t="b">
        <v>0</v>
      </c>
    </row>
    <row r="887" spans="1:12" x14ac:dyDescent="0.3">
      <c r="A887" t="s">
        <v>1891</v>
      </c>
      <c r="B887" t="s">
        <v>75</v>
      </c>
      <c r="C887" t="s">
        <v>28</v>
      </c>
      <c r="D887">
        <v>25</v>
      </c>
      <c r="E887" t="s">
        <v>98</v>
      </c>
      <c r="F887" t="s">
        <v>16</v>
      </c>
      <c r="G887" s="1">
        <v>44931</v>
      </c>
      <c r="H887" t="s">
        <v>1892</v>
      </c>
      <c r="I887" t="s">
        <v>375</v>
      </c>
      <c r="J887">
        <v>-4339527535</v>
      </c>
      <c r="K887" t="s">
        <v>33</v>
      </c>
      <c r="L887" t="b">
        <v>0</v>
      </c>
    </row>
    <row r="888" spans="1:12" x14ac:dyDescent="0.3">
      <c r="A888" t="s">
        <v>1893</v>
      </c>
      <c r="B888" t="s">
        <v>75</v>
      </c>
      <c r="C888" t="s">
        <v>142</v>
      </c>
      <c r="E888" t="s">
        <v>187</v>
      </c>
      <c r="F888" t="s">
        <v>16</v>
      </c>
      <c r="G888" s="1">
        <v>45308</v>
      </c>
      <c r="H888" t="s">
        <v>1894</v>
      </c>
      <c r="I888" t="s">
        <v>436</v>
      </c>
      <c r="J888">
        <v>-7497852490</v>
      </c>
      <c r="K888" t="s">
        <v>25</v>
      </c>
      <c r="L888" t="b">
        <v>0</v>
      </c>
    </row>
    <row r="889" spans="1:12" x14ac:dyDescent="0.3">
      <c r="A889" t="s">
        <v>1895</v>
      </c>
      <c r="B889" t="s">
        <v>80</v>
      </c>
      <c r="C889" t="s">
        <v>106</v>
      </c>
      <c r="D889">
        <v>30</v>
      </c>
      <c r="E889" t="s">
        <v>386</v>
      </c>
      <c r="F889" t="s">
        <v>36</v>
      </c>
      <c r="G889" s="1">
        <v>44302</v>
      </c>
      <c r="H889" t="s">
        <v>1896</v>
      </c>
      <c r="I889" t="s">
        <v>197</v>
      </c>
      <c r="J889">
        <v>-4168601346</v>
      </c>
      <c r="K889" t="s">
        <v>25</v>
      </c>
      <c r="L889" t="b">
        <v>0</v>
      </c>
    </row>
    <row r="890" spans="1:12" x14ac:dyDescent="0.3">
      <c r="A890" t="s">
        <v>1897</v>
      </c>
      <c r="B890" t="s">
        <v>13</v>
      </c>
      <c r="C890" t="s">
        <v>21</v>
      </c>
      <c r="D890">
        <v>30</v>
      </c>
      <c r="E890" t="s">
        <v>270</v>
      </c>
      <c r="F890" t="s">
        <v>16</v>
      </c>
      <c r="G890" s="1">
        <v>44600</v>
      </c>
      <c r="H890" t="s">
        <v>1898</v>
      </c>
      <c r="I890" t="s">
        <v>24</v>
      </c>
      <c r="J890">
        <v>-7894896339</v>
      </c>
      <c r="K890" t="s">
        <v>33</v>
      </c>
      <c r="L890" t="b">
        <v>0</v>
      </c>
    </row>
    <row r="891" spans="1:12" x14ac:dyDescent="0.3">
      <c r="A891" t="s">
        <v>1899</v>
      </c>
      <c r="B891" t="s">
        <v>75</v>
      </c>
      <c r="C891" t="s">
        <v>142</v>
      </c>
      <c r="D891">
        <v>25</v>
      </c>
      <c r="E891" t="s">
        <v>267</v>
      </c>
      <c r="F891" t="s">
        <v>16</v>
      </c>
      <c r="G891" s="1">
        <v>45079</v>
      </c>
      <c r="H891" t="s">
        <v>1900</v>
      </c>
      <c r="I891" t="s">
        <v>436</v>
      </c>
      <c r="J891">
        <v>-6791766511</v>
      </c>
      <c r="K891" t="s">
        <v>25</v>
      </c>
      <c r="L891" t="b">
        <v>0</v>
      </c>
    </row>
    <row r="892" spans="1:12" x14ac:dyDescent="0.3">
      <c r="A892" t="s">
        <v>1901</v>
      </c>
      <c r="B892" t="s">
        <v>61</v>
      </c>
      <c r="C892" t="s">
        <v>14</v>
      </c>
      <c r="D892">
        <v>40</v>
      </c>
      <c r="E892" t="s">
        <v>63</v>
      </c>
      <c r="F892" t="s">
        <v>30</v>
      </c>
      <c r="G892" s="1">
        <v>44565</v>
      </c>
      <c r="H892" t="s">
        <v>1902</v>
      </c>
      <c r="I892" t="s">
        <v>200</v>
      </c>
      <c r="J892">
        <v>-2150014187</v>
      </c>
      <c r="K892" t="s">
        <v>45</v>
      </c>
      <c r="L892" t="b">
        <v>0</v>
      </c>
    </row>
    <row r="893" spans="1:12" x14ac:dyDescent="0.3">
      <c r="A893" t="s">
        <v>1903</v>
      </c>
      <c r="B893" t="s">
        <v>61</v>
      </c>
      <c r="C893" t="s">
        <v>14</v>
      </c>
      <c r="D893">
        <v>25</v>
      </c>
      <c r="E893" t="s">
        <v>91</v>
      </c>
      <c r="F893" t="s">
        <v>16</v>
      </c>
      <c r="G893" s="1">
        <v>44405</v>
      </c>
      <c r="H893" t="s">
        <v>1904</v>
      </c>
      <c r="I893" t="s">
        <v>200</v>
      </c>
      <c r="J893">
        <v>-4216309000</v>
      </c>
      <c r="K893" t="s">
        <v>33</v>
      </c>
      <c r="L893" t="b">
        <v>1</v>
      </c>
    </row>
    <row r="894" spans="1:12" x14ac:dyDescent="0.3">
      <c r="A894" t="s">
        <v>1905</v>
      </c>
      <c r="B894" t="s">
        <v>75</v>
      </c>
      <c r="C894" t="s">
        <v>142</v>
      </c>
      <c r="D894">
        <v>40</v>
      </c>
      <c r="E894" t="s">
        <v>138</v>
      </c>
      <c r="F894" t="s">
        <v>16</v>
      </c>
      <c r="G894" s="1">
        <v>45646</v>
      </c>
      <c r="H894" t="s">
        <v>1906</v>
      </c>
      <c r="I894" t="s">
        <v>436</v>
      </c>
      <c r="J894">
        <v>-5944633398</v>
      </c>
      <c r="K894" t="s">
        <v>33</v>
      </c>
      <c r="L894" t="b">
        <v>1</v>
      </c>
    </row>
    <row r="895" spans="1:12" x14ac:dyDescent="0.3">
      <c r="A895" t="s">
        <v>1907</v>
      </c>
      <c r="B895" t="s">
        <v>61</v>
      </c>
      <c r="C895" t="s">
        <v>28</v>
      </c>
      <c r="E895" t="s">
        <v>126</v>
      </c>
      <c r="F895" t="s">
        <v>16</v>
      </c>
      <c r="G895" s="1">
        <v>44674</v>
      </c>
      <c r="H895" t="s">
        <v>1908</v>
      </c>
      <c r="I895" t="s">
        <v>140</v>
      </c>
      <c r="J895">
        <v>-9485320894</v>
      </c>
      <c r="K895" t="s">
        <v>33</v>
      </c>
      <c r="L895" t="b">
        <v>1</v>
      </c>
    </row>
    <row r="896" spans="1:12" x14ac:dyDescent="0.3">
      <c r="A896" t="s">
        <v>1909</v>
      </c>
      <c r="B896" t="s">
        <v>67</v>
      </c>
      <c r="C896" t="s">
        <v>21</v>
      </c>
      <c r="E896" t="s">
        <v>130</v>
      </c>
      <c r="F896" t="s">
        <v>36</v>
      </c>
      <c r="G896" s="1">
        <v>43860</v>
      </c>
      <c r="H896" t="s">
        <v>1910</v>
      </c>
      <c r="I896" t="s">
        <v>265</v>
      </c>
      <c r="J896">
        <v>-3263890218</v>
      </c>
      <c r="K896" t="s">
        <v>45</v>
      </c>
      <c r="L896" t="b">
        <v>1</v>
      </c>
    </row>
    <row r="897" spans="1:12" x14ac:dyDescent="0.3">
      <c r="A897" t="s">
        <v>1911</v>
      </c>
      <c r="B897" t="s">
        <v>67</v>
      </c>
      <c r="C897" t="s">
        <v>21</v>
      </c>
      <c r="D897">
        <v>30</v>
      </c>
      <c r="E897" t="s">
        <v>251</v>
      </c>
      <c r="F897" t="s">
        <v>30</v>
      </c>
      <c r="G897" s="1">
        <v>44286</v>
      </c>
      <c r="H897" t="s">
        <v>1912</v>
      </c>
      <c r="I897" t="s">
        <v>265</v>
      </c>
      <c r="J897">
        <v>-9471136336</v>
      </c>
      <c r="K897" t="s">
        <v>33</v>
      </c>
      <c r="L897" t="b">
        <v>1</v>
      </c>
    </row>
    <row r="898" spans="1:12" x14ac:dyDescent="0.3">
      <c r="A898" t="s">
        <v>1913</v>
      </c>
      <c r="B898" t="s">
        <v>61</v>
      </c>
      <c r="C898" t="s">
        <v>106</v>
      </c>
      <c r="E898" t="s">
        <v>42</v>
      </c>
      <c r="F898" t="s">
        <v>16</v>
      </c>
      <c r="G898" s="1">
        <v>43913</v>
      </c>
      <c r="H898" t="s">
        <v>1914</v>
      </c>
      <c r="I898" t="s">
        <v>607</v>
      </c>
      <c r="J898">
        <v>-9223410345</v>
      </c>
      <c r="K898" t="s">
        <v>45</v>
      </c>
      <c r="L898" t="b">
        <v>0</v>
      </c>
    </row>
    <row r="899" spans="1:12" x14ac:dyDescent="0.3">
      <c r="A899" t="s">
        <v>1915</v>
      </c>
      <c r="B899" t="s">
        <v>27</v>
      </c>
      <c r="C899" t="s">
        <v>21</v>
      </c>
      <c r="D899">
        <v>40</v>
      </c>
      <c r="E899" t="s">
        <v>87</v>
      </c>
      <c r="F899" t="s">
        <v>36</v>
      </c>
      <c r="G899" s="1">
        <v>45489</v>
      </c>
      <c r="H899" t="s">
        <v>1916</v>
      </c>
      <c r="I899" t="s">
        <v>93</v>
      </c>
      <c r="J899">
        <v>-9967331166</v>
      </c>
      <c r="K899" t="s">
        <v>33</v>
      </c>
      <c r="L899" t="b">
        <v>1</v>
      </c>
    </row>
    <row r="900" spans="1:12" x14ac:dyDescent="0.3">
      <c r="A900" t="s">
        <v>1917</v>
      </c>
      <c r="B900" t="s">
        <v>75</v>
      </c>
      <c r="C900" t="s">
        <v>14</v>
      </c>
      <c r="D900">
        <v>40</v>
      </c>
      <c r="E900" t="s">
        <v>120</v>
      </c>
      <c r="F900" t="s">
        <v>30</v>
      </c>
      <c r="G900" s="1">
        <v>45373</v>
      </c>
      <c r="H900" t="s">
        <v>1918</v>
      </c>
      <c r="I900" t="s">
        <v>469</v>
      </c>
      <c r="J900">
        <v>-7269608436</v>
      </c>
      <c r="K900" t="s">
        <v>19</v>
      </c>
      <c r="L900" t="b">
        <v>1</v>
      </c>
    </row>
    <row r="901" spans="1:12" x14ac:dyDescent="0.3">
      <c r="A901" t="s">
        <v>1919</v>
      </c>
      <c r="B901" t="s">
        <v>67</v>
      </c>
      <c r="C901" t="s">
        <v>41</v>
      </c>
      <c r="D901">
        <v>30</v>
      </c>
      <c r="E901" t="s">
        <v>172</v>
      </c>
      <c r="F901" t="s">
        <v>16</v>
      </c>
      <c r="G901" s="1">
        <v>45157</v>
      </c>
      <c r="H901" t="s">
        <v>322</v>
      </c>
      <c r="I901" t="s">
        <v>70</v>
      </c>
      <c r="J901">
        <v>-6855078966</v>
      </c>
      <c r="K901" t="s">
        <v>25</v>
      </c>
      <c r="L901" t="b">
        <v>1</v>
      </c>
    </row>
    <row r="902" spans="1:12" x14ac:dyDescent="0.3">
      <c r="A902" t="s">
        <v>1920</v>
      </c>
      <c r="B902" t="s">
        <v>35</v>
      </c>
      <c r="C902" t="s">
        <v>28</v>
      </c>
      <c r="D902">
        <v>30</v>
      </c>
      <c r="E902" t="s">
        <v>270</v>
      </c>
      <c r="F902" t="s">
        <v>30</v>
      </c>
      <c r="G902" s="1">
        <v>45361</v>
      </c>
      <c r="H902" t="s">
        <v>1921</v>
      </c>
      <c r="I902" t="s">
        <v>323</v>
      </c>
      <c r="J902">
        <v>-9352196262</v>
      </c>
      <c r="K902" t="s">
        <v>19</v>
      </c>
      <c r="L902" t="b">
        <v>1</v>
      </c>
    </row>
    <row r="903" spans="1:12" x14ac:dyDescent="0.3">
      <c r="A903" t="s">
        <v>1922</v>
      </c>
      <c r="B903" t="s">
        <v>75</v>
      </c>
      <c r="C903" t="s">
        <v>21</v>
      </c>
      <c r="D903">
        <v>30</v>
      </c>
      <c r="E903" t="s">
        <v>270</v>
      </c>
      <c r="F903" t="s">
        <v>16</v>
      </c>
      <c r="G903" s="1">
        <v>45448</v>
      </c>
      <c r="H903" t="s">
        <v>1923</v>
      </c>
      <c r="I903" t="s">
        <v>480</v>
      </c>
      <c r="J903">
        <v>-3556434368</v>
      </c>
      <c r="K903" t="s">
        <v>25</v>
      </c>
      <c r="L903" t="b">
        <v>1</v>
      </c>
    </row>
    <row r="904" spans="1:12" x14ac:dyDescent="0.3">
      <c r="A904" t="s">
        <v>1924</v>
      </c>
      <c r="B904" t="s">
        <v>27</v>
      </c>
      <c r="C904" t="s">
        <v>106</v>
      </c>
      <c r="D904">
        <v>25</v>
      </c>
      <c r="E904" t="s">
        <v>116</v>
      </c>
      <c r="F904" t="s">
        <v>36</v>
      </c>
      <c r="G904" s="1">
        <v>44918</v>
      </c>
      <c r="H904" t="s">
        <v>1925</v>
      </c>
      <c r="I904" t="s">
        <v>194</v>
      </c>
      <c r="J904">
        <v>-7093170694</v>
      </c>
      <c r="K904" t="s">
        <v>45</v>
      </c>
      <c r="L904" t="b">
        <v>1</v>
      </c>
    </row>
    <row r="905" spans="1:12" x14ac:dyDescent="0.3">
      <c r="A905" t="s">
        <v>1926</v>
      </c>
      <c r="B905" t="s">
        <v>35</v>
      </c>
      <c r="C905" t="s">
        <v>14</v>
      </c>
      <c r="E905" t="s">
        <v>113</v>
      </c>
      <c r="F905" t="s">
        <v>16</v>
      </c>
      <c r="G905" s="1">
        <v>45444</v>
      </c>
      <c r="H905" t="s">
        <v>1927</v>
      </c>
      <c r="I905" t="s">
        <v>38</v>
      </c>
      <c r="J905">
        <v>-5607676163</v>
      </c>
      <c r="K905" t="s">
        <v>19</v>
      </c>
      <c r="L905" t="b">
        <v>1</v>
      </c>
    </row>
    <row r="906" spans="1:12" x14ac:dyDescent="0.3">
      <c r="A906" t="s">
        <v>1928</v>
      </c>
      <c r="B906" t="s">
        <v>40</v>
      </c>
      <c r="C906" t="s">
        <v>41</v>
      </c>
      <c r="D906">
        <v>25</v>
      </c>
      <c r="E906" t="s">
        <v>259</v>
      </c>
      <c r="F906" t="s">
        <v>36</v>
      </c>
      <c r="G906" s="1">
        <v>45649</v>
      </c>
      <c r="H906" t="s">
        <v>1929</v>
      </c>
      <c r="I906" t="s">
        <v>44</v>
      </c>
      <c r="J906">
        <v>-5345472238</v>
      </c>
      <c r="K906" t="s">
        <v>33</v>
      </c>
      <c r="L906" t="b">
        <v>0</v>
      </c>
    </row>
    <row r="907" spans="1:12" x14ac:dyDescent="0.3">
      <c r="A907" t="s">
        <v>1930</v>
      </c>
      <c r="B907" t="s">
        <v>75</v>
      </c>
      <c r="C907" t="s">
        <v>62</v>
      </c>
      <c r="E907" t="s">
        <v>312</v>
      </c>
      <c r="F907" t="s">
        <v>36</v>
      </c>
      <c r="G907" s="1">
        <v>44189</v>
      </c>
      <c r="H907" t="s">
        <v>1931</v>
      </c>
      <c r="I907" t="s">
        <v>132</v>
      </c>
      <c r="J907">
        <v>-8983065030</v>
      </c>
      <c r="K907" t="s">
        <v>25</v>
      </c>
      <c r="L907" t="b">
        <v>0</v>
      </c>
    </row>
    <row r="908" spans="1:12" x14ac:dyDescent="0.3">
      <c r="A908" t="s">
        <v>1932</v>
      </c>
      <c r="B908" t="s">
        <v>67</v>
      </c>
      <c r="C908" t="s">
        <v>62</v>
      </c>
      <c r="D908">
        <v>30</v>
      </c>
      <c r="E908" t="s">
        <v>76</v>
      </c>
      <c r="F908" t="s">
        <v>30</v>
      </c>
      <c r="G908" s="1">
        <v>44063</v>
      </c>
      <c r="H908" t="s">
        <v>1933</v>
      </c>
      <c r="I908" t="s">
        <v>257</v>
      </c>
      <c r="J908">
        <v>-2198041846</v>
      </c>
      <c r="K908" t="s">
        <v>25</v>
      </c>
      <c r="L908" t="b">
        <v>1</v>
      </c>
    </row>
    <row r="909" spans="1:12" x14ac:dyDescent="0.3">
      <c r="A909" t="s">
        <v>1934</v>
      </c>
      <c r="B909" t="s">
        <v>67</v>
      </c>
      <c r="C909" t="s">
        <v>41</v>
      </c>
      <c r="D909">
        <v>30</v>
      </c>
      <c r="E909" t="s">
        <v>172</v>
      </c>
      <c r="F909" t="s">
        <v>36</v>
      </c>
      <c r="G909" s="1">
        <v>44862</v>
      </c>
      <c r="H909" t="s">
        <v>1935</v>
      </c>
      <c r="I909" t="s">
        <v>70</v>
      </c>
      <c r="J909">
        <v>-2426423641</v>
      </c>
      <c r="K909" t="s">
        <v>19</v>
      </c>
      <c r="L909" t="b">
        <v>0</v>
      </c>
    </row>
    <row r="910" spans="1:12" x14ac:dyDescent="0.3">
      <c r="A910" t="s">
        <v>1936</v>
      </c>
      <c r="B910" t="s">
        <v>13</v>
      </c>
      <c r="C910" t="s">
        <v>14</v>
      </c>
      <c r="D910">
        <v>35</v>
      </c>
      <c r="E910" t="s">
        <v>251</v>
      </c>
      <c r="F910" t="s">
        <v>36</v>
      </c>
      <c r="G910" s="1">
        <v>44857</v>
      </c>
      <c r="H910" t="s">
        <v>1937</v>
      </c>
      <c r="I910" t="s">
        <v>18</v>
      </c>
      <c r="J910">
        <v>-8131909247</v>
      </c>
      <c r="K910" t="s">
        <v>45</v>
      </c>
      <c r="L910" t="b">
        <v>0</v>
      </c>
    </row>
    <row r="911" spans="1:12" x14ac:dyDescent="0.3">
      <c r="A911" t="s">
        <v>1938</v>
      </c>
      <c r="B911" t="s">
        <v>35</v>
      </c>
      <c r="C911" t="s">
        <v>106</v>
      </c>
      <c r="D911">
        <v>40</v>
      </c>
      <c r="E911" t="s">
        <v>210</v>
      </c>
      <c r="F911" t="s">
        <v>30</v>
      </c>
      <c r="G911" s="1">
        <v>45250</v>
      </c>
      <c r="H911" t="s">
        <v>1939</v>
      </c>
      <c r="I911" t="s">
        <v>307</v>
      </c>
      <c r="J911">
        <v>-7623039110</v>
      </c>
      <c r="K911" t="s">
        <v>19</v>
      </c>
      <c r="L911" t="b">
        <v>0</v>
      </c>
    </row>
    <row r="912" spans="1:12" x14ac:dyDescent="0.3">
      <c r="A912" t="s">
        <v>1940</v>
      </c>
      <c r="B912" t="s">
        <v>13</v>
      </c>
      <c r="C912" t="s">
        <v>41</v>
      </c>
      <c r="D912">
        <v>30</v>
      </c>
      <c r="E912" t="s">
        <v>22</v>
      </c>
      <c r="F912" t="s">
        <v>16</v>
      </c>
      <c r="G912" s="1">
        <v>44631</v>
      </c>
      <c r="H912" t="s">
        <v>1941</v>
      </c>
      <c r="I912" t="s">
        <v>170</v>
      </c>
      <c r="J912">
        <v>-4281785227</v>
      </c>
      <c r="K912" t="s">
        <v>45</v>
      </c>
      <c r="L912" t="b">
        <v>0</v>
      </c>
    </row>
    <row r="913" spans="1:12" x14ac:dyDescent="0.3">
      <c r="A913" t="s">
        <v>1942</v>
      </c>
      <c r="B913" t="s">
        <v>13</v>
      </c>
      <c r="C913" t="s">
        <v>28</v>
      </c>
      <c r="D913">
        <v>25</v>
      </c>
      <c r="E913" t="s">
        <v>138</v>
      </c>
      <c r="F913" t="s">
        <v>16</v>
      </c>
      <c r="G913" s="1">
        <v>45258</v>
      </c>
      <c r="H913" t="s">
        <v>1943</v>
      </c>
      <c r="I913" t="s">
        <v>56</v>
      </c>
      <c r="J913">
        <v>-2305248087</v>
      </c>
      <c r="K913" t="s">
        <v>45</v>
      </c>
      <c r="L913" t="b">
        <v>1</v>
      </c>
    </row>
    <row r="914" spans="1:12" x14ac:dyDescent="0.3">
      <c r="A914" t="s">
        <v>1944</v>
      </c>
      <c r="B914" t="s">
        <v>67</v>
      </c>
      <c r="C914" t="s">
        <v>28</v>
      </c>
      <c r="E914" t="s">
        <v>278</v>
      </c>
      <c r="F914" t="s">
        <v>36</v>
      </c>
      <c r="G914" s="1">
        <v>44684</v>
      </c>
      <c r="H914" t="s">
        <v>1945</v>
      </c>
      <c r="I914" t="s">
        <v>283</v>
      </c>
      <c r="J914">
        <v>-622072238</v>
      </c>
      <c r="K914" t="s">
        <v>25</v>
      </c>
      <c r="L914" t="b">
        <v>0</v>
      </c>
    </row>
    <row r="915" spans="1:12" x14ac:dyDescent="0.3">
      <c r="A915" t="s">
        <v>1946</v>
      </c>
      <c r="B915" t="s">
        <v>61</v>
      </c>
      <c r="C915" t="s">
        <v>62</v>
      </c>
      <c r="D915">
        <v>40</v>
      </c>
      <c r="E915" t="s">
        <v>251</v>
      </c>
      <c r="F915" t="s">
        <v>36</v>
      </c>
      <c r="G915" s="1">
        <v>45341</v>
      </c>
      <c r="H915" t="s">
        <v>1947</v>
      </c>
      <c r="I915" t="s">
        <v>65</v>
      </c>
      <c r="J915">
        <v>-5947372131</v>
      </c>
      <c r="K915" t="s">
        <v>19</v>
      </c>
      <c r="L915" t="b">
        <v>0</v>
      </c>
    </row>
    <row r="916" spans="1:12" x14ac:dyDescent="0.3">
      <c r="A916" t="s">
        <v>1948</v>
      </c>
      <c r="B916" t="s">
        <v>13</v>
      </c>
      <c r="C916" t="s">
        <v>21</v>
      </c>
      <c r="D916">
        <v>25</v>
      </c>
      <c r="E916" t="s">
        <v>102</v>
      </c>
      <c r="F916" t="s">
        <v>30</v>
      </c>
      <c r="G916" s="1">
        <v>44518</v>
      </c>
      <c r="H916" t="s">
        <v>1949</v>
      </c>
      <c r="I916" t="s">
        <v>24</v>
      </c>
      <c r="J916">
        <v>-9016204786</v>
      </c>
      <c r="K916" t="s">
        <v>19</v>
      </c>
      <c r="L916" t="b">
        <v>0</v>
      </c>
    </row>
    <row r="917" spans="1:12" x14ac:dyDescent="0.3">
      <c r="A917" t="s">
        <v>1950</v>
      </c>
      <c r="B917" t="s">
        <v>40</v>
      </c>
      <c r="C917" t="s">
        <v>106</v>
      </c>
      <c r="D917">
        <v>40</v>
      </c>
      <c r="E917" t="s">
        <v>259</v>
      </c>
      <c r="F917" t="s">
        <v>30</v>
      </c>
      <c r="G917" s="1">
        <v>44916</v>
      </c>
      <c r="H917" t="s">
        <v>1951</v>
      </c>
      <c r="I917" t="s">
        <v>128</v>
      </c>
      <c r="J917">
        <v>-6886878598</v>
      </c>
      <c r="K917" t="s">
        <v>45</v>
      </c>
      <c r="L917" t="b">
        <v>1</v>
      </c>
    </row>
    <row r="918" spans="1:12" x14ac:dyDescent="0.3">
      <c r="A918" t="s">
        <v>1952</v>
      </c>
      <c r="B918" t="s">
        <v>35</v>
      </c>
      <c r="C918" t="s">
        <v>62</v>
      </c>
      <c r="E918" t="s">
        <v>138</v>
      </c>
      <c r="F918" t="s">
        <v>16</v>
      </c>
      <c r="G918" s="1">
        <v>45447</v>
      </c>
      <c r="H918" t="s">
        <v>1953</v>
      </c>
      <c r="I918" t="s">
        <v>380</v>
      </c>
      <c r="J918">
        <v>-6486287202</v>
      </c>
      <c r="K918" t="s">
        <v>19</v>
      </c>
      <c r="L918" t="b">
        <v>1</v>
      </c>
    </row>
    <row r="919" spans="1:12" x14ac:dyDescent="0.3">
      <c r="A919" t="s">
        <v>1954</v>
      </c>
      <c r="B919" t="s">
        <v>35</v>
      </c>
      <c r="C919" t="s">
        <v>21</v>
      </c>
      <c r="D919">
        <v>25</v>
      </c>
      <c r="E919" t="s">
        <v>138</v>
      </c>
      <c r="F919" t="s">
        <v>36</v>
      </c>
      <c r="G919" s="1">
        <v>44764</v>
      </c>
      <c r="H919" t="s">
        <v>1955</v>
      </c>
      <c r="I919" t="s">
        <v>183</v>
      </c>
      <c r="J919">
        <v>-1954196663</v>
      </c>
      <c r="K919" t="s">
        <v>33</v>
      </c>
      <c r="L919" t="b">
        <v>1</v>
      </c>
    </row>
    <row r="920" spans="1:12" x14ac:dyDescent="0.3">
      <c r="A920" t="s">
        <v>1956</v>
      </c>
      <c r="B920" t="s">
        <v>61</v>
      </c>
      <c r="C920" t="s">
        <v>21</v>
      </c>
      <c r="E920" t="s">
        <v>76</v>
      </c>
      <c r="F920" t="s">
        <v>16</v>
      </c>
      <c r="G920" s="1">
        <v>45549</v>
      </c>
      <c r="H920" t="s">
        <v>1957</v>
      </c>
      <c r="I920" t="s">
        <v>147</v>
      </c>
      <c r="J920">
        <v>-5057303626</v>
      </c>
      <c r="K920" t="s">
        <v>33</v>
      </c>
      <c r="L920" t="b">
        <v>1</v>
      </c>
    </row>
    <row r="921" spans="1:12" x14ac:dyDescent="0.3">
      <c r="A921" t="s">
        <v>1958</v>
      </c>
      <c r="B921" t="s">
        <v>61</v>
      </c>
      <c r="C921" t="s">
        <v>47</v>
      </c>
      <c r="D921">
        <v>30</v>
      </c>
      <c r="E921" t="s">
        <v>120</v>
      </c>
      <c r="F921" t="s">
        <v>16</v>
      </c>
      <c r="G921" s="1">
        <v>44479</v>
      </c>
      <c r="H921" t="s">
        <v>1959</v>
      </c>
      <c r="I921" t="s">
        <v>100</v>
      </c>
      <c r="J921">
        <v>-9246320373</v>
      </c>
      <c r="K921" t="s">
        <v>19</v>
      </c>
      <c r="L921" t="b">
        <v>1</v>
      </c>
    </row>
    <row r="922" spans="1:12" x14ac:dyDescent="0.3">
      <c r="A922" t="s">
        <v>1960</v>
      </c>
      <c r="B922" t="s">
        <v>40</v>
      </c>
      <c r="C922" t="s">
        <v>28</v>
      </c>
      <c r="D922">
        <v>30</v>
      </c>
      <c r="E922" t="s">
        <v>102</v>
      </c>
      <c r="F922" t="s">
        <v>30</v>
      </c>
      <c r="G922" s="1">
        <v>43902</v>
      </c>
      <c r="H922" t="s">
        <v>1961</v>
      </c>
      <c r="I922" t="s">
        <v>53</v>
      </c>
      <c r="J922">
        <v>-7677537259</v>
      </c>
      <c r="K922" t="s">
        <v>19</v>
      </c>
      <c r="L922" t="b">
        <v>1</v>
      </c>
    </row>
    <row r="923" spans="1:12" x14ac:dyDescent="0.3">
      <c r="A923" t="s">
        <v>1962</v>
      </c>
      <c r="B923" t="s">
        <v>61</v>
      </c>
      <c r="C923" t="s">
        <v>14</v>
      </c>
      <c r="D923">
        <v>35</v>
      </c>
      <c r="E923" t="s">
        <v>309</v>
      </c>
      <c r="F923" t="s">
        <v>16</v>
      </c>
      <c r="G923" s="1">
        <v>44923</v>
      </c>
      <c r="H923" t="s">
        <v>1963</v>
      </c>
      <c r="I923" t="s">
        <v>200</v>
      </c>
      <c r="J923">
        <v>-3214505765</v>
      </c>
      <c r="K923" t="s">
        <v>45</v>
      </c>
      <c r="L923" t="b">
        <v>1</v>
      </c>
    </row>
    <row r="924" spans="1:12" x14ac:dyDescent="0.3">
      <c r="A924" t="s">
        <v>1964</v>
      </c>
      <c r="B924" t="s">
        <v>80</v>
      </c>
      <c r="C924" t="s">
        <v>142</v>
      </c>
      <c r="D924">
        <v>40</v>
      </c>
      <c r="E924" t="s">
        <v>244</v>
      </c>
      <c r="F924" t="s">
        <v>36</v>
      </c>
      <c r="G924" s="1">
        <v>44150</v>
      </c>
      <c r="H924" t="s">
        <v>1965</v>
      </c>
      <c r="I924" t="s">
        <v>160</v>
      </c>
      <c r="J924">
        <v>-1945887070</v>
      </c>
      <c r="K924" t="s">
        <v>33</v>
      </c>
      <c r="L924" t="b">
        <v>0</v>
      </c>
    </row>
    <row r="925" spans="1:12" x14ac:dyDescent="0.3">
      <c r="A925" t="s">
        <v>1966</v>
      </c>
      <c r="B925" t="s">
        <v>40</v>
      </c>
      <c r="C925" t="s">
        <v>14</v>
      </c>
      <c r="D925">
        <v>35</v>
      </c>
      <c r="E925" t="s">
        <v>81</v>
      </c>
      <c r="F925" t="s">
        <v>30</v>
      </c>
      <c r="G925" s="1">
        <v>45196</v>
      </c>
      <c r="H925" t="s">
        <v>1967</v>
      </c>
      <c r="I925" t="s">
        <v>59</v>
      </c>
      <c r="J925">
        <v>-5534820127</v>
      </c>
      <c r="K925" t="s">
        <v>33</v>
      </c>
      <c r="L925" t="b">
        <v>0</v>
      </c>
    </row>
    <row r="926" spans="1:12" x14ac:dyDescent="0.3">
      <c r="A926" t="s">
        <v>1968</v>
      </c>
      <c r="B926" t="s">
        <v>75</v>
      </c>
      <c r="C926" t="s">
        <v>142</v>
      </c>
      <c r="D926">
        <v>35</v>
      </c>
      <c r="E926" t="s">
        <v>278</v>
      </c>
      <c r="F926" t="s">
        <v>30</v>
      </c>
      <c r="G926" s="1">
        <v>44811</v>
      </c>
      <c r="H926" t="s">
        <v>1969</v>
      </c>
      <c r="I926" t="s">
        <v>436</v>
      </c>
      <c r="J926">
        <v>-4008385075</v>
      </c>
      <c r="K926" t="s">
        <v>25</v>
      </c>
      <c r="L926" t="b">
        <v>0</v>
      </c>
    </row>
    <row r="927" spans="1:12" x14ac:dyDescent="0.3">
      <c r="A927" t="s">
        <v>1970</v>
      </c>
      <c r="B927" t="s">
        <v>13</v>
      </c>
      <c r="C927" t="s">
        <v>41</v>
      </c>
      <c r="D927">
        <v>35</v>
      </c>
      <c r="E927" t="s">
        <v>42</v>
      </c>
      <c r="F927" t="s">
        <v>30</v>
      </c>
      <c r="G927" s="1">
        <v>45553</v>
      </c>
      <c r="H927" t="s">
        <v>1971</v>
      </c>
      <c r="I927" t="s">
        <v>170</v>
      </c>
      <c r="J927">
        <v>-5975954507</v>
      </c>
      <c r="K927" t="s">
        <v>45</v>
      </c>
      <c r="L927" t="b">
        <v>1</v>
      </c>
    </row>
    <row r="928" spans="1:12" x14ac:dyDescent="0.3">
      <c r="A928" t="s">
        <v>1972</v>
      </c>
      <c r="B928" t="s">
        <v>40</v>
      </c>
      <c r="C928" t="s">
        <v>28</v>
      </c>
      <c r="D928">
        <v>25</v>
      </c>
      <c r="E928" t="s">
        <v>259</v>
      </c>
      <c r="F928" t="s">
        <v>16</v>
      </c>
      <c r="G928" s="1">
        <v>45025</v>
      </c>
      <c r="H928" t="s">
        <v>1973</v>
      </c>
      <c r="I928" t="s">
        <v>53</v>
      </c>
      <c r="J928">
        <v>-9177680897</v>
      </c>
      <c r="K928" t="s">
        <v>25</v>
      </c>
      <c r="L928" t="b">
        <v>1</v>
      </c>
    </row>
    <row r="929" spans="1:12" x14ac:dyDescent="0.3">
      <c r="A929" t="s">
        <v>1974</v>
      </c>
      <c r="B929" t="s">
        <v>35</v>
      </c>
      <c r="C929" t="s">
        <v>21</v>
      </c>
      <c r="D929">
        <v>30</v>
      </c>
      <c r="E929" t="s">
        <v>187</v>
      </c>
      <c r="F929" t="s">
        <v>30</v>
      </c>
      <c r="G929" s="1">
        <v>45570</v>
      </c>
      <c r="H929" t="s">
        <v>1975</v>
      </c>
      <c r="I929" t="s">
        <v>183</v>
      </c>
      <c r="J929">
        <v>-1265742230</v>
      </c>
      <c r="K929" t="s">
        <v>33</v>
      </c>
      <c r="L929" t="b">
        <v>1</v>
      </c>
    </row>
    <row r="930" spans="1:12" x14ac:dyDescent="0.3">
      <c r="A930" t="s">
        <v>1976</v>
      </c>
      <c r="B930" t="s">
        <v>13</v>
      </c>
      <c r="C930" t="s">
        <v>106</v>
      </c>
      <c r="E930" t="s">
        <v>267</v>
      </c>
      <c r="F930" t="s">
        <v>36</v>
      </c>
      <c r="G930" s="1">
        <v>44481</v>
      </c>
      <c r="H930" t="s">
        <v>1977</v>
      </c>
      <c r="I930" t="s">
        <v>108</v>
      </c>
      <c r="J930">
        <v>-9646300401</v>
      </c>
      <c r="K930" t="s">
        <v>45</v>
      </c>
      <c r="L930" t="b">
        <v>1</v>
      </c>
    </row>
    <row r="931" spans="1:12" x14ac:dyDescent="0.3">
      <c r="A931" t="s">
        <v>1978</v>
      </c>
      <c r="B931" t="s">
        <v>27</v>
      </c>
      <c r="C931" t="s">
        <v>142</v>
      </c>
      <c r="D931">
        <v>35</v>
      </c>
      <c r="E931" t="s">
        <v>267</v>
      </c>
      <c r="F931" t="s">
        <v>30</v>
      </c>
      <c r="G931" s="1">
        <v>45579</v>
      </c>
      <c r="H931" t="s">
        <v>1979</v>
      </c>
      <c r="I931" t="s">
        <v>217</v>
      </c>
      <c r="J931">
        <v>-3693626893</v>
      </c>
      <c r="K931" t="s">
        <v>19</v>
      </c>
      <c r="L931" t="b">
        <v>1</v>
      </c>
    </row>
    <row r="932" spans="1:12" x14ac:dyDescent="0.3">
      <c r="A932" t="s">
        <v>1980</v>
      </c>
      <c r="B932" t="s">
        <v>27</v>
      </c>
      <c r="C932" t="s">
        <v>14</v>
      </c>
      <c r="D932">
        <v>35</v>
      </c>
      <c r="E932" t="s">
        <v>172</v>
      </c>
      <c r="F932" t="s">
        <v>36</v>
      </c>
      <c r="G932" s="1">
        <v>44743</v>
      </c>
      <c r="H932" t="s">
        <v>1981</v>
      </c>
      <c r="I932" t="s">
        <v>191</v>
      </c>
      <c r="J932">
        <v>-3012047136</v>
      </c>
      <c r="K932" t="s">
        <v>45</v>
      </c>
      <c r="L932" t="b">
        <v>0</v>
      </c>
    </row>
    <row r="933" spans="1:12" x14ac:dyDescent="0.3">
      <c r="A933" t="s">
        <v>1982</v>
      </c>
      <c r="B933" t="s">
        <v>75</v>
      </c>
      <c r="C933" t="s">
        <v>21</v>
      </c>
      <c r="D933">
        <v>40</v>
      </c>
      <c r="E933" t="s">
        <v>81</v>
      </c>
      <c r="F933" t="s">
        <v>16</v>
      </c>
      <c r="G933" s="1">
        <v>45481</v>
      </c>
      <c r="H933" t="s">
        <v>1983</v>
      </c>
      <c r="I933" t="s">
        <v>480</v>
      </c>
      <c r="J933">
        <v>-2711759573</v>
      </c>
      <c r="K933" t="s">
        <v>19</v>
      </c>
      <c r="L933" t="b">
        <v>0</v>
      </c>
    </row>
    <row r="934" spans="1:12" x14ac:dyDescent="0.3">
      <c r="A934" t="s">
        <v>1984</v>
      </c>
      <c r="B934" t="s">
        <v>80</v>
      </c>
      <c r="C934" t="s">
        <v>142</v>
      </c>
      <c r="D934">
        <v>30</v>
      </c>
      <c r="E934" t="s">
        <v>113</v>
      </c>
      <c r="F934" t="s">
        <v>16</v>
      </c>
      <c r="G934" s="1">
        <v>44125</v>
      </c>
      <c r="H934" t="s">
        <v>1985</v>
      </c>
      <c r="I934" t="s">
        <v>160</v>
      </c>
      <c r="J934">
        <v>-9885582983</v>
      </c>
      <c r="K934" t="s">
        <v>19</v>
      </c>
      <c r="L934" t="b">
        <v>1</v>
      </c>
    </row>
    <row r="935" spans="1:12" x14ac:dyDescent="0.3">
      <c r="A935" t="s">
        <v>1986</v>
      </c>
      <c r="B935" t="s">
        <v>40</v>
      </c>
      <c r="C935" t="s">
        <v>142</v>
      </c>
      <c r="D935">
        <v>25</v>
      </c>
      <c r="E935" t="s">
        <v>87</v>
      </c>
      <c r="F935" t="s">
        <v>16</v>
      </c>
      <c r="G935" s="1">
        <v>43844</v>
      </c>
      <c r="H935" t="s">
        <v>1987</v>
      </c>
      <c r="I935" t="s">
        <v>163</v>
      </c>
      <c r="J935">
        <v>-9330674583</v>
      </c>
      <c r="K935" t="s">
        <v>45</v>
      </c>
      <c r="L935" t="b">
        <v>1</v>
      </c>
    </row>
    <row r="936" spans="1:12" x14ac:dyDescent="0.3">
      <c r="A936" t="s">
        <v>1988</v>
      </c>
      <c r="B936" t="s">
        <v>80</v>
      </c>
      <c r="C936" t="s">
        <v>47</v>
      </c>
      <c r="D936">
        <v>30</v>
      </c>
      <c r="E936" t="s">
        <v>87</v>
      </c>
      <c r="F936" t="s">
        <v>30</v>
      </c>
      <c r="G936" s="1">
        <v>44994</v>
      </c>
      <c r="H936" t="s">
        <v>1989</v>
      </c>
      <c r="I936" t="s">
        <v>96</v>
      </c>
      <c r="J936">
        <v>-7609441282</v>
      </c>
      <c r="K936" t="s">
        <v>19</v>
      </c>
      <c r="L936" t="b">
        <v>1</v>
      </c>
    </row>
    <row r="937" spans="1:12" x14ac:dyDescent="0.3">
      <c r="A937" t="s">
        <v>1990</v>
      </c>
      <c r="B937" t="s">
        <v>61</v>
      </c>
      <c r="C937" t="s">
        <v>142</v>
      </c>
      <c r="D937">
        <v>40</v>
      </c>
      <c r="E937" t="s">
        <v>229</v>
      </c>
      <c r="F937" t="s">
        <v>36</v>
      </c>
      <c r="G937" s="1">
        <v>43917</v>
      </c>
      <c r="H937" t="s">
        <v>1991</v>
      </c>
      <c r="I937" t="s">
        <v>231</v>
      </c>
      <c r="J937">
        <v>-3372188565</v>
      </c>
      <c r="K937" t="s">
        <v>25</v>
      </c>
      <c r="L937" t="b">
        <v>1</v>
      </c>
    </row>
    <row r="938" spans="1:12" x14ac:dyDescent="0.3">
      <c r="A938" t="s">
        <v>1992</v>
      </c>
      <c r="B938" t="s">
        <v>35</v>
      </c>
      <c r="C938" t="s">
        <v>106</v>
      </c>
      <c r="D938">
        <v>40</v>
      </c>
      <c r="E938" t="s">
        <v>259</v>
      </c>
      <c r="F938" t="s">
        <v>36</v>
      </c>
      <c r="G938" s="1">
        <v>44290</v>
      </c>
      <c r="H938" t="s">
        <v>322</v>
      </c>
      <c r="I938" t="s">
        <v>307</v>
      </c>
      <c r="J938">
        <v>-6954132970</v>
      </c>
      <c r="K938" t="s">
        <v>33</v>
      </c>
      <c r="L938" t="b">
        <v>0</v>
      </c>
    </row>
    <row r="939" spans="1:12" x14ac:dyDescent="0.3">
      <c r="A939" t="s">
        <v>1993</v>
      </c>
      <c r="B939" t="s">
        <v>35</v>
      </c>
      <c r="C939" t="s">
        <v>28</v>
      </c>
      <c r="D939">
        <v>35</v>
      </c>
      <c r="E939" t="s">
        <v>386</v>
      </c>
      <c r="F939" t="s">
        <v>36</v>
      </c>
      <c r="G939" s="1">
        <v>44085</v>
      </c>
      <c r="H939" t="s">
        <v>1994</v>
      </c>
      <c r="I939" t="s">
        <v>323</v>
      </c>
      <c r="J939">
        <v>-5066626704</v>
      </c>
      <c r="K939" t="s">
        <v>19</v>
      </c>
      <c r="L939" t="b">
        <v>1</v>
      </c>
    </row>
    <row r="940" spans="1:12" x14ac:dyDescent="0.3">
      <c r="A940" t="s">
        <v>1995</v>
      </c>
      <c r="B940" t="s">
        <v>80</v>
      </c>
      <c r="C940" t="s">
        <v>106</v>
      </c>
      <c r="D940">
        <v>30</v>
      </c>
      <c r="E940" t="s">
        <v>116</v>
      </c>
      <c r="F940" t="s">
        <v>30</v>
      </c>
      <c r="G940" s="1">
        <v>44332</v>
      </c>
      <c r="H940" t="s">
        <v>1996</v>
      </c>
      <c r="I940" t="s">
        <v>197</v>
      </c>
      <c r="J940">
        <v>-5143776935</v>
      </c>
      <c r="K940" t="s">
        <v>25</v>
      </c>
      <c r="L940" t="b">
        <v>1</v>
      </c>
    </row>
    <row r="941" spans="1:12" x14ac:dyDescent="0.3">
      <c r="A941" t="s">
        <v>1997</v>
      </c>
      <c r="B941" t="s">
        <v>75</v>
      </c>
      <c r="C941" t="s">
        <v>62</v>
      </c>
      <c r="D941">
        <v>25</v>
      </c>
      <c r="E941" t="s">
        <v>259</v>
      </c>
      <c r="F941" t="s">
        <v>36</v>
      </c>
      <c r="G941" s="1">
        <v>45021</v>
      </c>
      <c r="H941" t="s">
        <v>1998</v>
      </c>
      <c r="I941" t="s">
        <v>132</v>
      </c>
      <c r="J941">
        <v>-6343925294</v>
      </c>
      <c r="K941" t="s">
        <v>19</v>
      </c>
      <c r="L941" t="b">
        <v>1</v>
      </c>
    </row>
    <row r="942" spans="1:12" x14ac:dyDescent="0.3">
      <c r="A942" t="s">
        <v>1999</v>
      </c>
      <c r="B942" t="s">
        <v>35</v>
      </c>
      <c r="C942" t="s">
        <v>21</v>
      </c>
      <c r="D942">
        <v>40</v>
      </c>
      <c r="E942" t="s">
        <v>278</v>
      </c>
      <c r="F942" t="s">
        <v>36</v>
      </c>
      <c r="G942" s="1">
        <v>44880</v>
      </c>
      <c r="H942" t="s">
        <v>322</v>
      </c>
      <c r="I942" t="s">
        <v>183</v>
      </c>
      <c r="J942">
        <v>-9611110285</v>
      </c>
      <c r="K942" t="s">
        <v>33</v>
      </c>
      <c r="L942" t="b">
        <v>1</v>
      </c>
    </row>
    <row r="943" spans="1:12" x14ac:dyDescent="0.3">
      <c r="A943" t="s">
        <v>2000</v>
      </c>
      <c r="B943" t="s">
        <v>35</v>
      </c>
      <c r="C943" t="s">
        <v>28</v>
      </c>
      <c r="D943">
        <v>30</v>
      </c>
      <c r="E943" t="s">
        <v>48</v>
      </c>
      <c r="F943" t="s">
        <v>16</v>
      </c>
      <c r="G943" s="1">
        <v>44485</v>
      </c>
      <c r="H943" t="s">
        <v>2001</v>
      </c>
      <c r="I943" t="s">
        <v>323</v>
      </c>
      <c r="J943">
        <v>-7120072023</v>
      </c>
      <c r="K943" t="s">
        <v>25</v>
      </c>
      <c r="L943" t="b">
        <v>0</v>
      </c>
    </row>
    <row r="944" spans="1:12" x14ac:dyDescent="0.3">
      <c r="A944" t="s">
        <v>2002</v>
      </c>
      <c r="B944" t="s">
        <v>40</v>
      </c>
      <c r="C944" t="s">
        <v>47</v>
      </c>
      <c r="D944">
        <v>30</v>
      </c>
      <c r="E944" t="s">
        <v>312</v>
      </c>
      <c r="F944" t="s">
        <v>36</v>
      </c>
      <c r="G944" s="1">
        <v>44690</v>
      </c>
      <c r="H944" t="s">
        <v>2003</v>
      </c>
      <c r="I944" t="s">
        <v>214</v>
      </c>
      <c r="J944">
        <v>-5591024509</v>
      </c>
      <c r="K944" t="s">
        <v>33</v>
      </c>
      <c r="L944" t="b">
        <v>1</v>
      </c>
    </row>
    <row r="945" spans="1:12" x14ac:dyDescent="0.3">
      <c r="A945" t="s">
        <v>2004</v>
      </c>
      <c r="B945" t="s">
        <v>27</v>
      </c>
      <c r="C945" t="s">
        <v>28</v>
      </c>
      <c r="D945">
        <v>35</v>
      </c>
      <c r="E945" t="s">
        <v>229</v>
      </c>
      <c r="F945" t="s">
        <v>30</v>
      </c>
      <c r="G945" s="1">
        <v>43988</v>
      </c>
      <c r="H945" t="s">
        <v>2005</v>
      </c>
      <c r="I945" t="s">
        <v>32</v>
      </c>
      <c r="J945">
        <v>-9109032670</v>
      </c>
      <c r="K945" t="s">
        <v>33</v>
      </c>
      <c r="L945" t="b">
        <v>1</v>
      </c>
    </row>
    <row r="946" spans="1:12" x14ac:dyDescent="0.3">
      <c r="A946" t="s">
        <v>2006</v>
      </c>
      <c r="B946" t="s">
        <v>61</v>
      </c>
      <c r="C946" t="s">
        <v>28</v>
      </c>
      <c r="D946">
        <v>25</v>
      </c>
      <c r="E946" t="s">
        <v>126</v>
      </c>
      <c r="F946" t="s">
        <v>30</v>
      </c>
      <c r="G946" s="1">
        <v>44491</v>
      </c>
      <c r="H946" t="s">
        <v>2007</v>
      </c>
      <c r="I946" t="s">
        <v>140</v>
      </c>
      <c r="J946">
        <v>-4949819420</v>
      </c>
      <c r="K946" t="s">
        <v>25</v>
      </c>
      <c r="L946" t="b">
        <v>0</v>
      </c>
    </row>
    <row r="947" spans="1:12" x14ac:dyDescent="0.3">
      <c r="A947" t="s">
        <v>2008</v>
      </c>
      <c r="B947" t="s">
        <v>35</v>
      </c>
      <c r="C947" t="s">
        <v>14</v>
      </c>
      <c r="D947">
        <v>35</v>
      </c>
      <c r="E947" t="s">
        <v>386</v>
      </c>
      <c r="F947" t="s">
        <v>30</v>
      </c>
      <c r="G947" s="1">
        <v>44573</v>
      </c>
      <c r="H947" t="s">
        <v>2009</v>
      </c>
      <c r="I947" t="s">
        <v>38</v>
      </c>
      <c r="J947">
        <v>-7942817933</v>
      </c>
      <c r="K947" t="s">
        <v>25</v>
      </c>
      <c r="L947" t="b">
        <v>0</v>
      </c>
    </row>
    <row r="948" spans="1:12" x14ac:dyDescent="0.3">
      <c r="A948" t="s">
        <v>2010</v>
      </c>
      <c r="B948" t="s">
        <v>61</v>
      </c>
      <c r="C948" t="s">
        <v>28</v>
      </c>
      <c r="D948">
        <v>25</v>
      </c>
      <c r="E948" t="s">
        <v>102</v>
      </c>
      <c r="F948" t="s">
        <v>36</v>
      </c>
      <c r="G948" s="1">
        <v>44594</v>
      </c>
      <c r="H948" t="s">
        <v>2011</v>
      </c>
      <c r="I948" t="s">
        <v>140</v>
      </c>
      <c r="J948">
        <v>-652775843</v>
      </c>
      <c r="K948" t="s">
        <v>25</v>
      </c>
      <c r="L948" t="b">
        <v>0</v>
      </c>
    </row>
    <row r="949" spans="1:12" x14ac:dyDescent="0.3">
      <c r="A949" t="s">
        <v>2012</v>
      </c>
      <c r="B949" t="s">
        <v>61</v>
      </c>
      <c r="C949" t="s">
        <v>47</v>
      </c>
      <c r="D949">
        <v>25</v>
      </c>
      <c r="E949" t="s">
        <v>233</v>
      </c>
      <c r="F949" t="s">
        <v>30</v>
      </c>
      <c r="G949" s="1">
        <v>44283</v>
      </c>
      <c r="H949" t="s">
        <v>2013</v>
      </c>
      <c r="I949" t="s">
        <v>100</v>
      </c>
      <c r="J949">
        <v>-6634533721</v>
      </c>
      <c r="K949" t="s">
        <v>45</v>
      </c>
      <c r="L949" t="b">
        <v>1</v>
      </c>
    </row>
    <row r="950" spans="1:12" x14ac:dyDescent="0.3">
      <c r="A950" t="s">
        <v>2014</v>
      </c>
      <c r="B950" t="s">
        <v>13</v>
      </c>
      <c r="C950" t="s">
        <v>106</v>
      </c>
      <c r="D950">
        <v>40</v>
      </c>
      <c r="E950" t="s">
        <v>22</v>
      </c>
      <c r="F950" t="s">
        <v>16</v>
      </c>
      <c r="G950" s="1">
        <v>45507</v>
      </c>
      <c r="H950" t="s">
        <v>322</v>
      </c>
      <c r="I950" t="s">
        <v>108</v>
      </c>
      <c r="J950">
        <v>-109121721</v>
      </c>
      <c r="K950" t="s">
        <v>25</v>
      </c>
      <c r="L950" t="b">
        <v>1</v>
      </c>
    </row>
    <row r="951" spans="1:12" x14ac:dyDescent="0.3">
      <c r="A951" t="s">
        <v>2015</v>
      </c>
      <c r="B951" t="s">
        <v>40</v>
      </c>
      <c r="C951" t="s">
        <v>28</v>
      </c>
      <c r="D951">
        <v>35</v>
      </c>
      <c r="E951" t="s">
        <v>15</v>
      </c>
      <c r="F951" t="s">
        <v>16</v>
      </c>
      <c r="G951" s="1">
        <v>45504</v>
      </c>
      <c r="H951" t="s">
        <v>2016</v>
      </c>
      <c r="I951" t="s">
        <v>53</v>
      </c>
      <c r="J951">
        <v>-1455937660</v>
      </c>
      <c r="K951" t="s">
        <v>25</v>
      </c>
      <c r="L951" t="b">
        <v>0</v>
      </c>
    </row>
    <row r="952" spans="1:12" x14ac:dyDescent="0.3">
      <c r="A952" t="s">
        <v>2017</v>
      </c>
      <c r="B952" t="s">
        <v>40</v>
      </c>
      <c r="C952" t="s">
        <v>41</v>
      </c>
      <c r="D952">
        <v>30</v>
      </c>
      <c r="E952" t="s">
        <v>15</v>
      </c>
      <c r="F952" t="s">
        <v>16</v>
      </c>
      <c r="G952" s="1">
        <v>45355</v>
      </c>
      <c r="H952" t="s">
        <v>2018</v>
      </c>
      <c r="I952" t="s">
        <v>44</v>
      </c>
      <c r="J952">
        <v>-8943705262</v>
      </c>
      <c r="K952" t="s">
        <v>25</v>
      </c>
      <c r="L952" t="b">
        <v>0</v>
      </c>
    </row>
    <row r="953" spans="1:12" x14ac:dyDescent="0.3">
      <c r="A953" t="s">
        <v>2019</v>
      </c>
      <c r="B953" t="s">
        <v>61</v>
      </c>
      <c r="C953" t="s">
        <v>21</v>
      </c>
      <c r="D953">
        <v>30</v>
      </c>
      <c r="E953" t="s">
        <v>76</v>
      </c>
      <c r="F953" t="s">
        <v>16</v>
      </c>
      <c r="G953" s="1">
        <v>44097</v>
      </c>
      <c r="H953" t="s">
        <v>2020</v>
      </c>
      <c r="I953" t="s">
        <v>147</v>
      </c>
      <c r="J953">
        <v>-5100462775</v>
      </c>
      <c r="K953" t="s">
        <v>25</v>
      </c>
      <c r="L953" t="b">
        <v>0</v>
      </c>
    </row>
    <row r="954" spans="1:12" x14ac:dyDescent="0.3">
      <c r="A954" t="s">
        <v>2021</v>
      </c>
      <c r="B954" t="s">
        <v>13</v>
      </c>
      <c r="C954" t="s">
        <v>28</v>
      </c>
      <c r="D954">
        <v>25</v>
      </c>
      <c r="E954" t="s">
        <v>42</v>
      </c>
      <c r="F954" t="s">
        <v>36</v>
      </c>
      <c r="G954" s="1">
        <v>43918</v>
      </c>
      <c r="H954" t="s">
        <v>2022</v>
      </c>
      <c r="I954" t="s">
        <v>56</v>
      </c>
      <c r="J954">
        <v>-5725659201</v>
      </c>
      <c r="K954" t="s">
        <v>19</v>
      </c>
      <c r="L954" t="b">
        <v>0</v>
      </c>
    </row>
    <row r="955" spans="1:12" x14ac:dyDescent="0.3">
      <c r="A955" t="s">
        <v>2023</v>
      </c>
      <c r="B955" t="s">
        <v>27</v>
      </c>
      <c r="C955" t="s">
        <v>21</v>
      </c>
      <c r="D955">
        <v>40</v>
      </c>
      <c r="E955" t="s">
        <v>312</v>
      </c>
      <c r="F955" t="s">
        <v>16</v>
      </c>
      <c r="G955" s="1">
        <v>43966</v>
      </c>
      <c r="H955" t="s">
        <v>322</v>
      </c>
      <c r="I955" t="s">
        <v>93</v>
      </c>
      <c r="J955">
        <v>-4617520237</v>
      </c>
      <c r="K955" t="s">
        <v>45</v>
      </c>
      <c r="L955" t="b">
        <v>0</v>
      </c>
    </row>
    <row r="956" spans="1:12" x14ac:dyDescent="0.3">
      <c r="A956" t="s">
        <v>2024</v>
      </c>
      <c r="B956" t="s">
        <v>13</v>
      </c>
      <c r="C956" t="s">
        <v>41</v>
      </c>
      <c r="D956">
        <v>25</v>
      </c>
      <c r="E956" t="s">
        <v>126</v>
      </c>
      <c r="F956" t="s">
        <v>30</v>
      </c>
      <c r="G956" s="1">
        <v>44240</v>
      </c>
      <c r="H956" t="s">
        <v>2025</v>
      </c>
      <c r="I956" t="s">
        <v>170</v>
      </c>
      <c r="J956">
        <v>-9743260054</v>
      </c>
      <c r="K956" t="s">
        <v>33</v>
      </c>
      <c r="L956" t="b">
        <v>0</v>
      </c>
    </row>
    <row r="957" spans="1:12" x14ac:dyDescent="0.3">
      <c r="A957" t="s">
        <v>2026</v>
      </c>
      <c r="B957" t="s">
        <v>13</v>
      </c>
      <c r="C957" t="s">
        <v>41</v>
      </c>
      <c r="D957">
        <v>30</v>
      </c>
      <c r="E957" t="s">
        <v>15</v>
      </c>
      <c r="F957" t="s">
        <v>30</v>
      </c>
      <c r="G957" s="1">
        <v>44543</v>
      </c>
      <c r="H957" t="s">
        <v>2027</v>
      </c>
      <c r="I957" t="s">
        <v>170</v>
      </c>
      <c r="J957">
        <v>-9550178331</v>
      </c>
      <c r="K957" t="s">
        <v>25</v>
      </c>
      <c r="L957" t="b">
        <v>1</v>
      </c>
    </row>
    <row r="958" spans="1:12" x14ac:dyDescent="0.3">
      <c r="A958" t="s">
        <v>2028</v>
      </c>
      <c r="B958" t="s">
        <v>67</v>
      </c>
      <c r="C958" t="s">
        <v>21</v>
      </c>
      <c r="E958" t="s">
        <v>48</v>
      </c>
      <c r="F958" t="s">
        <v>16</v>
      </c>
      <c r="G958" s="1">
        <v>45509</v>
      </c>
      <c r="H958" t="s">
        <v>322</v>
      </c>
      <c r="I958" t="s">
        <v>265</v>
      </c>
      <c r="J958">
        <v>-5848689992</v>
      </c>
      <c r="K958" t="s">
        <v>19</v>
      </c>
      <c r="L958" t="b">
        <v>1</v>
      </c>
    </row>
    <row r="959" spans="1:12" x14ac:dyDescent="0.3">
      <c r="A959" t="s">
        <v>2029</v>
      </c>
      <c r="B959" t="s">
        <v>67</v>
      </c>
      <c r="C959" t="s">
        <v>142</v>
      </c>
      <c r="D959">
        <v>30</v>
      </c>
      <c r="E959" t="s">
        <v>76</v>
      </c>
      <c r="F959" t="s">
        <v>30</v>
      </c>
      <c r="G959" s="1">
        <v>43839</v>
      </c>
      <c r="H959" t="s">
        <v>2030</v>
      </c>
      <c r="I959" t="s">
        <v>402</v>
      </c>
      <c r="J959">
        <v>-6079848703</v>
      </c>
      <c r="K959" t="s">
        <v>19</v>
      </c>
      <c r="L959" t="b">
        <v>1</v>
      </c>
    </row>
    <row r="960" spans="1:12" x14ac:dyDescent="0.3">
      <c r="A960" t="s">
        <v>2031</v>
      </c>
      <c r="B960" t="s">
        <v>67</v>
      </c>
      <c r="C960" t="s">
        <v>62</v>
      </c>
      <c r="E960" t="s">
        <v>270</v>
      </c>
      <c r="F960" t="s">
        <v>36</v>
      </c>
      <c r="G960" s="1">
        <v>45260</v>
      </c>
      <c r="H960" t="s">
        <v>2032</v>
      </c>
      <c r="I960" t="s">
        <v>257</v>
      </c>
      <c r="J960">
        <v>-5069176798</v>
      </c>
      <c r="K960" t="s">
        <v>19</v>
      </c>
      <c r="L960" t="b">
        <v>0</v>
      </c>
    </row>
    <row r="961" spans="1:12" x14ac:dyDescent="0.3">
      <c r="A961" t="s">
        <v>2033</v>
      </c>
      <c r="B961" t="s">
        <v>13</v>
      </c>
      <c r="C961" t="s">
        <v>14</v>
      </c>
      <c r="D961">
        <v>30</v>
      </c>
      <c r="E961" t="s">
        <v>251</v>
      </c>
      <c r="F961" t="s">
        <v>36</v>
      </c>
      <c r="G961" s="1">
        <v>44269</v>
      </c>
      <c r="H961" t="s">
        <v>2034</v>
      </c>
      <c r="I961" t="s">
        <v>18</v>
      </c>
      <c r="J961">
        <v>-3593744038</v>
      </c>
      <c r="K961" t="s">
        <v>33</v>
      </c>
      <c r="L961" t="b">
        <v>0</v>
      </c>
    </row>
    <row r="962" spans="1:12" x14ac:dyDescent="0.3">
      <c r="A962" t="s">
        <v>2035</v>
      </c>
      <c r="B962" t="s">
        <v>40</v>
      </c>
      <c r="C962" t="s">
        <v>142</v>
      </c>
      <c r="D962">
        <v>25</v>
      </c>
      <c r="E962" t="s">
        <v>22</v>
      </c>
      <c r="F962" t="s">
        <v>30</v>
      </c>
      <c r="G962" s="1">
        <v>44109</v>
      </c>
      <c r="H962" t="s">
        <v>2036</v>
      </c>
      <c r="I962" t="s">
        <v>163</v>
      </c>
      <c r="J962">
        <v>-4640830372</v>
      </c>
      <c r="K962" t="s">
        <v>25</v>
      </c>
      <c r="L962" t="b">
        <v>0</v>
      </c>
    </row>
    <row r="963" spans="1:12" x14ac:dyDescent="0.3">
      <c r="A963" t="s">
        <v>2037</v>
      </c>
      <c r="B963" t="s">
        <v>35</v>
      </c>
      <c r="C963" t="s">
        <v>142</v>
      </c>
      <c r="E963" t="s">
        <v>278</v>
      </c>
      <c r="F963" t="s">
        <v>16</v>
      </c>
      <c r="G963" s="1">
        <v>44502</v>
      </c>
      <c r="H963" t="s">
        <v>2038</v>
      </c>
      <c r="I963" t="s">
        <v>632</v>
      </c>
      <c r="J963">
        <v>-6060148859</v>
      </c>
      <c r="K963" t="s">
        <v>45</v>
      </c>
      <c r="L963" t="b">
        <v>0</v>
      </c>
    </row>
    <row r="964" spans="1:12" x14ac:dyDescent="0.3">
      <c r="A964" t="s">
        <v>2039</v>
      </c>
      <c r="B964" t="s">
        <v>75</v>
      </c>
      <c r="C964" t="s">
        <v>106</v>
      </c>
      <c r="E964" t="s">
        <v>15</v>
      </c>
      <c r="F964" t="s">
        <v>30</v>
      </c>
      <c r="G964" s="1">
        <v>45553</v>
      </c>
      <c r="H964" t="s">
        <v>2040</v>
      </c>
      <c r="I964" t="s">
        <v>153</v>
      </c>
      <c r="J964">
        <v>-8490793883</v>
      </c>
      <c r="K964" t="s">
        <v>45</v>
      </c>
      <c r="L964" t="b">
        <v>0</v>
      </c>
    </row>
    <row r="965" spans="1:12" x14ac:dyDescent="0.3">
      <c r="A965" t="s">
        <v>2041</v>
      </c>
      <c r="B965" t="s">
        <v>35</v>
      </c>
      <c r="C965" t="s">
        <v>14</v>
      </c>
      <c r="D965">
        <v>40</v>
      </c>
      <c r="E965" t="s">
        <v>120</v>
      </c>
      <c r="F965" t="s">
        <v>36</v>
      </c>
      <c r="G965" s="1">
        <v>45221</v>
      </c>
      <c r="H965" t="s">
        <v>322</v>
      </c>
      <c r="I965" t="s">
        <v>38</v>
      </c>
      <c r="J965">
        <v>-1368528305</v>
      </c>
      <c r="K965" t="s">
        <v>19</v>
      </c>
      <c r="L965" t="b">
        <v>0</v>
      </c>
    </row>
    <row r="966" spans="1:12" x14ac:dyDescent="0.3">
      <c r="A966" t="s">
        <v>2042</v>
      </c>
      <c r="B966" t="s">
        <v>75</v>
      </c>
      <c r="C966" t="s">
        <v>14</v>
      </c>
      <c r="D966">
        <v>25</v>
      </c>
      <c r="E966" t="s">
        <v>130</v>
      </c>
      <c r="F966" t="s">
        <v>30</v>
      </c>
      <c r="G966" s="1">
        <v>45179</v>
      </c>
      <c r="H966" t="s">
        <v>2043</v>
      </c>
      <c r="I966" t="s">
        <v>469</v>
      </c>
      <c r="J966">
        <v>-1537012423</v>
      </c>
      <c r="K966" t="s">
        <v>33</v>
      </c>
      <c r="L966" t="b">
        <v>1</v>
      </c>
    </row>
    <row r="967" spans="1:12" x14ac:dyDescent="0.3">
      <c r="A967" t="s">
        <v>2044</v>
      </c>
      <c r="B967" t="s">
        <v>80</v>
      </c>
      <c r="C967" t="s">
        <v>142</v>
      </c>
      <c r="D967">
        <v>40</v>
      </c>
      <c r="E967" t="s">
        <v>91</v>
      </c>
      <c r="F967" t="s">
        <v>16</v>
      </c>
      <c r="G967" s="1">
        <v>45349</v>
      </c>
      <c r="H967" t="s">
        <v>2045</v>
      </c>
      <c r="I967" t="s">
        <v>160</v>
      </c>
      <c r="J967">
        <v>-4626325143</v>
      </c>
      <c r="K967" t="s">
        <v>33</v>
      </c>
      <c r="L967" t="b">
        <v>1</v>
      </c>
    </row>
    <row r="968" spans="1:12" x14ac:dyDescent="0.3">
      <c r="A968" t="s">
        <v>2046</v>
      </c>
      <c r="B968" t="s">
        <v>13</v>
      </c>
      <c r="C968" t="s">
        <v>28</v>
      </c>
      <c r="D968">
        <v>35</v>
      </c>
      <c r="E968" t="s">
        <v>138</v>
      </c>
      <c r="F968" t="s">
        <v>16</v>
      </c>
      <c r="G968" s="1">
        <v>45049</v>
      </c>
      <c r="H968" t="s">
        <v>2047</v>
      </c>
      <c r="I968" t="s">
        <v>56</v>
      </c>
      <c r="J968">
        <v>-8811210313</v>
      </c>
      <c r="K968" t="s">
        <v>33</v>
      </c>
      <c r="L968" t="b">
        <v>0</v>
      </c>
    </row>
    <row r="969" spans="1:12" x14ac:dyDescent="0.3">
      <c r="A969" t="s">
        <v>2048</v>
      </c>
      <c r="B969" t="s">
        <v>67</v>
      </c>
      <c r="C969" t="s">
        <v>106</v>
      </c>
      <c r="D969">
        <v>40</v>
      </c>
      <c r="E969" t="s">
        <v>270</v>
      </c>
      <c r="F969" t="s">
        <v>36</v>
      </c>
      <c r="G969" s="1">
        <v>45397</v>
      </c>
      <c r="H969" t="s">
        <v>2049</v>
      </c>
      <c r="I969" t="s">
        <v>124</v>
      </c>
      <c r="J969">
        <v>-2175188780</v>
      </c>
      <c r="K969" t="s">
        <v>45</v>
      </c>
      <c r="L969" t="b">
        <v>1</v>
      </c>
    </row>
    <row r="970" spans="1:12" x14ac:dyDescent="0.3">
      <c r="A970" t="s">
        <v>2050</v>
      </c>
      <c r="B970" t="s">
        <v>35</v>
      </c>
      <c r="C970" t="s">
        <v>106</v>
      </c>
      <c r="D970">
        <v>40</v>
      </c>
      <c r="E970" t="s">
        <v>251</v>
      </c>
      <c r="F970" t="s">
        <v>30</v>
      </c>
      <c r="G970" s="1">
        <v>45066</v>
      </c>
      <c r="H970" t="s">
        <v>2051</v>
      </c>
      <c r="I970" t="s">
        <v>307</v>
      </c>
      <c r="J970">
        <v>-7941515262</v>
      </c>
      <c r="K970" t="s">
        <v>19</v>
      </c>
      <c r="L970" t="b">
        <v>0</v>
      </c>
    </row>
    <row r="971" spans="1:12" x14ac:dyDescent="0.3">
      <c r="A971" t="s">
        <v>2052</v>
      </c>
      <c r="B971" t="s">
        <v>35</v>
      </c>
      <c r="C971" t="s">
        <v>41</v>
      </c>
      <c r="D971">
        <v>30</v>
      </c>
      <c r="E971" t="s">
        <v>22</v>
      </c>
      <c r="F971" t="s">
        <v>16</v>
      </c>
      <c r="G971" s="1">
        <v>44344</v>
      </c>
      <c r="H971" t="s">
        <v>2053</v>
      </c>
      <c r="I971" t="s">
        <v>167</v>
      </c>
      <c r="J971">
        <v>-8409112251</v>
      </c>
      <c r="K971" t="s">
        <v>25</v>
      </c>
      <c r="L971" t="b">
        <v>1</v>
      </c>
    </row>
    <row r="972" spans="1:12" x14ac:dyDescent="0.3">
      <c r="A972" t="s">
        <v>2054</v>
      </c>
      <c r="B972" t="s">
        <v>61</v>
      </c>
      <c r="C972" t="s">
        <v>47</v>
      </c>
      <c r="D972">
        <v>25</v>
      </c>
      <c r="E972" t="s">
        <v>98</v>
      </c>
      <c r="F972" t="s">
        <v>16</v>
      </c>
      <c r="G972" s="1">
        <v>45531</v>
      </c>
      <c r="H972" t="s">
        <v>2055</v>
      </c>
      <c r="I972" t="s">
        <v>100</v>
      </c>
      <c r="J972">
        <v>-8837505660</v>
      </c>
      <c r="K972" t="s">
        <v>45</v>
      </c>
      <c r="L972" t="b">
        <v>0</v>
      </c>
    </row>
    <row r="973" spans="1:12" x14ac:dyDescent="0.3">
      <c r="A973" t="s">
        <v>2056</v>
      </c>
      <c r="B973" t="s">
        <v>61</v>
      </c>
      <c r="C973" t="s">
        <v>14</v>
      </c>
      <c r="D973">
        <v>40</v>
      </c>
      <c r="E973" t="s">
        <v>259</v>
      </c>
      <c r="F973" t="s">
        <v>36</v>
      </c>
      <c r="G973" s="1">
        <v>44143</v>
      </c>
      <c r="H973" t="s">
        <v>2057</v>
      </c>
      <c r="I973" t="s">
        <v>200</v>
      </c>
      <c r="J973">
        <v>-8632397912</v>
      </c>
      <c r="K973" t="s">
        <v>19</v>
      </c>
      <c r="L973" t="b">
        <v>0</v>
      </c>
    </row>
    <row r="974" spans="1:12" x14ac:dyDescent="0.3">
      <c r="A974" t="s">
        <v>2058</v>
      </c>
      <c r="B974" t="s">
        <v>13</v>
      </c>
      <c r="C974" t="s">
        <v>142</v>
      </c>
      <c r="E974" t="s">
        <v>130</v>
      </c>
      <c r="F974" t="s">
        <v>16</v>
      </c>
      <c r="G974" s="1">
        <v>44432</v>
      </c>
      <c r="H974" t="s">
        <v>2059</v>
      </c>
      <c r="I974" t="s">
        <v>144</v>
      </c>
      <c r="J974">
        <v>-7876553006</v>
      </c>
      <c r="K974" t="s">
        <v>19</v>
      </c>
      <c r="L974" t="b">
        <v>1</v>
      </c>
    </row>
    <row r="975" spans="1:12" x14ac:dyDescent="0.3">
      <c r="A975" t="s">
        <v>2060</v>
      </c>
      <c r="B975" t="s">
        <v>35</v>
      </c>
      <c r="C975" t="s">
        <v>41</v>
      </c>
      <c r="E975" t="s">
        <v>229</v>
      </c>
      <c r="F975" t="s">
        <v>30</v>
      </c>
      <c r="G975" s="1">
        <v>43867</v>
      </c>
      <c r="H975" t="s">
        <v>2061</v>
      </c>
      <c r="I975" t="s">
        <v>167</v>
      </c>
      <c r="J975">
        <v>-3095055604</v>
      </c>
      <c r="K975" t="s">
        <v>25</v>
      </c>
      <c r="L975" t="b">
        <v>1</v>
      </c>
    </row>
    <row r="976" spans="1:12" x14ac:dyDescent="0.3">
      <c r="A976" t="s">
        <v>2062</v>
      </c>
      <c r="B976" t="s">
        <v>80</v>
      </c>
      <c r="C976" t="s">
        <v>21</v>
      </c>
      <c r="D976">
        <v>25</v>
      </c>
      <c r="E976" t="s">
        <v>130</v>
      </c>
      <c r="F976" t="s">
        <v>36</v>
      </c>
      <c r="G976" s="1">
        <v>45577</v>
      </c>
      <c r="H976" t="s">
        <v>2063</v>
      </c>
      <c r="I976" t="s">
        <v>240</v>
      </c>
      <c r="J976">
        <v>-7121988191</v>
      </c>
      <c r="K976" t="s">
        <v>25</v>
      </c>
      <c r="L976" t="b">
        <v>0</v>
      </c>
    </row>
    <row r="977" spans="1:12" x14ac:dyDescent="0.3">
      <c r="A977" t="s">
        <v>2064</v>
      </c>
      <c r="B977" t="s">
        <v>27</v>
      </c>
      <c r="C977" t="s">
        <v>62</v>
      </c>
      <c r="D977">
        <v>30</v>
      </c>
      <c r="E977" t="s">
        <v>259</v>
      </c>
      <c r="F977" t="s">
        <v>36</v>
      </c>
      <c r="G977" s="1">
        <v>45642</v>
      </c>
      <c r="H977" t="s">
        <v>2065</v>
      </c>
      <c r="I977" t="s">
        <v>177</v>
      </c>
      <c r="J977">
        <v>-7788519052</v>
      </c>
      <c r="K977" t="s">
        <v>25</v>
      </c>
      <c r="L977" t="b">
        <v>0</v>
      </c>
    </row>
    <row r="978" spans="1:12" x14ac:dyDescent="0.3">
      <c r="A978" t="s">
        <v>2066</v>
      </c>
      <c r="B978" t="s">
        <v>61</v>
      </c>
      <c r="C978" t="s">
        <v>47</v>
      </c>
      <c r="D978">
        <v>35</v>
      </c>
      <c r="E978" t="s">
        <v>270</v>
      </c>
      <c r="F978" t="s">
        <v>36</v>
      </c>
      <c r="G978" s="1">
        <v>45395</v>
      </c>
      <c r="H978" t="s">
        <v>2067</v>
      </c>
      <c r="I978" t="s">
        <v>100</v>
      </c>
      <c r="J978">
        <v>-4864010423</v>
      </c>
      <c r="K978" t="s">
        <v>33</v>
      </c>
      <c r="L978" t="b">
        <v>1</v>
      </c>
    </row>
    <row r="979" spans="1:12" x14ac:dyDescent="0.3">
      <c r="A979" t="s">
        <v>2068</v>
      </c>
      <c r="B979" t="s">
        <v>75</v>
      </c>
      <c r="C979" t="s">
        <v>47</v>
      </c>
      <c r="D979">
        <v>40</v>
      </c>
      <c r="E979" t="s">
        <v>126</v>
      </c>
      <c r="F979" t="s">
        <v>30</v>
      </c>
      <c r="G979" s="1">
        <v>43945</v>
      </c>
      <c r="H979" t="s">
        <v>2069</v>
      </c>
      <c r="I979" t="s">
        <v>300</v>
      </c>
      <c r="J979">
        <v>-6245618516</v>
      </c>
      <c r="K979" t="s">
        <v>25</v>
      </c>
      <c r="L979" t="b">
        <v>1</v>
      </c>
    </row>
    <row r="980" spans="1:12" x14ac:dyDescent="0.3">
      <c r="A980" t="s">
        <v>2070</v>
      </c>
      <c r="B980" t="s">
        <v>80</v>
      </c>
      <c r="C980" t="s">
        <v>47</v>
      </c>
      <c r="E980" t="s">
        <v>15</v>
      </c>
      <c r="F980" t="s">
        <v>36</v>
      </c>
      <c r="G980" s="1">
        <v>44487</v>
      </c>
      <c r="H980" t="s">
        <v>2071</v>
      </c>
      <c r="I980" t="s">
        <v>96</v>
      </c>
      <c r="J980">
        <v>-4460045211</v>
      </c>
      <c r="K980" t="s">
        <v>19</v>
      </c>
      <c r="L980" t="b">
        <v>0</v>
      </c>
    </row>
    <row r="981" spans="1:12" x14ac:dyDescent="0.3">
      <c r="A981" t="s">
        <v>2072</v>
      </c>
      <c r="B981" t="s">
        <v>61</v>
      </c>
      <c r="C981" t="s">
        <v>106</v>
      </c>
      <c r="D981">
        <v>35</v>
      </c>
      <c r="E981" t="s">
        <v>175</v>
      </c>
      <c r="F981" t="s">
        <v>30</v>
      </c>
      <c r="G981" s="1">
        <v>43886</v>
      </c>
      <c r="H981" t="s">
        <v>2073</v>
      </c>
      <c r="I981" t="s">
        <v>607</v>
      </c>
      <c r="J981">
        <v>-8991511454</v>
      </c>
      <c r="K981" t="s">
        <v>25</v>
      </c>
      <c r="L981" t="b">
        <v>1</v>
      </c>
    </row>
    <row r="982" spans="1:12" x14ac:dyDescent="0.3">
      <c r="A982" t="s">
        <v>2074</v>
      </c>
      <c r="B982" t="s">
        <v>80</v>
      </c>
      <c r="C982" t="s">
        <v>21</v>
      </c>
      <c r="D982">
        <v>25</v>
      </c>
      <c r="E982" t="s">
        <v>81</v>
      </c>
      <c r="F982" t="s">
        <v>36</v>
      </c>
      <c r="G982" s="1">
        <v>44674</v>
      </c>
      <c r="H982" t="s">
        <v>2075</v>
      </c>
      <c r="I982" t="s">
        <v>240</v>
      </c>
      <c r="J982">
        <v>-1293913043</v>
      </c>
      <c r="K982" t="s">
        <v>19</v>
      </c>
      <c r="L982" t="b">
        <v>0</v>
      </c>
    </row>
    <row r="983" spans="1:12" x14ac:dyDescent="0.3">
      <c r="A983" t="s">
        <v>2076</v>
      </c>
      <c r="B983" t="s">
        <v>67</v>
      </c>
      <c r="C983" t="s">
        <v>47</v>
      </c>
      <c r="D983">
        <v>30</v>
      </c>
      <c r="E983" t="s">
        <v>15</v>
      </c>
      <c r="F983" t="s">
        <v>30</v>
      </c>
      <c r="G983" s="1">
        <v>44004</v>
      </c>
      <c r="H983" t="s">
        <v>2077</v>
      </c>
      <c r="I983" t="s">
        <v>118</v>
      </c>
      <c r="J983">
        <v>-8818984840</v>
      </c>
      <c r="K983" t="s">
        <v>45</v>
      </c>
      <c r="L983" t="b">
        <v>0</v>
      </c>
    </row>
    <row r="984" spans="1:12" x14ac:dyDescent="0.3">
      <c r="A984" t="s">
        <v>2078</v>
      </c>
      <c r="B984" t="s">
        <v>35</v>
      </c>
      <c r="C984" t="s">
        <v>21</v>
      </c>
      <c r="D984">
        <v>25</v>
      </c>
      <c r="E984" t="s">
        <v>76</v>
      </c>
      <c r="F984" t="s">
        <v>16</v>
      </c>
      <c r="G984" s="1">
        <v>44933</v>
      </c>
      <c r="H984" t="s">
        <v>2079</v>
      </c>
      <c r="I984" t="s">
        <v>183</v>
      </c>
      <c r="J984">
        <v>-6046154020</v>
      </c>
      <c r="K984" t="s">
        <v>33</v>
      </c>
      <c r="L984" t="b">
        <v>0</v>
      </c>
    </row>
    <row r="985" spans="1:12" x14ac:dyDescent="0.3">
      <c r="A985" t="s">
        <v>2080</v>
      </c>
      <c r="B985" t="s">
        <v>80</v>
      </c>
      <c r="C985" t="s">
        <v>28</v>
      </c>
      <c r="E985" t="s">
        <v>87</v>
      </c>
      <c r="F985" t="s">
        <v>36</v>
      </c>
      <c r="G985" s="1">
        <v>43872</v>
      </c>
      <c r="H985" t="s">
        <v>2081</v>
      </c>
      <c r="I985" t="s">
        <v>89</v>
      </c>
      <c r="J985">
        <v>-1901707567</v>
      </c>
      <c r="K985" t="s">
        <v>45</v>
      </c>
      <c r="L985" t="b">
        <v>0</v>
      </c>
    </row>
    <row r="986" spans="1:12" x14ac:dyDescent="0.3">
      <c r="A986" t="s">
        <v>2082</v>
      </c>
      <c r="B986" t="s">
        <v>40</v>
      </c>
      <c r="C986" t="s">
        <v>47</v>
      </c>
      <c r="D986">
        <v>40</v>
      </c>
      <c r="E986" t="s">
        <v>87</v>
      </c>
      <c r="F986" t="s">
        <v>36</v>
      </c>
      <c r="G986" s="1">
        <v>45003</v>
      </c>
      <c r="H986" t="s">
        <v>2083</v>
      </c>
      <c r="I986" t="s">
        <v>214</v>
      </c>
      <c r="J986">
        <v>-1429831521</v>
      </c>
      <c r="K986" t="s">
        <v>45</v>
      </c>
      <c r="L986" t="b">
        <v>1</v>
      </c>
    </row>
    <row r="987" spans="1:12" x14ac:dyDescent="0.3">
      <c r="A987" t="s">
        <v>2084</v>
      </c>
      <c r="B987" t="s">
        <v>67</v>
      </c>
      <c r="C987" t="s">
        <v>62</v>
      </c>
      <c r="D987">
        <v>35</v>
      </c>
      <c r="E987" t="s">
        <v>309</v>
      </c>
      <c r="F987" t="s">
        <v>30</v>
      </c>
      <c r="G987" s="1">
        <v>44526</v>
      </c>
      <c r="H987" t="s">
        <v>2085</v>
      </c>
      <c r="I987" t="s">
        <v>257</v>
      </c>
      <c r="J987">
        <v>-9107322835</v>
      </c>
      <c r="K987" t="s">
        <v>19</v>
      </c>
      <c r="L987" t="b">
        <v>1</v>
      </c>
    </row>
    <row r="988" spans="1:12" x14ac:dyDescent="0.3">
      <c r="A988" t="s">
        <v>2086</v>
      </c>
      <c r="B988" t="s">
        <v>80</v>
      </c>
      <c r="C988" t="s">
        <v>21</v>
      </c>
      <c r="D988">
        <v>30</v>
      </c>
      <c r="E988" t="s">
        <v>116</v>
      </c>
      <c r="F988" t="s">
        <v>16</v>
      </c>
      <c r="G988" s="1">
        <v>45552</v>
      </c>
      <c r="H988" t="s">
        <v>2087</v>
      </c>
      <c r="I988" t="s">
        <v>240</v>
      </c>
      <c r="J988">
        <v>-849378305</v>
      </c>
      <c r="K988" t="s">
        <v>45</v>
      </c>
      <c r="L988" t="b">
        <v>1</v>
      </c>
    </row>
    <row r="989" spans="1:12" x14ac:dyDescent="0.3">
      <c r="A989" t="s">
        <v>2088</v>
      </c>
      <c r="B989" t="s">
        <v>35</v>
      </c>
      <c r="C989" t="s">
        <v>21</v>
      </c>
      <c r="D989">
        <v>25</v>
      </c>
      <c r="E989" t="s">
        <v>229</v>
      </c>
      <c r="F989" t="s">
        <v>36</v>
      </c>
      <c r="G989" s="1">
        <v>45478</v>
      </c>
      <c r="H989" t="s">
        <v>2089</v>
      </c>
      <c r="I989" t="s">
        <v>183</v>
      </c>
      <c r="J989">
        <v>-3963845268</v>
      </c>
      <c r="K989" t="s">
        <v>19</v>
      </c>
      <c r="L989" t="b">
        <v>1</v>
      </c>
    </row>
    <row r="990" spans="1:12" x14ac:dyDescent="0.3">
      <c r="A990" t="s">
        <v>2090</v>
      </c>
      <c r="B990" t="s">
        <v>13</v>
      </c>
      <c r="C990" t="s">
        <v>62</v>
      </c>
      <c r="E990" t="s">
        <v>110</v>
      </c>
      <c r="F990" t="s">
        <v>36</v>
      </c>
      <c r="G990" s="1">
        <v>44390</v>
      </c>
      <c r="H990" t="s">
        <v>2091</v>
      </c>
      <c r="I990" t="s">
        <v>237</v>
      </c>
      <c r="J990">
        <v>-6944391648</v>
      </c>
      <c r="K990" t="s">
        <v>25</v>
      </c>
      <c r="L990" t="b">
        <v>1</v>
      </c>
    </row>
    <row r="991" spans="1:12" x14ac:dyDescent="0.3">
      <c r="A991" t="s">
        <v>2092</v>
      </c>
      <c r="B991" t="s">
        <v>75</v>
      </c>
      <c r="C991" t="s">
        <v>47</v>
      </c>
      <c r="D991">
        <v>40</v>
      </c>
      <c r="E991" t="s">
        <v>138</v>
      </c>
      <c r="F991" t="s">
        <v>16</v>
      </c>
      <c r="G991" s="1">
        <v>45165</v>
      </c>
      <c r="H991" t="s">
        <v>2093</v>
      </c>
      <c r="I991" t="s">
        <v>300</v>
      </c>
      <c r="J991">
        <v>-7016934291</v>
      </c>
      <c r="K991" t="s">
        <v>25</v>
      </c>
      <c r="L991" t="b">
        <v>1</v>
      </c>
    </row>
    <row r="992" spans="1:12" x14ac:dyDescent="0.3">
      <c r="A992" t="s">
        <v>2094</v>
      </c>
      <c r="B992" t="s">
        <v>35</v>
      </c>
      <c r="C992" t="s">
        <v>62</v>
      </c>
      <c r="D992">
        <v>40</v>
      </c>
      <c r="E992" t="s">
        <v>91</v>
      </c>
      <c r="F992" t="s">
        <v>36</v>
      </c>
      <c r="G992" s="1">
        <v>44240</v>
      </c>
      <c r="H992" t="s">
        <v>2095</v>
      </c>
      <c r="I992" t="s">
        <v>380</v>
      </c>
      <c r="J992">
        <v>-9132033015</v>
      </c>
      <c r="K992" t="s">
        <v>19</v>
      </c>
      <c r="L992" t="b">
        <v>1</v>
      </c>
    </row>
    <row r="993" spans="1:12" x14ac:dyDescent="0.3">
      <c r="A993" t="s">
        <v>2096</v>
      </c>
      <c r="B993" t="s">
        <v>75</v>
      </c>
      <c r="C993" t="s">
        <v>21</v>
      </c>
      <c r="E993" t="s">
        <v>120</v>
      </c>
      <c r="F993" t="s">
        <v>30</v>
      </c>
      <c r="G993" s="1">
        <v>45271</v>
      </c>
      <c r="H993" t="s">
        <v>2097</v>
      </c>
      <c r="I993" t="s">
        <v>480</v>
      </c>
      <c r="J993">
        <v>-2341903105</v>
      </c>
      <c r="K993" t="s">
        <v>25</v>
      </c>
      <c r="L993" t="b">
        <v>0</v>
      </c>
    </row>
    <row r="994" spans="1:12" x14ac:dyDescent="0.3">
      <c r="A994" t="s">
        <v>2098</v>
      </c>
      <c r="B994" t="s">
        <v>75</v>
      </c>
      <c r="C994" t="s">
        <v>62</v>
      </c>
      <c r="D994">
        <v>30</v>
      </c>
      <c r="E994" t="s">
        <v>386</v>
      </c>
      <c r="F994" t="s">
        <v>36</v>
      </c>
      <c r="G994" s="1">
        <v>44379</v>
      </c>
      <c r="H994" t="s">
        <v>2099</v>
      </c>
      <c r="I994" t="s">
        <v>132</v>
      </c>
      <c r="J994">
        <v>-1537221555</v>
      </c>
      <c r="K994" t="s">
        <v>33</v>
      </c>
      <c r="L994" t="b">
        <v>1</v>
      </c>
    </row>
    <row r="995" spans="1:12" x14ac:dyDescent="0.3">
      <c r="A995" t="s">
        <v>2100</v>
      </c>
      <c r="B995" t="s">
        <v>80</v>
      </c>
      <c r="C995" t="s">
        <v>21</v>
      </c>
      <c r="E995" t="s">
        <v>386</v>
      </c>
      <c r="F995" t="s">
        <v>16</v>
      </c>
      <c r="G995" s="1">
        <v>44900</v>
      </c>
      <c r="H995" t="s">
        <v>2101</v>
      </c>
      <c r="I995" t="s">
        <v>240</v>
      </c>
      <c r="J995">
        <v>-6847323652</v>
      </c>
      <c r="K995" t="s">
        <v>45</v>
      </c>
      <c r="L995" t="b">
        <v>1</v>
      </c>
    </row>
    <row r="996" spans="1:12" x14ac:dyDescent="0.3">
      <c r="A996" t="s">
        <v>2102</v>
      </c>
      <c r="B996" t="s">
        <v>67</v>
      </c>
      <c r="C996" t="s">
        <v>21</v>
      </c>
      <c r="D996">
        <v>30</v>
      </c>
      <c r="E996" t="s">
        <v>386</v>
      </c>
      <c r="F996" t="s">
        <v>36</v>
      </c>
      <c r="G996" s="1">
        <v>45559</v>
      </c>
      <c r="H996" t="s">
        <v>2103</v>
      </c>
      <c r="I996" t="s">
        <v>265</v>
      </c>
      <c r="J996">
        <v>-3774604066</v>
      </c>
      <c r="K996" t="s">
        <v>33</v>
      </c>
      <c r="L996" t="b">
        <v>0</v>
      </c>
    </row>
    <row r="997" spans="1:12" x14ac:dyDescent="0.3">
      <c r="A997" t="s">
        <v>2104</v>
      </c>
      <c r="B997" t="s">
        <v>13</v>
      </c>
      <c r="C997" t="s">
        <v>28</v>
      </c>
      <c r="D997">
        <v>30</v>
      </c>
      <c r="E997" t="s">
        <v>81</v>
      </c>
      <c r="F997" t="s">
        <v>36</v>
      </c>
      <c r="G997" s="1">
        <v>45154</v>
      </c>
      <c r="H997" t="s">
        <v>2105</v>
      </c>
      <c r="I997" t="s">
        <v>56</v>
      </c>
      <c r="J997">
        <v>-2007843613</v>
      </c>
      <c r="K997" t="s">
        <v>45</v>
      </c>
      <c r="L997" t="b">
        <v>1</v>
      </c>
    </row>
    <row r="998" spans="1:12" x14ac:dyDescent="0.3">
      <c r="A998" t="s">
        <v>2106</v>
      </c>
      <c r="B998" t="s">
        <v>67</v>
      </c>
      <c r="C998" t="s">
        <v>142</v>
      </c>
      <c r="D998">
        <v>40</v>
      </c>
      <c r="E998" t="s">
        <v>120</v>
      </c>
      <c r="F998" t="s">
        <v>16</v>
      </c>
      <c r="G998" s="1">
        <v>44224</v>
      </c>
      <c r="H998" t="s">
        <v>2107</v>
      </c>
      <c r="I998" t="s">
        <v>402</v>
      </c>
      <c r="J998">
        <v>-2442607818</v>
      </c>
      <c r="K998" t="s">
        <v>25</v>
      </c>
      <c r="L998" t="b">
        <v>1</v>
      </c>
    </row>
    <row r="999" spans="1:12" x14ac:dyDescent="0.3">
      <c r="A999" t="s">
        <v>2108</v>
      </c>
      <c r="B999" t="s">
        <v>35</v>
      </c>
      <c r="C999" t="s">
        <v>21</v>
      </c>
      <c r="D999">
        <v>40</v>
      </c>
      <c r="E999" t="s">
        <v>309</v>
      </c>
      <c r="F999" t="s">
        <v>36</v>
      </c>
      <c r="G999" s="1">
        <v>44695</v>
      </c>
      <c r="H999" t="s">
        <v>2109</v>
      </c>
      <c r="I999" t="s">
        <v>183</v>
      </c>
      <c r="J999">
        <v>-7543734763</v>
      </c>
      <c r="K999" t="s">
        <v>33</v>
      </c>
      <c r="L999" t="b">
        <v>0</v>
      </c>
    </row>
    <row r="1000" spans="1:12" x14ac:dyDescent="0.3">
      <c r="A1000" t="s">
        <v>2110</v>
      </c>
      <c r="B1000" t="s">
        <v>61</v>
      </c>
      <c r="C1000" t="s">
        <v>47</v>
      </c>
      <c r="D1000">
        <v>35</v>
      </c>
      <c r="E1000" t="s">
        <v>120</v>
      </c>
      <c r="F1000" t="s">
        <v>36</v>
      </c>
      <c r="G1000" s="1">
        <v>45448</v>
      </c>
      <c r="H1000" t="s">
        <v>2111</v>
      </c>
      <c r="I1000" t="s">
        <v>100</v>
      </c>
      <c r="J1000">
        <v>-2737203762</v>
      </c>
      <c r="K1000" t="s">
        <v>25</v>
      </c>
      <c r="L1000" t="b">
        <v>1</v>
      </c>
    </row>
    <row r="1001" spans="1:12" x14ac:dyDescent="0.3">
      <c r="A1001" t="s">
        <v>2112</v>
      </c>
      <c r="B1001" t="s">
        <v>61</v>
      </c>
      <c r="C1001" t="s">
        <v>41</v>
      </c>
      <c r="D1001">
        <v>25</v>
      </c>
      <c r="E1001" t="s">
        <v>270</v>
      </c>
      <c r="F1001" t="s">
        <v>16</v>
      </c>
      <c r="G1001" s="1">
        <v>43944</v>
      </c>
      <c r="H1001" t="s">
        <v>2113</v>
      </c>
      <c r="I1001" t="s">
        <v>104</v>
      </c>
      <c r="J1001">
        <v>-8821458413</v>
      </c>
      <c r="K1001" t="s">
        <v>45</v>
      </c>
      <c r="L1001" t="b">
        <v>1</v>
      </c>
    </row>
    <row r="1002" spans="1:12" x14ac:dyDescent="0.3">
      <c r="A1002" t="s">
        <v>2114</v>
      </c>
      <c r="B1002" t="s">
        <v>61</v>
      </c>
      <c r="C1002" t="s">
        <v>106</v>
      </c>
      <c r="D1002">
        <v>25</v>
      </c>
      <c r="E1002" t="s">
        <v>175</v>
      </c>
      <c r="F1002" t="s">
        <v>30</v>
      </c>
      <c r="G1002" s="1">
        <v>45453</v>
      </c>
      <c r="H1002" t="s">
        <v>1174</v>
      </c>
      <c r="I1002" t="s">
        <v>607</v>
      </c>
      <c r="J1002">
        <v>-8460191343</v>
      </c>
      <c r="K1002" t="s">
        <v>19</v>
      </c>
      <c r="L1002" t="b">
        <v>1</v>
      </c>
    </row>
    <row r="1003" spans="1:12" x14ac:dyDescent="0.3">
      <c r="A1003" t="s">
        <v>2115</v>
      </c>
      <c r="B1003" t="s">
        <v>35</v>
      </c>
      <c r="C1003" t="s">
        <v>14</v>
      </c>
      <c r="D1003">
        <v>30</v>
      </c>
      <c r="E1003" t="s">
        <v>91</v>
      </c>
      <c r="F1003" t="s">
        <v>36</v>
      </c>
      <c r="G1003" s="1">
        <v>43939</v>
      </c>
      <c r="H1003" t="s">
        <v>1600</v>
      </c>
      <c r="I1003" t="s">
        <v>38</v>
      </c>
      <c r="J1003">
        <v>-3899827801</v>
      </c>
      <c r="K1003" t="s">
        <v>19</v>
      </c>
      <c r="L1003" t="b">
        <v>0</v>
      </c>
    </row>
    <row r="1004" spans="1:12" x14ac:dyDescent="0.3">
      <c r="A1004" t="s">
        <v>2116</v>
      </c>
      <c r="B1004" t="s">
        <v>13</v>
      </c>
      <c r="C1004" t="s">
        <v>142</v>
      </c>
      <c r="D1004">
        <v>35</v>
      </c>
      <c r="E1004" t="s">
        <v>309</v>
      </c>
      <c r="F1004" t="s">
        <v>30</v>
      </c>
      <c r="G1004" s="1">
        <v>44011</v>
      </c>
      <c r="H1004" t="s">
        <v>1606</v>
      </c>
      <c r="I1004" t="s">
        <v>144</v>
      </c>
      <c r="J1004">
        <v>-586950731</v>
      </c>
      <c r="K1004" t="s">
        <v>33</v>
      </c>
      <c r="L1004" t="b">
        <v>1</v>
      </c>
    </row>
    <row r="1005" spans="1:12" x14ac:dyDescent="0.3">
      <c r="A1005" t="s">
        <v>2117</v>
      </c>
      <c r="B1005" t="s">
        <v>40</v>
      </c>
      <c r="C1005" t="s">
        <v>142</v>
      </c>
      <c r="D1005">
        <v>35</v>
      </c>
      <c r="E1005" t="s">
        <v>172</v>
      </c>
      <c r="F1005" t="s">
        <v>30</v>
      </c>
      <c r="G1005" s="1">
        <v>44972</v>
      </c>
      <c r="H1005" t="s">
        <v>1448</v>
      </c>
      <c r="I1005" t="s">
        <v>163</v>
      </c>
      <c r="J1005">
        <v>-1464493698</v>
      </c>
      <c r="K1005" t="s">
        <v>25</v>
      </c>
      <c r="L1005" t="b">
        <v>1</v>
      </c>
    </row>
    <row r="1006" spans="1:12" x14ac:dyDescent="0.3">
      <c r="A1006" t="s">
        <v>2118</v>
      </c>
      <c r="B1006" t="s">
        <v>80</v>
      </c>
      <c r="C1006" t="s">
        <v>142</v>
      </c>
      <c r="D1006">
        <v>25</v>
      </c>
      <c r="E1006" t="s">
        <v>91</v>
      </c>
      <c r="F1006" t="s">
        <v>30</v>
      </c>
      <c r="G1006" s="1">
        <v>45092</v>
      </c>
      <c r="H1006" t="s">
        <v>954</v>
      </c>
      <c r="I1006" t="s">
        <v>160</v>
      </c>
      <c r="J1006">
        <v>-9516793349</v>
      </c>
      <c r="K1006" t="s">
        <v>25</v>
      </c>
      <c r="L1006" t="b">
        <v>0</v>
      </c>
    </row>
    <row r="1007" spans="1:12" x14ac:dyDescent="0.3">
      <c r="A1007" t="s">
        <v>2119</v>
      </c>
      <c r="B1007" t="s">
        <v>40</v>
      </c>
      <c r="C1007" t="s">
        <v>28</v>
      </c>
      <c r="D1007">
        <v>30</v>
      </c>
      <c r="E1007" t="s">
        <v>309</v>
      </c>
      <c r="F1007" t="s">
        <v>36</v>
      </c>
      <c r="G1007" s="1">
        <v>44639</v>
      </c>
      <c r="H1007" t="s">
        <v>1483</v>
      </c>
      <c r="I1007" t="s">
        <v>53</v>
      </c>
      <c r="J1007">
        <v>-5573857367</v>
      </c>
      <c r="K1007" t="s">
        <v>33</v>
      </c>
      <c r="L1007" t="b">
        <v>1</v>
      </c>
    </row>
    <row r="1008" spans="1:12" x14ac:dyDescent="0.3">
      <c r="A1008" t="s">
        <v>2120</v>
      </c>
      <c r="B1008" t="s">
        <v>80</v>
      </c>
      <c r="C1008" t="s">
        <v>21</v>
      </c>
      <c r="E1008" t="s">
        <v>229</v>
      </c>
      <c r="F1008" t="s">
        <v>36</v>
      </c>
      <c r="G1008" s="1">
        <v>45224</v>
      </c>
      <c r="H1008" t="s">
        <v>1381</v>
      </c>
      <c r="I1008" t="s">
        <v>240</v>
      </c>
      <c r="J1008">
        <v>-119236036</v>
      </c>
      <c r="K1008" t="s">
        <v>19</v>
      </c>
      <c r="L1008" t="b">
        <v>0</v>
      </c>
    </row>
    <row r="1009" spans="1:12" x14ac:dyDescent="0.3">
      <c r="A1009" t="s">
        <v>2121</v>
      </c>
      <c r="B1009" t="s">
        <v>61</v>
      </c>
      <c r="C1009" t="s">
        <v>28</v>
      </c>
      <c r="D1009">
        <v>35</v>
      </c>
      <c r="E1009" t="s">
        <v>278</v>
      </c>
      <c r="F1009" t="s">
        <v>16</v>
      </c>
      <c r="G1009" s="1">
        <v>44756</v>
      </c>
      <c r="H1009" t="s">
        <v>1158</v>
      </c>
      <c r="I1009" t="s">
        <v>140</v>
      </c>
      <c r="J1009">
        <v>-6811872332</v>
      </c>
      <c r="K1009" t="s">
        <v>45</v>
      </c>
      <c r="L1009" t="b">
        <v>0</v>
      </c>
    </row>
    <row r="1010" spans="1:12" x14ac:dyDescent="0.3">
      <c r="A1010" t="s">
        <v>2122</v>
      </c>
      <c r="B1010" t="s">
        <v>80</v>
      </c>
      <c r="C1010" t="s">
        <v>21</v>
      </c>
      <c r="D1010">
        <v>35</v>
      </c>
      <c r="E1010" t="s">
        <v>29</v>
      </c>
      <c r="F1010" t="s">
        <v>36</v>
      </c>
      <c r="G1010" s="1">
        <v>44632</v>
      </c>
      <c r="H1010" t="s">
        <v>1841</v>
      </c>
      <c r="I1010" t="s">
        <v>240</v>
      </c>
      <c r="J1010">
        <v>-5104096148</v>
      </c>
      <c r="K1010" t="s">
        <v>33</v>
      </c>
      <c r="L1010" t="b">
        <v>1</v>
      </c>
    </row>
    <row r="1011" spans="1:12" x14ac:dyDescent="0.3">
      <c r="A1011" t="s">
        <v>2123</v>
      </c>
      <c r="B1011" t="s">
        <v>67</v>
      </c>
      <c r="C1011" t="s">
        <v>47</v>
      </c>
      <c r="E1011" t="s">
        <v>309</v>
      </c>
      <c r="F1011" t="s">
        <v>30</v>
      </c>
      <c r="G1011" s="1">
        <v>45454</v>
      </c>
      <c r="H1011" t="s">
        <v>401</v>
      </c>
      <c r="I1011" t="s">
        <v>118</v>
      </c>
      <c r="J1011">
        <v>-7315391148</v>
      </c>
      <c r="K1011" t="s">
        <v>45</v>
      </c>
      <c r="L1011" t="b">
        <v>0</v>
      </c>
    </row>
    <row r="1012" spans="1:12" x14ac:dyDescent="0.3">
      <c r="A1012" t="s">
        <v>2124</v>
      </c>
      <c r="B1012" t="s">
        <v>13</v>
      </c>
      <c r="C1012" t="s">
        <v>28</v>
      </c>
      <c r="D1012">
        <v>35</v>
      </c>
      <c r="E1012" t="s">
        <v>259</v>
      </c>
      <c r="F1012" t="s">
        <v>16</v>
      </c>
      <c r="G1012" s="1">
        <v>45453</v>
      </c>
      <c r="H1012" t="s">
        <v>1747</v>
      </c>
      <c r="I1012" t="s">
        <v>56</v>
      </c>
      <c r="J1012">
        <v>-8307482072</v>
      </c>
      <c r="K1012" t="s">
        <v>19</v>
      </c>
      <c r="L1012" t="b">
        <v>0</v>
      </c>
    </row>
    <row r="1013" spans="1:12" x14ac:dyDescent="0.3">
      <c r="A1013" t="s">
        <v>2125</v>
      </c>
      <c r="B1013" t="s">
        <v>67</v>
      </c>
      <c r="C1013" t="s">
        <v>28</v>
      </c>
      <c r="D1013">
        <v>40</v>
      </c>
      <c r="E1013" t="s">
        <v>138</v>
      </c>
      <c r="F1013" t="s">
        <v>36</v>
      </c>
      <c r="G1013" s="1">
        <v>44825</v>
      </c>
      <c r="H1013" t="s">
        <v>264</v>
      </c>
      <c r="I1013" t="s">
        <v>283</v>
      </c>
      <c r="J1013">
        <v>-6511893939</v>
      </c>
      <c r="K1013" t="s">
        <v>25</v>
      </c>
      <c r="L1013" t="b">
        <v>1</v>
      </c>
    </row>
    <row r="1014" spans="1:12" x14ac:dyDescent="0.3">
      <c r="A1014" t="s">
        <v>2126</v>
      </c>
      <c r="B1014" t="s">
        <v>80</v>
      </c>
      <c r="C1014" t="s">
        <v>106</v>
      </c>
      <c r="D1014">
        <v>35</v>
      </c>
      <c r="E1014" t="s">
        <v>270</v>
      </c>
      <c r="F1014" t="s">
        <v>36</v>
      </c>
      <c r="G1014" s="1">
        <v>45031</v>
      </c>
      <c r="H1014" t="s">
        <v>322</v>
      </c>
      <c r="I1014" t="s">
        <v>197</v>
      </c>
      <c r="J1014">
        <v>-6557820189</v>
      </c>
      <c r="K1014" t="s">
        <v>19</v>
      </c>
      <c r="L1014" t="b">
        <v>0</v>
      </c>
    </row>
    <row r="1015" spans="1:12" x14ac:dyDescent="0.3">
      <c r="A1015" t="s">
        <v>2127</v>
      </c>
      <c r="B1015" t="s">
        <v>35</v>
      </c>
      <c r="C1015" t="s">
        <v>41</v>
      </c>
      <c r="E1015" t="s">
        <v>229</v>
      </c>
      <c r="F1015" t="s">
        <v>30</v>
      </c>
      <c r="G1015" s="1">
        <v>43867</v>
      </c>
      <c r="H1015" t="s">
        <v>2061</v>
      </c>
      <c r="I1015" t="s">
        <v>167</v>
      </c>
      <c r="J1015">
        <v>-4322302332</v>
      </c>
      <c r="K1015" t="s">
        <v>33</v>
      </c>
      <c r="L1015" t="b">
        <v>0</v>
      </c>
    </row>
    <row r="1016" spans="1:12" x14ac:dyDescent="0.3">
      <c r="A1016" t="s">
        <v>2128</v>
      </c>
      <c r="B1016" t="s">
        <v>80</v>
      </c>
      <c r="C1016" t="s">
        <v>28</v>
      </c>
      <c r="D1016">
        <v>30</v>
      </c>
      <c r="E1016" t="s">
        <v>116</v>
      </c>
      <c r="F1016" t="s">
        <v>30</v>
      </c>
      <c r="G1016" s="1">
        <v>44332</v>
      </c>
      <c r="H1016" t="s">
        <v>1996</v>
      </c>
      <c r="I1016" t="s">
        <v>89</v>
      </c>
      <c r="J1016">
        <v>-2470739200</v>
      </c>
      <c r="K1016" t="s">
        <v>25</v>
      </c>
      <c r="L1016" t="b">
        <v>1</v>
      </c>
    </row>
    <row r="1017" spans="1:12" x14ac:dyDescent="0.3">
      <c r="A1017" t="s">
        <v>2129</v>
      </c>
      <c r="B1017" t="s">
        <v>67</v>
      </c>
      <c r="C1017" t="s">
        <v>106</v>
      </c>
      <c r="D1017">
        <v>30</v>
      </c>
      <c r="E1017" t="s">
        <v>172</v>
      </c>
      <c r="F1017" t="s">
        <v>16</v>
      </c>
      <c r="G1017" s="1">
        <v>45157</v>
      </c>
      <c r="H1017" t="s">
        <v>322</v>
      </c>
      <c r="I1017" t="s">
        <v>124</v>
      </c>
      <c r="J1017">
        <v>-3546212759</v>
      </c>
      <c r="K1017" t="s">
        <v>33</v>
      </c>
      <c r="L1017" t="b">
        <v>1</v>
      </c>
    </row>
    <row r="1018" spans="1:12" x14ac:dyDescent="0.3">
      <c r="A1018" t="s">
        <v>2130</v>
      </c>
      <c r="B1018" t="s">
        <v>67</v>
      </c>
      <c r="C1018" t="s">
        <v>62</v>
      </c>
      <c r="D1018">
        <v>30</v>
      </c>
      <c r="E1018" t="s">
        <v>187</v>
      </c>
      <c r="F1018" t="s">
        <v>36</v>
      </c>
      <c r="G1018" s="1">
        <v>44507</v>
      </c>
      <c r="H1018" t="s">
        <v>696</v>
      </c>
      <c r="I1018" t="s">
        <v>257</v>
      </c>
      <c r="J1018">
        <v>-2508261122</v>
      </c>
      <c r="K1018" t="s">
        <v>33</v>
      </c>
      <c r="L1018" t="b">
        <v>1</v>
      </c>
    </row>
    <row r="1019" spans="1:12" x14ac:dyDescent="0.3">
      <c r="A1019" t="s">
        <v>2131</v>
      </c>
      <c r="B1019" t="s">
        <v>61</v>
      </c>
      <c r="C1019" t="s">
        <v>41</v>
      </c>
      <c r="D1019">
        <v>40</v>
      </c>
      <c r="E1019" t="s">
        <v>267</v>
      </c>
      <c r="F1019" t="s">
        <v>16</v>
      </c>
      <c r="G1019" s="1">
        <v>45203</v>
      </c>
      <c r="H1019" t="s">
        <v>1888</v>
      </c>
      <c r="I1019" t="s">
        <v>104</v>
      </c>
      <c r="J1019">
        <v>-1261632487</v>
      </c>
      <c r="K1019" t="s">
        <v>19</v>
      </c>
      <c r="L1019" t="b">
        <v>0</v>
      </c>
    </row>
    <row r="1020" spans="1:12" x14ac:dyDescent="0.3">
      <c r="A1020" t="s">
        <v>2132</v>
      </c>
      <c r="B1020" t="s">
        <v>27</v>
      </c>
      <c r="C1020" t="s">
        <v>47</v>
      </c>
      <c r="D1020">
        <v>30</v>
      </c>
      <c r="E1020" t="s">
        <v>251</v>
      </c>
      <c r="F1020" t="s">
        <v>36</v>
      </c>
      <c r="G1020" s="1">
        <v>45642</v>
      </c>
      <c r="H1020" t="s">
        <v>1648</v>
      </c>
      <c r="I1020" t="s">
        <v>50</v>
      </c>
      <c r="J1020">
        <v>-8995729892</v>
      </c>
      <c r="K1020" t="s">
        <v>33</v>
      </c>
      <c r="L1020" t="b">
        <v>1</v>
      </c>
    </row>
    <row r="1021" spans="1:12" x14ac:dyDescent="0.3">
      <c r="A1021" t="s">
        <v>2133</v>
      </c>
      <c r="B1021" t="s">
        <v>75</v>
      </c>
      <c r="C1021" t="s">
        <v>28</v>
      </c>
      <c r="D1021">
        <v>30</v>
      </c>
      <c r="E1021" t="s">
        <v>91</v>
      </c>
      <c r="F1021" t="s">
        <v>30</v>
      </c>
      <c r="G1021" s="1">
        <v>44249</v>
      </c>
      <c r="H1021" t="s">
        <v>773</v>
      </c>
      <c r="I1021" t="s">
        <v>375</v>
      </c>
      <c r="J1021">
        <v>-7629745492</v>
      </c>
      <c r="K1021" t="s">
        <v>19</v>
      </c>
      <c r="L1021" t="b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9225028-CA75-435B-8168-681539E734F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data_map</vt:lpstr>
      <vt:lpstr>cleaned_data</vt:lpstr>
      <vt:lpstr>QA</vt:lpstr>
      <vt:lpstr>employee_dataset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 Long</dc:creator>
  <cp:lastModifiedBy>Ethan Long</cp:lastModifiedBy>
  <dcterms:created xsi:type="dcterms:W3CDTF">2026-05-10T21:26:08Z</dcterms:created>
  <dcterms:modified xsi:type="dcterms:W3CDTF">2026-05-14T20:16:10Z</dcterms:modified>
</cp:coreProperties>
</file>